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Ex3.xml" ContentType="application/vnd.ms-office.chartex+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Ex4.xml" ContentType="application/vnd.ms-office.chartex+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hidePivotFieldList="1" defaultThemeVersion="166925"/>
  <mc:AlternateContent xmlns:mc="http://schemas.openxmlformats.org/markup-compatibility/2006">
    <mc:Choice Requires="x15">
      <x15ac:absPath xmlns:x15ac="http://schemas.microsoft.com/office/spreadsheetml/2010/11/ac" url="C:\Users\user\Desktop\data science\Excel\Final Project\"/>
    </mc:Choice>
  </mc:AlternateContent>
  <xr:revisionPtr revIDLastSave="0" documentId="13_ncr:1_{45EDF6E6-15B6-451A-8C36-37B7A999AD29}" xr6:coauthVersionLast="47" xr6:coauthVersionMax="47" xr10:uidLastSave="{00000000-0000-0000-0000-000000000000}"/>
  <bookViews>
    <workbookView xWindow="-108" yWindow="-108" windowWidth="23256" windowHeight="12456" activeTab="3" xr2:uid="{4A81214B-EC59-43D5-BCA7-46FE62BF2E30}"/>
  </bookViews>
  <sheets>
    <sheet name="SOURCE DATA" sheetId="1" r:id="rId1"/>
    <sheet name="PIVOT ANALYSIS" sheetId="3" r:id="rId2"/>
    <sheet name="DATA ANALYSIS" sheetId="4" r:id="rId3"/>
    <sheet name="SUMMARY" sheetId="5" r:id="rId4"/>
  </sheets>
  <definedNames>
    <definedName name="_xlnm._FilterDatabase" localSheetId="0" hidden="1">'SOURCE DATA'!$A$2:$Y$2002</definedName>
    <definedName name="_xlchart.v2.0" hidden="1">'PIVOT ANALYSIS'!$E$106:$E$112</definedName>
    <definedName name="_xlchart.v2.1" hidden="1">'PIVOT ANALYSIS'!$F$105</definedName>
    <definedName name="_xlchart.v2.11" hidden="1">'PIVOT ANALYSIS'!$E$106:$E$112</definedName>
    <definedName name="_xlchart.v2.12" hidden="1">'PIVOT ANALYSIS'!$F$105</definedName>
    <definedName name="_xlchart.v2.13" hidden="1">'PIVOT ANALYSIS'!$F$106:$F$112</definedName>
    <definedName name="_xlchart.v2.2" hidden="1">'PIVOT ANALYSIS'!$F$106:$F$112</definedName>
    <definedName name="_xlchart.v5.10" hidden="1">'PIVOT ANALYSIS'!$E$145:$E$149</definedName>
    <definedName name="_xlchart.v5.3" hidden="1">'PIVOT ANALYSIS'!$D$144</definedName>
    <definedName name="_xlchart.v5.4" hidden="1">'PIVOT ANALYSIS'!$D$145:$D$149</definedName>
    <definedName name="_xlchart.v5.5" hidden="1">'PIVOT ANALYSIS'!$E$144</definedName>
    <definedName name="_xlchart.v5.6" hidden="1">'PIVOT ANALYSIS'!$E$145:$E$149</definedName>
    <definedName name="_xlchart.v5.7" hidden="1">'PIVOT ANALYSIS'!$D$144</definedName>
    <definedName name="_xlchart.v5.8" hidden="1">'PIVOT ANALYSIS'!$D$145:$D$149</definedName>
    <definedName name="_xlchart.v5.9" hidden="1">'PIVOT ANALYSIS'!$E$144</definedName>
    <definedName name="Slicer_Accommodation_Type">#N/A</definedName>
    <definedName name="Slicer_Accommodation_Type1">#N/A</definedName>
    <definedName name="Slicer_Destination">#N/A</definedName>
    <definedName name="Slicer_Destination1">#N/A</definedName>
    <definedName name="Slicer_Feedback">#N/A</definedName>
    <definedName name="Slicer_Feedback1">#N/A</definedName>
    <definedName name="Slicer_Feedback2">#N/A</definedName>
    <definedName name="Slicer_Group_Size">#N/A</definedName>
    <definedName name="Slicer_Group_Size1">#N/A</definedName>
    <definedName name="Slicer_Rating">#N/A</definedName>
    <definedName name="Slicer_Rebooked">#N/A</definedName>
    <definedName name="Slicer_Region">#N/A</definedName>
    <definedName name="Slicer_Tour_Typ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5" i="3" l="1"/>
  <c r="E145" i="3"/>
  <c r="D146" i="3"/>
  <c r="E146" i="3"/>
  <c r="D147" i="3"/>
  <c r="E147" i="3"/>
  <c r="D148" i="3"/>
  <c r="E148" i="3"/>
  <c r="D149" i="3"/>
  <c r="E149" i="3"/>
  <c r="E123" i="3"/>
  <c r="F123" i="3"/>
  <c r="E124" i="3"/>
  <c r="F124" i="3"/>
  <c r="E125" i="3"/>
  <c r="F125" i="3"/>
  <c r="E126" i="3"/>
  <c r="F126" i="3"/>
  <c r="E106" i="3"/>
  <c r="F106" i="3"/>
  <c r="E107" i="3"/>
  <c r="F107" i="3"/>
  <c r="E108" i="3"/>
  <c r="F108" i="3"/>
  <c r="E109" i="3"/>
  <c r="F109" i="3"/>
  <c r="E110" i="3"/>
  <c r="F110" i="3"/>
  <c r="E111" i="3"/>
  <c r="F111" i="3"/>
  <c r="E112" i="3"/>
  <c r="F112" i="3"/>
  <c r="E91" i="3"/>
  <c r="F91" i="3"/>
  <c r="E92" i="3"/>
  <c r="F92" i="3"/>
  <c r="E93" i="3"/>
  <c r="F93" i="3"/>
  <c r="E94" i="3"/>
  <c r="F94" i="3"/>
  <c r="E95" i="3"/>
  <c r="F95" i="3"/>
  <c r="E67" i="3"/>
  <c r="F67" i="3"/>
  <c r="H67" i="3"/>
  <c r="E68" i="3"/>
  <c r="F68" i="3"/>
  <c r="H68" i="3"/>
  <c r="E69" i="3"/>
  <c r="F69" i="3"/>
  <c r="H69" i="3"/>
  <c r="E70" i="3"/>
  <c r="F70" i="3"/>
  <c r="H70" i="3"/>
  <c r="E71" i="3"/>
  <c r="F71" i="3"/>
  <c r="H71" i="3"/>
  <c r="G4" i="3"/>
  <c r="H4" i="3"/>
  <c r="I4" i="3"/>
  <c r="J4" i="3"/>
  <c r="K4" i="3"/>
  <c r="E42" i="3"/>
  <c r="F42" i="3"/>
  <c r="G42" i="3"/>
  <c r="E43" i="3"/>
  <c r="F43" i="3"/>
  <c r="G43" i="3"/>
  <c r="E44" i="3"/>
  <c r="F44" i="3"/>
  <c r="G44" i="3"/>
  <c r="E45" i="3"/>
  <c r="F45" i="3"/>
  <c r="G45" i="3"/>
  <c r="P18" i="3"/>
  <c r="P19" i="3"/>
  <c r="Q19" i="3"/>
  <c r="P20" i="3"/>
  <c r="Q20" i="3"/>
  <c r="P21" i="3"/>
  <c r="Q21" i="3"/>
  <c r="L18" i="3"/>
  <c r="L19" i="3"/>
  <c r="M19" i="3"/>
  <c r="H18" i="3"/>
  <c r="H19" i="3"/>
  <c r="I19" i="3"/>
  <c r="D18" i="3"/>
  <c r="D19" i="3"/>
  <c r="E19" i="3"/>
  <c r="G92" i="3"/>
  <c r="G93" i="3"/>
  <c r="G94" i="3"/>
  <c r="G95" i="3"/>
  <c r="G91" i="3"/>
  <c r="G68" i="3"/>
  <c r="G69" i="3"/>
  <c r="G71" i="3"/>
  <c r="G70" i="3"/>
  <c r="G67" i="3"/>
  <c r="R20" i="3"/>
  <c r="R21" i="3"/>
  <c r="R19" i="3"/>
  <c r="N19" i="3"/>
  <c r="M20" i="3"/>
  <c r="N20" i="3" s="1"/>
  <c r="J19" i="3"/>
  <c r="I20" i="3"/>
  <c r="J20" i="3" s="1"/>
  <c r="F19" i="3"/>
  <c r="E20" i="3"/>
  <c r="F20" i="3" s="1"/>
</calcChain>
</file>

<file path=xl/sharedStrings.xml><?xml version="1.0" encoding="utf-8"?>
<sst xmlns="http://schemas.openxmlformats.org/spreadsheetml/2006/main" count="36211" uniqueCount="4117">
  <si>
    <t>Tour_ID</t>
  </si>
  <si>
    <t>Date</t>
  </si>
  <si>
    <t>Package_Name</t>
  </si>
  <si>
    <t>Tour_Type</t>
  </si>
  <si>
    <t>Destination</t>
  </si>
  <si>
    <t>Region</t>
  </si>
  <si>
    <t>Country</t>
  </si>
  <si>
    <t>City</t>
  </si>
  <si>
    <t>Duration_Days</t>
  </si>
  <si>
    <t>Customer_ID</t>
  </si>
  <si>
    <t>Customer_Age</t>
  </si>
  <si>
    <t>Gender</t>
  </si>
  <si>
    <t>Group_Size</t>
  </si>
  <si>
    <t>Travel_Mode</t>
  </si>
  <si>
    <t>Accommodation_Type</t>
  </si>
  <si>
    <t>Meal_Plan</t>
  </si>
  <si>
    <t>Tour_Cost</t>
  </si>
  <si>
    <t>Discount_Applied</t>
  </si>
  <si>
    <t>Booking_Source</t>
  </si>
  <si>
    <t>Booking_Status</t>
  </si>
  <si>
    <t>Season</t>
  </si>
  <si>
    <t>Rating</t>
  </si>
  <si>
    <t>Feedback</t>
  </si>
  <si>
    <t>Tour_Guide_Name</t>
  </si>
  <si>
    <t>Rebooked</t>
  </si>
  <si>
    <t>T000001</t>
  </si>
  <si>
    <t>City Break</t>
  </si>
  <si>
    <t>Jaipur</t>
  </si>
  <si>
    <t>South</t>
  </si>
  <si>
    <t>India</t>
  </si>
  <si>
    <t>Udaipur</t>
  </si>
  <si>
    <t>C00001</t>
  </si>
  <si>
    <t>Female</t>
  </si>
  <si>
    <t>Cruise</t>
  </si>
  <si>
    <t>Hotel</t>
  </si>
  <si>
    <t>No Meals</t>
  </si>
  <si>
    <t>Call Center</t>
  </si>
  <si>
    <t>Cancelled</t>
  </si>
  <si>
    <t>Spring</t>
  </si>
  <si>
    <t>No Feedback</t>
  </si>
  <si>
    <t>Kiran</t>
  </si>
  <si>
    <t>Yes</t>
  </si>
  <si>
    <t>T000002</t>
  </si>
  <si>
    <t>Safari Adventure</t>
  </si>
  <si>
    <t>Cultural</t>
  </si>
  <si>
    <t>Andaman</t>
  </si>
  <si>
    <t>Shimla</t>
  </si>
  <si>
    <t>C00002</t>
  </si>
  <si>
    <t>Bus</t>
  </si>
  <si>
    <t>Homestay</t>
  </si>
  <si>
    <t>Full Board</t>
  </si>
  <si>
    <t>Travel Agent</t>
  </si>
  <si>
    <t>Pending</t>
  </si>
  <si>
    <t>Monsoon</t>
  </si>
  <si>
    <t>Good</t>
  </si>
  <si>
    <t>Joseph</t>
  </si>
  <si>
    <t>T000003</t>
  </si>
  <si>
    <t>Cultural Journey</t>
  </si>
  <si>
    <t>Adventure</t>
  </si>
  <si>
    <t>Manali</t>
  </si>
  <si>
    <t>North</t>
  </si>
  <si>
    <t>Kochi</t>
  </si>
  <si>
    <t>C00003</t>
  </si>
  <si>
    <t>Male</t>
  </si>
  <si>
    <t>Flight</t>
  </si>
  <si>
    <t>Raj</t>
  </si>
  <si>
    <t>T000004</t>
  </si>
  <si>
    <t>Port Blair</t>
  </si>
  <si>
    <t>C00004</t>
  </si>
  <si>
    <t>Resort</t>
  </si>
  <si>
    <t>Half Board</t>
  </si>
  <si>
    <t>Confirmed</t>
  </si>
  <si>
    <t>No</t>
  </si>
  <si>
    <t>T000005</t>
  </si>
  <si>
    <t>C00005</t>
  </si>
  <si>
    <t>Summer</t>
  </si>
  <si>
    <t>Average</t>
  </si>
  <si>
    <t>T000006</t>
  </si>
  <si>
    <t>Mountain Hike</t>
  </si>
  <si>
    <t>C00006</t>
  </si>
  <si>
    <t>Other</t>
  </si>
  <si>
    <t>Villa</t>
  </si>
  <si>
    <t>Breakfast Only</t>
  </si>
  <si>
    <t>Winter</t>
  </si>
  <si>
    <t>Anita</t>
  </si>
  <si>
    <t>T000007</t>
  </si>
  <si>
    <t>Panaji</t>
  </si>
  <si>
    <t>C00007</t>
  </si>
  <si>
    <t>T000008</t>
  </si>
  <si>
    <t>Kerala</t>
  </si>
  <si>
    <t>C00008</t>
  </si>
  <si>
    <t>Train</t>
  </si>
  <si>
    <t>T000009</t>
  </si>
  <si>
    <t>C00009</t>
  </si>
  <si>
    <t>App</t>
  </si>
  <si>
    <t>T000010</t>
  </si>
  <si>
    <t>C00010</t>
  </si>
  <si>
    <t>T000011</t>
  </si>
  <si>
    <t>C00011</t>
  </si>
  <si>
    <t>T000012</t>
  </si>
  <si>
    <t>C00012</t>
  </si>
  <si>
    <t>T000013</t>
  </si>
  <si>
    <t>C00013</t>
  </si>
  <si>
    <t>Excellent</t>
  </si>
  <si>
    <t>T000014</t>
  </si>
  <si>
    <t>C00014</t>
  </si>
  <si>
    <t>Meena</t>
  </si>
  <si>
    <t>T000015</t>
  </si>
  <si>
    <t>C00015</t>
  </si>
  <si>
    <t>T000016</t>
  </si>
  <si>
    <t>C00016</t>
  </si>
  <si>
    <t>T000017</t>
  </si>
  <si>
    <t>C00017</t>
  </si>
  <si>
    <t>T000018</t>
  </si>
  <si>
    <t>C00018</t>
  </si>
  <si>
    <t>Online</t>
  </si>
  <si>
    <t>T000019</t>
  </si>
  <si>
    <t>Beach Escape</t>
  </si>
  <si>
    <t>C00019</t>
  </si>
  <si>
    <t>T000020</t>
  </si>
  <si>
    <t>Goa</t>
  </si>
  <si>
    <t>C00020</t>
  </si>
  <si>
    <t>T000021</t>
  </si>
  <si>
    <t>C00021</t>
  </si>
  <si>
    <t>Poor</t>
  </si>
  <si>
    <t>T000022</t>
  </si>
  <si>
    <t>C00022</t>
  </si>
  <si>
    <t>T000023</t>
  </si>
  <si>
    <t>C00023</t>
  </si>
  <si>
    <t>T000024</t>
  </si>
  <si>
    <t>C00024</t>
  </si>
  <si>
    <t>T000025</t>
  </si>
  <si>
    <t>C00025</t>
  </si>
  <si>
    <t>T000026</t>
  </si>
  <si>
    <t>C00026</t>
  </si>
  <si>
    <t>T000027</t>
  </si>
  <si>
    <t>C00027</t>
  </si>
  <si>
    <t>T000028</t>
  </si>
  <si>
    <t>C00028</t>
  </si>
  <si>
    <t>T000029</t>
  </si>
  <si>
    <t>C00029</t>
  </si>
  <si>
    <t>T000030</t>
  </si>
  <si>
    <t>C00030</t>
  </si>
  <si>
    <t>T000031</t>
  </si>
  <si>
    <t>C00031</t>
  </si>
  <si>
    <t>T000032</t>
  </si>
  <si>
    <t>C00032</t>
  </si>
  <si>
    <t>T000033</t>
  </si>
  <si>
    <t>C00033</t>
  </si>
  <si>
    <t>T000034</t>
  </si>
  <si>
    <t>C00034</t>
  </si>
  <si>
    <t>T000035</t>
  </si>
  <si>
    <t>C00035</t>
  </si>
  <si>
    <t>T000036</t>
  </si>
  <si>
    <t>C00036</t>
  </si>
  <si>
    <t>T000037</t>
  </si>
  <si>
    <t>C00037</t>
  </si>
  <si>
    <t>T000038</t>
  </si>
  <si>
    <t>C00038</t>
  </si>
  <si>
    <t>T000039</t>
  </si>
  <si>
    <t>C00039</t>
  </si>
  <si>
    <t>T000040</t>
  </si>
  <si>
    <t>C00040</t>
  </si>
  <si>
    <t>T000041</t>
  </si>
  <si>
    <t>C00041</t>
  </si>
  <si>
    <t>T000042</t>
  </si>
  <si>
    <t>C00042</t>
  </si>
  <si>
    <t>T000043</t>
  </si>
  <si>
    <t>C00043</t>
  </si>
  <si>
    <t>T000044</t>
  </si>
  <si>
    <t>C00044</t>
  </si>
  <si>
    <t>T000045</t>
  </si>
  <si>
    <t>C00045</t>
  </si>
  <si>
    <t>T000046</t>
  </si>
  <si>
    <t>C00046</t>
  </si>
  <si>
    <t>T000047</t>
  </si>
  <si>
    <t>C00047</t>
  </si>
  <si>
    <t>T000048</t>
  </si>
  <si>
    <t>C00048</t>
  </si>
  <si>
    <t>T000049</t>
  </si>
  <si>
    <t>C00049</t>
  </si>
  <si>
    <t>T000050</t>
  </si>
  <si>
    <t>C00050</t>
  </si>
  <si>
    <t>T000051</t>
  </si>
  <si>
    <t>C00051</t>
  </si>
  <si>
    <t>T000052</t>
  </si>
  <si>
    <t>C00052</t>
  </si>
  <si>
    <t>T000053</t>
  </si>
  <si>
    <t>C00053</t>
  </si>
  <si>
    <t>T000054</t>
  </si>
  <si>
    <t>C00054</t>
  </si>
  <si>
    <t>T000055</t>
  </si>
  <si>
    <t>C00055</t>
  </si>
  <si>
    <t>T000056</t>
  </si>
  <si>
    <t>C00056</t>
  </si>
  <si>
    <t>T000057</t>
  </si>
  <si>
    <t>C00057</t>
  </si>
  <si>
    <t>T000058</t>
  </si>
  <si>
    <t>C00058</t>
  </si>
  <si>
    <t>T000059</t>
  </si>
  <si>
    <t>C00059</t>
  </si>
  <si>
    <t>T000060</t>
  </si>
  <si>
    <t>C00060</t>
  </si>
  <si>
    <t>T000061</t>
  </si>
  <si>
    <t>C00061</t>
  </si>
  <si>
    <t>T000062</t>
  </si>
  <si>
    <t>C00062</t>
  </si>
  <si>
    <t>T000063</t>
  </si>
  <si>
    <t>C00063</t>
  </si>
  <si>
    <t>T000064</t>
  </si>
  <si>
    <t>C00064</t>
  </si>
  <si>
    <t>T000065</t>
  </si>
  <si>
    <t>C00065</t>
  </si>
  <si>
    <t>T000066</t>
  </si>
  <si>
    <t>C00066</t>
  </si>
  <si>
    <t>T000067</t>
  </si>
  <si>
    <t>C00067</t>
  </si>
  <si>
    <t>T000068</t>
  </si>
  <si>
    <t>C00068</t>
  </si>
  <si>
    <t>T000069</t>
  </si>
  <si>
    <t>C00069</t>
  </si>
  <si>
    <t>T000070</t>
  </si>
  <si>
    <t>C00070</t>
  </si>
  <si>
    <t>T000071</t>
  </si>
  <si>
    <t>C00071</t>
  </si>
  <si>
    <t>T000072</t>
  </si>
  <si>
    <t>C00072</t>
  </si>
  <si>
    <t>T000073</t>
  </si>
  <si>
    <t>C00073</t>
  </si>
  <si>
    <t>T000074</t>
  </si>
  <si>
    <t>C00074</t>
  </si>
  <si>
    <t>T000075</t>
  </si>
  <si>
    <t>C00075</t>
  </si>
  <si>
    <t>T000076</t>
  </si>
  <si>
    <t>C00076</t>
  </si>
  <si>
    <t>T000077</t>
  </si>
  <si>
    <t>C00077</t>
  </si>
  <si>
    <t>T000078</t>
  </si>
  <si>
    <t>C00078</t>
  </si>
  <si>
    <t>T000079</t>
  </si>
  <si>
    <t>C00079</t>
  </si>
  <si>
    <t>T000080</t>
  </si>
  <si>
    <t>C00080</t>
  </si>
  <si>
    <t>T000081</t>
  </si>
  <si>
    <t>C00081</t>
  </si>
  <si>
    <t>T000082</t>
  </si>
  <si>
    <t>C00082</t>
  </si>
  <si>
    <t>T000083</t>
  </si>
  <si>
    <t>C00083</t>
  </si>
  <si>
    <t>T000084</t>
  </si>
  <si>
    <t>C00084</t>
  </si>
  <si>
    <t>T000085</t>
  </si>
  <si>
    <t>C00085</t>
  </si>
  <si>
    <t>T000086</t>
  </si>
  <si>
    <t>C00086</t>
  </si>
  <si>
    <t>T000087</t>
  </si>
  <si>
    <t>C00087</t>
  </si>
  <si>
    <t>T000088</t>
  </si>
  <si>
    <t>C00088</t>
  </si>
  <si>
    <t>T000089</t>
  </si>
  <si>
    <t>C00089</t>
  </si>
  <si>
    <t>T000090</t>
  </si>
  <si>
    <t>C00090</t>
  </si>
  <si>
    <t>T000091</t>
  </si>
  <si>
    <t>C00091</t>
  </si>
  <si>
    <t>T000092</t>
  </si>
  <si>
    <t>C00092</t>
  </si>
  <si>
    <t>T000093</t>
  </si>
  <si>
    <t>C00093</t>
  </si>
  <si>
    <t>T000094</t>
  </si>
  <si>
    <t>C00094</t>
  </si>
  <si>
    <t>T000095</t>
  </si>
  <si>
    <t>C00095</t>
  </si>
  <si>
    <t>T000096</t>
  </si>
  <si>
    <t>C00096</t>
  </si>
  <si>
    <t>T000097</t>
  </si>
  <si>
    <t>C00097</t>
  </si>
  <si>
    <t>T000098</t>
  </si>
  <si>
    <t>C00098</t>
  </si>
  <si>
    <t>T000099</t>
  </si>
  <si>
    <t>C00099</t>
  </si>
  <si>
    <t>T000100</t>
  </si>
  <si>
    <t>C00100</t>
  </si>
  <si>
    <t>T000101</t>
  </si>
  <si>
    <t>C00101</t>
  </si>
  <si>
    <t>T000102</t>
  </si>
  <si>
    <t>C00102</t>
  </si>
  <si>
    <t>T000103</t>
  </si>
  <si>
    <t>C00103</t>
  </si>
  <si>
    <t>T000104</t>
  </si>
  <si>
    <t>C00104</t>
  </si>
  <si>
    <t>T000105</t>
  </si>
  <si>
    <t>C00105</t>
  </si>
  <si>
    <t>T000106</t>
  </si>
  <si>
    <t>C00106</t>
  </si>
  <si>
    <t>T000107</t>
  </si>
  <si>
    <t>C00107</t>
  </si>
  <si>
    <t>T000108</t>
  </si>
  <si>
    <t>C00108</t>
  </si>
  <si>
    <t>T000109</t>
  </si>
  <si>
    <t>C00109</t>
  </si>
  <si>
    <t>T000110</t>
  </si>
  <si>
    <t>C00110</t>
  </si>
  <si>
    <t>T000111</t>
  </si>
  <si>
    <t>C00111</t>
  </si>
  <si>
    <t>T000112</t>
  </si>
  <si>
    <t>C00112</t>
  </si>
  <si>
    <t>T000113</t>
  </si>
  <si>
    <t>C00113</t>
  </si>
  <si>
    <t>T000114</t>
  </si>
  <si>
    <t>C00114</t>
  </si>
  <si>
    <t>T000115</t>
  </si>
  <si>
    <t>C00115</t>
  </si>
  <si>
    <t>T000116</t>
  </si>
  <si>
    <t>C00116</t>
  </si>
  <si>
    <t>T000117</t>
  </si>
  <si>
    <t>C00117</t>
  </si>
  <si>
    <t>T000118</t>
  </si>
  <si>
    <t>C00118</t>
  </si>
  <si>
    <t>T000119</t>
  </si>
  <si>
    <t>C00119</t>
  </si>
  <si>
    <t>T000120</t>
  </si>
  <si>
    <t>C00120</t>
  </si>
  <si>
    <t>T000121</t>
  </si>
  <si>
    <t>C00121</t>
  </si>
  <si>
    <t>T000122</t>
  </si>
  <si>
    <t>C00122</t>
  </si>
  <si>
    <t>T000123</t>
  </si>
  <si>
    <t>C00123</t>
  </si>
  <si>
    <t>T000124</t>
  </si>
  <si>
    <t>C00124</t>
  </si>
  <si>
    <t>T000125</t>
  </si>
  <si>
    <t>C00125</t>
  </si>
  <si>
    <t>T000126</t>
  </si>
  <si>
    <t>C00126</t>
  </si>
  <si>
    <t>T000127</t>
  </si>
  <si>
    <t>C00127</t>
  </si>
  <si>
    <t>T000128</t>
  </si>
  <si>
    <t>C00128</t>
  </si>
  <si>
    <t>T000129</t>
  </si>
  <si>
    <t>C00129</t>
  </si>
  <si>
    <t>T000130</t>
  </si>
  <si>
    <t>C00130</t>
  </si>
  <si>
    <t>T000131</t>
  </si>
  <si>
    <t>C00131</t>
  </si>
  <si>
    <t>T000132</t>
  </si>
  <si>
    <t>C00132</t>
  </si>
  <si>
    <t>T000133</t>
  </si>
  <si>
    <t>C00133</t>
  </si>
  <si>
    <t>T000134</t>
  </si>
  <si>
    <t>C00134</t>
  </si>
  <si>
    <t>T000135</t>
  </si>
  <si>
    <t>C00135</t>
  </si>
  <si>
    <t>T000136</t>
  </si>
  <si>
    <t>C00136</t>
  </si>
  <si>
    <t>T000137</t>
  </si>
  <si>
    <t>C00137</t>
  </si>
  <si>
    <t>T000138</t>
  </si>
  <si>
    <t>C00138</t>
  </si>
  <si>
    <t>T000139</t>
  </si>
  <si>
    <t>C00139</t>
  </si>
  <si>
    <t>T000140</t>
  </si>
  <si>
    <t>C00140</t>
  </si>
  <si>
    <t>T000141</t>
  </si>
  <si>
    <t>C00141</t>
  </si>
  <si>
    <t>T000142</t>
  </si>
  <si>
    <t>C00142</t>
  </si>
  <si>
    <t>T000143</t>
  </si>
  <si>
    <t>C00143</t>
  </si>
  <si>
    <t>T000144</t>
  </si>
  <si>
    <t>C00144</t>
  </si>
  <si>
    <t>T000145</t>
  </si>
  <si>
    <t>C00145</t>
  </si>
  <si>
    <t>T000146</t>
  </si>
  <si>
    <t>C00146</t>
  </si>
  <si>
    <t>T000147</t>
  </si>
  <si>
    <t>C00147</t>
  </si>
  <si>
    <t>T000148</t>
  </si>
  <si>
    <t>C00148</t>
  </si>
  <si>
    <t>T000149</t>
  </si>
  <si>
    <t>C00149</t>
  </si>
  <si>
    <t>T000150</t>
  </si>
  <si>
    <t>C00150</t>
  </si>
  <si>
    <t>T000151</t>
  </si>
  <si>
    <t>C00151</t>
  </si>
  <si>
    <t>T000152</t>
  </si>
  <si>
    <t>C00152</t>
  </si>
  <si>
    <t>T000153</t>
  </si>
  <si>
    <t>C00153</t>
  </si>
  <si>
    <t>T000154</t>
  </si>
  <si>
    <t>C00154</t>
  </si>
  <si>
    <t>T000155</t>
  </si>
  <si>
    <t>C00155</t>
  </si>
  <si>
    <t>T000156</t>
  </si>
  <si>
    <t>C00156</t>
  </si>
  <si>
    <t>T000157</t>
  </si>
  <si>
    <t>C00157</t>
  </si>
  <si>
    <t>T000158</t>
  </si>
  <si>
    <t>C00158</t>
  </si>
  <si>
    <t>T000159</t>
  </si>
  <si>
    <t>C00159</t>
  </si>
  <si>
    <t>T000160</t>
  </si>
  <si>
    <t>C00160</t>
  </si>
  <si>
    <t>T000161</t>
  </si>
  <si>
    <t>C00161</t>
  </si>
  <si>
    <t>T000162</t>
  </si>
  <si>
    <t>C00162</t>
  </si>
  <si>
    <t>T000163</t>
  </si>
  <si>
    <t>C00163</t>
  </si>
  <si>
    <t>T000164</t>
  </si>
  <si>
    <t>C00164</t>
  </si>
  <si>
    <t>T000165</t>
  </si>
  <si>
    <t>C00165</t>
  </si>
  <si>
    <t>T000166</t>
  </si>
  <si>
    <t>C00166</t>
  </si>
  <si>
    <t>T000167</t>
  </si>
  <si>
    <t>C00167</t>
  </si>
  <si>
    <t>T000168</t>
  </si>
  <si>
    <t>C00168</t>
  </si>
  <si>
    <t>T000169</t>
  </si>
  <si>
    <t>C00169</t>
  </si>
  <si>
    <t>T000170</t>
  </si>
  <si>
    <t>C00170</t>
  </si>
  <si>
    <t>T000171</t>
  </si>
  <si>
    <t>C00171</t>
  </si>
  <si>
    <t>T000172</t>
  </si>
  <si>
    <t>C00172</t>
  </si>
  <si>
    <t>T000173</t>
  </si>
  <si>
    <t>C00173</t>
  </si>
  <si>
    <t>T000174</t>
  </si>
  <si>
    <t>C00174</t>
  </si>
  <si>
    <t>T000175</t>
  </si>
  <si>
    <t>C00175</t>
  </si>
  <si>
    <t>T000176</t>
  </si>
  <si>
    <t>C00176</t>
  </si>
  <si>
    <t>T000177</t>
  </si>
  <si>
    <t>C00177</t>
  </si>
  <si>
    <t>T000178</t>
  </si>
  <si>
    <t>C00178</t>
  </si>
  <si>
    <t>T000179</t>
  </si>
  <si>
    <t>C00179</t>
  </si>
  <si>
    <t>T000180</t>
  </si>
  <si>
    <t>C00180</t>
  </si>
  <si>
    <t>T000181</t>
  </si>
  <si>
    <t>C00181</t>
  </si>
  <si>
    <t>T000182</t>
  </si>
  <si>
    <t>C00182</t>
  </si>
  <si>
    <t>T000183</t>
  </si>
  <si>
    <t>C00183</t>
  </si>
  <si>
    <t>T000184</t>
  </si>
  <si>
    <t>C00184</t>
  </si>
  <si>
    <t>T000185</t>
  </si>
  <si>
    <t>C00185</t>
  </si>
  <si>
    <t>T000186</t>
  </si>
  <si>
    <t>C00186</t>
  </si>
  <si>
    <t>T000187</t>
  </si>
  <si>
    <t>C00187</t>
  </si>
  <si>
    <t>T000188</t>
  </si>
  <si>
    <t>C00188</t>
  </si>
  <si>
    <t>T000189</t>
  </si>
  <si>
    <t>C00189</t>
  </si>
  <si>
    <t>T000190</t>
  </si>
  <si>
    <t>C00190</t>
  </si>
  <si>
    <t>T000191</t>
  </si>
  <si>
    <t>C00191</t>
  </si>
  <si>
    <t>T000192</t>
  </si>
  <si>
    <t>C00192</t>
  </si>
  <si>
    <t>T000193</t>
  </si>
  <si>
    <t>C00193</t>
  </si>
  <si>
    <t>T000194</t>
  </si>
  <si>
    <t>C00194</t>
  </si>
  <si>
    <t>T000195</t>
  </si>
  <si>
    <t>C00195</t>
  </si>
  <si>
    <t>T000196</t>
  </si>
  <si>
    <t>C00196</t>
  </si>
  <si>
    <t>T000197</t>
  </si>
  <si>
    <t>C00197</t>
  </si>
  <si>
    <t>T000198</t>
  </si>
  <si>
    <t>C00198</t>
  </si>
  <si>
    <t>T000199</t>
  </si>
  <si>
    <t>C00199</t>
  </si>
  <si>
    <t>T000200</t>
  </si>
  <si>
    <t>C00200</t>
  </si>
  <si>
    <t>T000201</t>
  </si>
  <si>
    <t>C00201</t>
  </si>
  <si>
    <t>T000202</t>
  </si>
  <si>
    <t>C00202</t>
  </si>
  <si>
    <t>T000203</t>
  </si>
  <si>
    <t>C00203</t>
  </si>
  <si>
    <t>T000204</t>
  </si>
  <si>
    <t>C00204</t>
  </si>
  <si>
    <t>T000205</t>
  </si>
  <si>
    <t>C00205</t>
  </si>
  <si>
    <t>T000206</t>
  </si>
  <si>
    <t>C00206</t>
  </si>
  <si>
    <t>T000207</t>
  </si>
  <si>
    <t>C00207</t>
  </si>
  <si>
    <t>T000208</t>
  </si>
  <si>
    <t>C00208</t>
  </si>
  <si>
    <t>T000209</t>
  </si>
  <si>
    <t>C00209</t>
  </si>
  <si>
    <t>T000210</t>
  </si>
  <si>
    <t>C00210</t>
  </si>
  <si>
    <t>T000211</t>
  </si>
  <si>
    <t>C00211</t>
  </si>
  <si>
    <t>T000212</t>
  </si>
  <si>
    <t>C00212</t>
  </si>
  <si>
    <t>T000213</t>
  </si>
  <si>
    <t>C00213</t>
  </si>
  <si>
    <t>T000214</t>
  </si>
  <si>
    <t>C00214</t>
  </si>
  <si>
    <t>T000215</t>
  </si>
  <si>
    <t>C00215</t>
  </si>
  <si>
    <t>T000216</t>
  </si>
  <si>
    <t>C00216</t>
  </si>
  <si>
    <t>T000217</t>
  </si>
  <si>
    <t>C00217</t>
  </si>
  <si>
    <t>T000218</t>
  </si>
  <si>
    <t>C00218</t>
  </si>
  <si>
    <t>T000219</t>
  </si>
  <si>
    <t>C00219</t>
  </si>
  <si>
    <t>T000220</t>
  </si>
  <si>
    <t>C00220</t>
  </si>
  <si>
    <t>T000221</t>
  </si>
  <si>
    <t>C00221</t>
  </si>
  <si>
    <t>T000222</t>
  </si>
  <si>
    <t>C00222</t>
  </si>
  <si>
    <t>T000223</t>
  </si>
  <si>
    <t>C00223</t>
  </si>
  <si>
    <t>T000224</t>
  </si>
  <si>
    <t>C00224</t>
  </si>
  <si>
    <t>T000225</t>
  </si>
  <si>
    <t>C00225</t>
  </si>
  <si>
    <t>T000226</t>
  </si>
  <si>
    <t>C00226</t>
  </si>
  <si>
    <t>T000227</t>
  </si>
  <si>
    <t>C00227</t>
  </si>
  <si>
    <t>T000228</t>
  </si>
  <si>
    <t>C00228</t>
  </si>
  <si>
    <t>T000229</t>
  </si>
  <si>
    <t>C00229</t>
  </si>
  <si>
    <t>T000230</t>
  </si>
  <si>
    <t>C00230</t>
  </si>
  <si>
    <t>T000231</t>
  </si>
  <si>
    <t>C00231</t>
  </si>
  <si>
    <t>T000232</t>
  </si>
  <si>
    <t>C00232</t>
  </si>
  <si>
    <t>T000233</t>
  </si>
  <si>
    <t>C00233</t>
  </si>
  <si>
    <t>T000234</t>
  </si>
  <si>
    <t>C00234</t>
  </si>
  <si>
    <t>T000235</t>
  </si>
  <si>
    <t>C00235</t>
  </si>
  <si>
    <t>T000236</t>
  </si>
  <si>
    <t>C00236</t>
  </si>
  <si>
    <t>T000237</t>
  </si>
  <si>
    <t>C00237</t>
  </si>
  <si>
    <t>T000238</t>
  </si>
  <si>
    <t>C00238</t>
  </si>
  <si>
    <t>T000239</t>
  </si>
  <si>
    <t>C00239</t>
  </si>
  <si>
    <t>T000240</t>
  </si>
  <si>
    <t>C00240</t>
  </si>
  <si>
    <t>T000241</t>
  </si>
  <si>
    <t>C00241</t>
  </si>
  <si>
    <t>T000242</t>
  </si>
  <si>
    <t>C00242</t>
  </si>
  <si>
    <t>T000243</t>
  </si>
  <si>
    <t>C00243</t>
  </si>
  <si>
    <t>T000244</t>
  </si>
  <si>
    <t>C00244</t>
  </si>
  <si>
    <t>T000245</t>
  </si>
  <si>
    <t>C00245</t>
  </si>
  <si>
    <t>T000246</t>
  </si>
  <si>
    <t>C00246</t>
  </si>
  <si>
    <t>T000247</t>
  </si>
  <si>
    <t>C00247</t>
  </si>
  <si>
    <t>T000248</t>
  </si>
  <si>
    <t>C00248</t>
  </si>
  <si>
    <t>T000249</t>
  </si>
  <si>
    <t>C00249</t>
  </si>
  <si>
    <t>T000250</t>
  </si>
  <si>
    <t>C00250</t>
  </si>
  <si>
    <t>T000251</t>
  </si>
  <si>
    <t>C00251</t>
  </si>
  <si>
    <t>T000252</t>
  </si>
  <si>
    <t>C00252</t>
  </si>
  <si>
    <t>T000253</t>
  </si>
  <si>
    <t>C00253</t>
  </si>
  <si>
    <t>T000254</t>
  </si>
  <si>
    <t>C00254</t>
  </si>
  <si>
    <t>T000255</t>
  </si>
  <si>
    <t>C00255</t>
  </si>
  <si>
    <t>T000256</t>
  </si>
  <si>
    <t>C00256</t>
  </si>
  <si>
    <t>T000257</t>
  </si>
  <si>
    <t>C00257</t>
  </si>
  <si>
    <t>T000258</t>
  </si>
  <si>
    <t>C00258</t>
  </si>
  <si>
    <t>T000259</t>
  </si>
  <si>
    <t>C00259</t>
  </si>
  <si>
    <t>T000260</t>
  </si>
  <si>
    <t>C00260</t>
  </si>
  <si>
    <t>T000261</t>
  </si>
  <si>
    <t>C00261</t>
  </si>
  <si>
    <t>T000262</t>
  </si>
  <si>
    <t>C00262</t>
  </si>
  <si>
    <t>T000263</t>
  </si>
  <si>
    <t>C00263</t>
  </si>
  <si>
    <t>T000264</t>
  </si>
  <si>
    <t>C00264</t>
  </si>
  <si>
    <t>T000265</t>
  </si>
  <si>
    <t>C00265</t>
  </si>
  <si>
    <t>T000266</t>
  </si>
  <si>
    <t>C00266</t>
  </si>
  <si>
    <t>T000267</t>
  </si>
  <si>
    <t>C00267</t>
  </si>
  <si>
    <t>T000268</t>
  </si>
  <si>
    <t>C00268</t>
  </si>
  <si>
    <t>T000269</t>
  </si>
  <si>
    <t>C00269</t>
  </si>
  <si>
    <t>T000270</t>
  </si>
  <si>
    <t>C00270</t>
  </si>
  <si>
    <t>T000271</t>
  </si>
  <si>
    <t>C00271</t>
  </si>
  <si>
    <t>T000272</t>
  </si>
  <si>
    <t>C00272</t>
  </si>
  <si>
    <t>T000273</t>
  </si>
  <si>
    <t>C00273</t>
  </si>
  <si>
    <t>T000274</t>
  </si>
  <si>
    <t>C00274</t>
  </si>
  <si>
    <t>T000275</t>
  </si>
  <si>
    <t>C00275</t>
  </si>
  <si>
    <t>T000276</t>
  </si>
  <si>
    <t>C00276</t>
  </si>
  <si>
    <t>T000277</t>
  </si>
  <si>
    <t>C00277</t>
  </si>
  <si>
    <t>T000278</t>
  </si>
  <si>
    <t>C00278</t>
  </si>
  <si>
    <t>T000279</t>
  </si>
  <si>
    <t>C00279</t>
  </si>
  <si>
    <t>T000280</t>
  </si>
  <si>
    <t>C00280</t>
  </si>
  <si>
    <t>T000281</t>
  </si>
  <si>
    <t>C00281</t>
  </si>
  <si>
    <t>T000282</t>
  </si>
  <si>
    <t>C00282</t>
  </si>
  <si>
    <t>T000283</t>
  </si>
  <si>
    <t>C00283</t>
  </si>
  <si>
    <t>T000284</t>
  </si>
  <si>
    <t>C00284</t>
  </si>
  <si>
    <t>T000285</t>
  </si>
  <si>
    <t>C00285</t>
  </si>
  <si>
    <t>T000286</t>
  </si>
  <si>
    <t>C00286</t>
  </si>
  <si>
    <t>T000287</t>
  </si>
  <si>
    <t>C00287</t>
  </si>
  <si>
    <t>T000288</t>
  </si>
  <si>
    <t>C00288</t>
  </si>
  <si>
    <t>T000289</t>
  </si>
  <si>
    <t>C00289</t>
  </si>
  <si>
    <t>T000290</t>
  </si>
  <si>
    <t>C00290</t>
  </si>
  <si>
    <t>T000291</t>
  </si>
  <si>
    <t>C00291</t>
  </si>
  <si>
    <t>T000292</t>
  </si>
  <si>
    <t>C00292</t>
  </si>
  <si>
    <t>T000293</t>
  </si>
  <si>
    <t>C00293</t>
  </si>
  <si>
    <t>T000294</t>
  </si>
  <si>
    <t>C00294</t>
  </si>
  <si>
    <t>T000295</t>
  </si>
  <si>
    <t>C00295</t>
  </si>
  <si>
    <t>T000296</t>
  </si>
  <si>
    <t>C00296</t>
  </si>
  <si>
    <t>T000297</t>
  </si>
  <si>
    <t>C00297</t>
  </si>
  <si>
    <t>T000298</t>
  </si>
  <si>
    <t>C00298</t>
  </si>
  <si>
    <t>T000299</t>
  </si>
  <si>
    <t>C00299</t>
  </si>
  <si>
    <t>T000300</t>
  </si>
  <si>
    <t>C00300</t>
  </si>
  <si>
    <t>T000301</t>
  </si>
  <si>
    <t>C00301</t>
  </si>
  <si>
    <t>T000302</t>
  </si>
  <si>
    <t>C00302</t>
  </si>
  <si>
    <t>T000303</t>
  </si>
  <si>
    <t>C00303</t>
  </si>
  <si>
    <t>T000304</t>
  </si>
  <si>
    <t>C00304</t>
  </si>
  <si>
    <t>T000305</t>
  </si>
  <si>
    <t>C00305</t>
  </si>
  <si>
    <t>T000306</t>
  </si>
  <si>
    <t>C00306</t>
  </si>
  <si>
    <t>T000307</t>
  </si>
  <si>
    <t>C00307</t>
  </si>
  <si>
    <t>T000308</t>
  </si>
  <si>
    <t>C00308</t>
  </si>
  <si>
    <t>T000309</t>
  </si>
  <si>
    <t>C00309</t>
  </si>
  <si>
    <t>T000310</t>
  </si>
  <si>
    <t>C00310</t>
  </si>
  <si>
    <t>T000311</t>
  </si>
  <si>
    <t>C00311</t>
  </si>
  <si>
    <t>T000312</t>
  </si>
  <si>
    <t>C00312</t>
  </si>
  <si>
    <t>T000313</t>
  </si>
  <si>
    <t>C00313</t>
  </si>
  <si>
    <t>T000314</t>
  </si>
  <si>
    <t>C00314</t>
  </si>
  <si>
    <t>T000315</t>
  </si>
  <si>
    <t>C00315</t>
  </si>
  <si>
    <t>T000316</t>
  </si>
  <si>
    <t>C00316</t>
  </si>
  <si>
    <t>T000317</t>
  </si>
  <si>
    <t>C00317</t>
  </si>
  <si>
    <t>T000318</t>
  </si>
  <si>
    <t>C00318</t>
  </si>
  <si>
    <t>T000319</t>
  </si>
  <si>
    <t>C00319</t>
  </si>
  <si>
    <t>T000320</t>
  </si>
  <si>
    <t>C00320</t>
  </si>
  <si>
    <t>T000321</t>
  </si>
  <si>
    <t>C00321</t>
  </si>
  <si>
    <t>T000322</t>
  </si>
  <si>
    <t>C00322</t>
  </si>
  <si>
    <t>T000323</t>
  </si>
  <si>
    <t>C00323</t>
  </si>
  <si>
    <t>T000324</t>
  </si>
  <si>
    <t>C00324</t>
  </si>
  <si>
    <t>T000325</t>
  </si>
  <si>
    <t>C00325</t>
  </si>
  <si>
    <t>T000326</t>
  </si>
  <si>
    <t>C00326</t>
  </si>
  <si>
    <t>T000327</t>
  </si>
  <si>
    <t>C00327</t>
  </si>
  <si>
    <t>T000328</t>
  </si>
  <si>
    <t>C00328</t>
  </si>
  <si>
    <t>T000329</t>
  </si>
  <si>
    <t>C00329</t>
  </si>
  <si>
    <t>T000330</t>
  </si>
  <si>
    <t>C00330</t>
  </si>
  <si>
    <t>T000331</t>
  </si>
  <si>
    <t>C00331</t>
  </si>
  <si>
    <t>T000332</t>
  </si>
  <si>
    <t>C00332</t>
  </si>
  <si>
    <t>T000333</t>
  </si>
  <si>
    <t>C00333</t>
  </si>
  <si>
    <t>T000334</t>
  </si>
  <si>
    <t>C00334</t>
  </si>
  <si>
    <t>T000335</t>
  </si>
  <si>
    <t>C00335</t>
  </si>
  <si>
    <t>T000336</t>
  </si>
  <si>
    <t>C00336</t>
  </si>
  <si>
    <t>T000337</t>
  </si>
  <si>
    <t>C00337</t>
  </si>
  <si>
    <t>T000338</t>
  </si>
  <si>
    <t>C00338</t>
  </si>
  <si>
    <t>T000339</t>
  </si>
  <si>
    <t>C00339</t>
  </si>
  <si>
    <t>T000340</t>
  </si>
  <si>
    <t>C00340</t>
  </si>
  <si>
    <t>T000341</t>
  </si>
  <si>
    <t>C00341</t>
  </si>
  <si>
    <t>T000342</t>
  </si>
  <si>
    <t>C00342</t>
  </si>
  <si>
    <t>T000343</t>
  </si>
  <si>
    <t>C00343</t>
  </si>
  <si>
    <t>T000344</t>
  </si>
  <si>
    <t>C00344</t>
  </si>
  <si>
    <t>T000345</t>
  </si>
  <si>
    <t>C00345</t>
  </si>
  <si>
    <t>T000346</t>
  </si>
  <si>
    <t>C00346</t>
  </si>
  <si>
    <t>T000347</t>
  </si>
  <si>
    <t>C00347</t>
  </si>
  <si>
    <t>T000348</t>
  </si>
  <si>
    <t>C00348</t>
  </si>
  <si>
    <t>T000349</t>
  </si>
  <si>
    <t>C00349</t>
  </si>
  <si>
    <t>T000350</t>
  </si>
  <si>
    <t>C00350</t>
  </si>
  <si>
    <t>T000351</t>
  </si>
  <si>
    <t>C00351</t>
  </si>
  <si>
    <t>T000352</t>
  </si>
  <si>
    <t>C00352</t>
  </si>
  <si>
    <t>T000353</t>
  </si>
  <si>
    <t>C00353</t>
  </si>
  <si>
    <t>T000354</t>
  </si>
  <si>
    <t>C00354</t>
  </si>
  <si>
    <t>T000355</t>
  </si>
  <si>
    <t>C00355</t>
  </si>
  <si>
    <t>T000356</t>
  </si>
  <si>
    <t>C00356</t>
  </si>
  <si>
    <t>T000357</t>
  </si>
  <si>
    <t>C00357</t>
  </si>
  <si>
    <t>T000358</t>
  </si>
  <si>
    <t>C00358</t>
  </si>
  <si>
    <t>T000359</t>
  </si>
  <si>
    <t>C00359</t>
  </si>
  <si>
    <t>T000360</t>
  </si>
  <si>
    <t>C00360</t>
  </si>
  <si>
    <t>T000361</t>
  </si>
  <si>
    <t>C00361</t>
  </si>
  <si>
    <t>T000362</t>
  </si>
  <si>
    <t>C00362</t>
  </si>
  <si>
    <t>T000363</t>
  </si>
  <si>
    <t>C00363</t>
  </si>
  <si>
    <t>T000364</t>
  </si>
  <si>
    <t>C00364</t>
  </si>
  <si>
    <t>T000365</t>
  </si>
  <si>
    <t>C00365</t>
  </si>
  <si>
    <t>T000366</t>
  </si>
  <si>
    <t>C00366</t>
  </si>
  <si>
    <t>T000367</t>
  </si>
  <si>
    <t>C00367</t>
  </si>
  <si>
    <t>T000368</t>
  </si>
  <si>
    <t>C00368</t>
  </si>
  <si>
    <t>T000369</t>
  </si>
  <si>
    <t>C00369</t>
  </si>
  <si>
    <t>T000370</t>
  </si>
  <si>
    <t>C00370</t>
  </si>
  <si>
    <t>T000371</t>
  </si>
  <si>
    <t>C00371</t>
  </si>
  <si>
    <t>T000372</t>
  </si>
  <si>
    <t>C00372</t>
  </si>
  <si>
    <t>T000373</t>
  </si>
  <si>
    <t>C00373</t>
  </si>
  <si>
    <t>T000374</t>
  </si>
  <si>
    <t>C00374</t>
  </si>
  <si>
    <t>T000375</t>
  </si>
  <si>
    <t>C00375</t>
  </si>
  <si>
    <t>T000376</t>
  </si>
  <si>
    <t>C00376</t>
  </si>
  <si>
    <t>T000377</t>
  </si>
  <si>
    <t>C00377</t>
  </si>
  <si>
    <t>T000378</t>
  </si>
  <si>
    <t>C00378</t>
  </si>
  <si>
    <t>T000379</t>
  </si>
  <si>
    <t>C00379</t>
  </si>
  <si>
    <t>T000380</t>
  </si>
  <si>
    <t>C00380</t>
  </si>
  <si>
    <t>T000381</t>
  </si>
  <si>
    <t>C00381</t>
  </si>
  <si>
    <t>T000382</t>
  </si>
  <si>
    <t>C00382</t>
  </si>
  <si>
    <t>T000383</t>
  </si>
  <si>
    <t>C00383</t>
  </si>
  <si>
    <t>T000384</t>
  </si>
  <si>
    <t>C00384</t>
  </si>
  <si>
    <t>T000385</t>
  </si>
  <si>
    <t>C00385</t>
  </si>
  <si>
    <t>T000386</t>
  </si>
  <si>
    <t>C00386</t>
  </si>
  <si>
    <t>T000387</t>
  </si>
  <si>
    <t>C00387</t>
  </si>
  <si>
    <t>T000388</t>
  </si>
  <si>
    <t>C00388</t>
  </si>
  <si>
    <t>T000389</t>
  </si>
  <si>
    <t>C00389</t>
  </si>
  <si>
    <t>T000390</t>
  </si>
  <si>
    <t>C00390</t>
  </si>
  <si>
    <t>T000391</t>
  </si>
  <si>
    <t>C00391</t>
  </si>
  <si>
    <t>T000392</t>
  </si>
  <si>
    <t>C00392</t>
  </si>
  <si>
    <t>T000393</t>
  </si>
  <si>
    <t>C00393</t>
  </si>
  <si>
    <t>T000394</t>
  </si>
  <si>
    <t>C00394</t>
  </si>
  <si>
    <t>T000395</t>
  </si>
  <si>
    <t>C00395</t>
  </si>
  <si>
    <t>T000396</t>
  </si>
  <si>
    <t>C00396</t>
  </si>
  <si>
    <t>T000397</t>
  </si>
  <si>
    <t>C00397</t>
  </si>
  <si>
    <t>T000398</t>
  </si>
  <si>
    <t>C00398</t>
  </si>
  <si>
    <t>T000399</t>
  </si>
  <si>
    <t>C00399</t>
  </si>
  <si>
    <t>T000400</t>
  </si>
  <si>
    <t>C00400</t>
  </si>
  <si>
    <t>T000401</t>
  </si>
  <si>
    <t>C00401</t>
  </si>
  <si>
    <t>T000402</t>
  </si>
  <si>
    <t>C00402</t>
  </si>
  <si>
    <t>T000403</t>
  </si>
  <si>
    <t>C00403</t>
  </si>
  <si>
    <t>T000404</t>
  </si>
  <si>
    <t>C00404</t>
  </si>
  <si>
    <t>T000405</t>
  </si>
  <si>
    <t>C00405</t>
  </si>
  <si>
    <t>T000406</t>
  </si>
  <si>
    <t>C00406</t>
  </si>
  <si>
    <t>T000407</t>
  </si>
  <si>
    <t>C00407</t>
  </si>
  <si>
    <t>T000408</t>
  </si>
  <si>
    <t>C00408</t>
  </si>
  <si>
    <t>T000409</t>
  </si>
  <si>
    <t>C00409</t>
  </si>
  <si>
    <t>T000410</t>
  </si>
  <si>
    <t>C00410</t>
  </si>
  <si>
    <t>T000411</t>
  </si>
  <si>
    <t>C00411</t>
  </si>
  <si>
    <t>T000412</t>
  </si>
  <si>
    <t>C00412</t>
  </si>
  <si>
    <t>T000413</t>
  </si>
  <si>
    <t>C00413</t>
  </si>
  <si>
    <t>T000414</t>
  </si>
  <si>
    <t>C00414</t>
  </si>
  <si>
    <t>T000415</t>
  </si>
  <si>
    <t>C00415</t>
  </si>
  <si>
    <t>T000416</t>
  </si>
  <si>
    <t>C00416</t>
  </si>
  <si>
    <t>T000417</t>
  </si>
  <si>
    <t>C00417</t>
  </si>
  <si>
    <t>T000418</t>
  </si>
  <si>
    <t>C00418</t>
  </si>
  <si>
    <t>T000419</t>
  </si>
  <si>
    <t>C00419</t>
  </si>
  <si>
    <t>T000420</t>
  </si>
  <si>
    <t>C00420</t>
  </si>
  <si>
    <t>T000421</t>
  </si>
  <si>
    <t>C00421</t>
  </si>
  <si>
    <t>T000422</t>
  </si>
  <si>
    <t>C00422</t>
  </si>
  <si>
    <t>T000423</t>
  </si>
  <si>
    <t>C00423</t>
  </si>
  <si>
    <t>T000424</t>
  </si>
  <si>
    <t>C00424</t>
  </si>
  <si>
    <t>T000425</t>
  </si>
  <si>
    <t>C00425</t>
  </si>
  <si>
    <t>T000426</t>
  </si>
  <si>
    <t>C00426</t>
  </si>
  <si>
    <t>T000427</t>
  </si>
  <si>
    <t>C00427</t>
  </si>
  <si>
    <t>T000428</t>
  </si>
  <si>
    <t>C00428</t>
  </si>
  <si>
    <t>T000429</t>
  </si>
  <si>
    <t>C00429</t>
  </si>
  <si>
    <t>T000430</t>
  </si>
  <si>
    <t>C00430</t>
  </si>
  <si>
    <t>T000431</t>
  </si>
  <si>
    <t>C00431</t>
  </si>
  <si>
    <t>T000432</t>
  </si>
  <si>
    <t>C00432</t>
  </si>
  <si>
    <t>T000433</t>
  </si>
  <si>
    <t>C00433</t>
  </si>
  <si>
    <t>T000434</t>
  </si>
  <si>
    <t>C00434</t>
  </si>
  <si>
    <t>T000435</t>
  </si>
  <si>
    <t>C00435</t>
  </si>
  <si>
    <t>T000436</t>
  </si>
  <si>
    <t>C00436</t>
  </si>
  <si>
    <t>T000437</t>
  </si>
  <si>
    <t>C00437</t>
  </si>
  <si>
    <t>T000438</t>
  </si>
  <si>
    <t>C00438</t>
  </si>
  <si>
    <t>T000439</t>
  </si>
  <si>
    <t>C00439</t>
  </si>
  <si>
    <t>T000440</t>
  </si>
  <si>
    <t>C00440</t>
  </si>
  <si>
    <t>T000441</t>
  </si>
  <si>
    <t>C00441</t>
  </si>
  <si>
    <t>T000442</t>
  </si>
  <si>
    <t>C00442</t>
  </si>
  <si>
    <t>T000443</t>
  </si>
  <si>
    <t>C00443</t>
  </si>
  <si>
    <t>T000444</t>
  </si>
  <si>
    <t>C00444</t>
  </si>
  <si>
    <t>T000445</t>
  </si>
  <si>
    <t>C00445</t>
  </si>
  <si>
    <t>T000446</t>
  </si>
  <si>
    <t>C00446</t>
  </si>
  <si>
    <t>T000447</t>
  </si>
  <si>
    <t>C00447</t>
  </si>
  <si>
    <t>T000448</t>
  </si>
  <si>
    <t>C00448</t>
  </si>
  <si>
    <t>T000449</t>
  </si>
  <si>
    <t>C00449</t>
  </si>
  <si>
    <t>T000450</t>
  </si>
  <si>
    <t>C00450</t>
  </si>
  <si>
    <t>T000451</t>
  </si>
  <si>
    <t>C00451</t>
  </si>
  <si>
    <t>T000452</t>
  </si>
  <si>
    <t>C00452</t>
  </si>
  <si>
    <t>T000453</t>
  </si>
  <si>
    <t>C00453</t>
  </si>
  <si>
    <t>T000454</t>
  </si>
  <si>
    <t>C00454</t>
  </si>
  <si>
    <t>T000455</t>
  </si>
  <si>
    <t>C00455</t>
  </si>
  <si>
    <t>T000456</t>
  </si>
  <si>
    <t>C00456</t>
  </si>
  <si>
    <t>T000457</t>
  </si>
  <si>
    <t>C00457</t>
  </si>
  <si>
    <t>T000458</t>
  </si>
  <si>
    <t>C00458</t>
  </si>
  <si>
    <t>T000459</t>
  </si>
  <si>
    <t>C00459</t>
  </si>
  <si>
    <t>T000460</t>
  </si>
  <si>
    <t>C00460</t>
  </si>
  <si>
    <t>T000461</t>
  </si>
  <si>
    <t>C00461</t>
  </si>
  <si>
    <t>T000462</t>
  </si>
  <si>
    <t>C00462</t>
  </si>
  <si>
    <t>T000463</t>
  </si>
  <si>
    <t>C00463</t>
  </si>
  <si>
    <t>T000464</t>
  </si>
  <si>
    <t>C00464</t>
  </si>
  <si>
    <t>T000465</t>
  </si>
  <si>
    <t>C00465</t>
  </si>
  <si>
    <t>T000466</t>
  </si>
  <si>
    <t>C00466</t>
  </si>
  <si>
    <t>T000467</t>
  </si>
  <si>
    <t>C00467</t>
  </si>
  <si>
    <t>T000468</t>
  </si>
  <si>
    <t>C00468</t>
  </si>
  <si>
    <t>T000469</t>
  </si>
  <si>
    <t>C00469</t>
  </si>
  <si>
    <t>T000470</t>
  </si>
  <si>
    <t>C00470</t>
  </si>
  <si>
    <t>T000471</t>
  </si>
  <si>
    <t>C00471</t>
  </si>
  <si>
    <t>T000472</t>
  </si>
  <si>
    <t>C00472</t>
  </si>
  <si>
    <t>T000473</t>
  </si>
  <si>
    <t>C00473</t>
  </si>
  <si>
    <t>T000474</t>
  </si>
  <si>
    <t>C00474</t>
  </si>
  <si>
    <t>T000475</t>
  </si>
  <si>
    <t>C00475</t>
  </si>
  <si>
    <t>T000476</t>
  </si>
  <si>
    <t>C00476</t>
  </si>
  <si>
    <t>T000477</t>
  </si>
  <si>
    <t>C00477</t>
  </si>
  <si>
    <t>T000478</t>
  </si>
  <si>
    <t>C00478</t>
  </si>
  <si>
    <t>T000479</t>
  </si>
  <si>
    <t>C00479</t>
  </si>
  <si>
    <t>T000480</t>
  </si>
  <si>
    <t>C00480</t>
  </si>
  <si>
    <t>T000481</t>
  </si>
  <si>
    <t>C00481</t>
  </si>
  <si>
    <t>T000482</t>
  </si>
  <si>
    <t>C00482</t>
  </si>
  <si>
    <t>T000483</t>
  </si>
  <si>
    <t>C00483</t>
  </si>
  <si>
    <t>T000484</t>
  </si>
  <si>
    <t>C00484</t>
  </si>
  <si>
    <t>T000485</t>
  </si>
  <si>
    <t>C00485</t>
  </si>
  <si>
    <t>T000486</t>
  </si>
  <si>
    <t>C00486</t>
  </si>
  <si>
    <t>T000487</t>
  </si>
  <si>
    <t>C00487</t>
  </si>
  <si>
    <t>T000488</t>
  </si>
  <si>
    <t>C00488</t>
  </si>
  <si>
    <t>T000489</t>
  </si>
  <si>
    <t>C00489</t>
  </si>
  <si>
    <t>T000490</t>
  </si>
  <si>
    <t>C00490</t>
  </si>
  <si>
    <t>T000491</t>
  </si>
  <si>
    <t>C00491</t>
  </si>
  <si>
    <t>T000492</t>
  </si>
  <si>
    <t>C00492</t>
  </si>
  <si>
    <t>T000493</t>
  </si>
  <si>
    <t>C00493</t>
  </si>
  <si>
    <t>T000494</t>
  </si>
  <si>
    <t>C00494</t>
  </si>
  <si>
    <t>T000495</t>
  </si>
  <si>
    <t>C00495</t>
  </si>
  <si>
    <t>T000496</t>
  </si>
  <si>
    <t>C00496</t>
  </si>
  <si>
    <t>T000497</t>
  </si>
  <si>
    <t>C00497</t>
  </si>
  <si>
    <t>T000498</t>
  </si>
  <si>
    <t>C00498</t>
  </si>
  <si>
    <t>T000499</t>
  </si>
  <si>
    <t>C00499</t>
  </si>
  <si>
    <t>T000500</t>
  </si>
  <si>
    <t>C00500</t>
  </si>
  <si>
    <t>T000501</t>
  </si>
  <si>
    <t>C00501</t>
  </si>
  <si>
    <t>T000502</t>
  </si>
  <si>
    <t>C00502</t>
  </si>
  <si>
    <t>T000503</t>
  </si>
  <si>
    <t>C00503</t>
  </si>
  <si>
    <t>T000504</t>
  </si>
  <si>
    <t>C00504</t>
  </si>
  <si>
    <t>T000505</t>
  </si>
  <si>
    <t>C00505</t>
  </si>
  <si>
    <t>T000506</t>
  </si>
  <si>
    <t>C00506</t>
  </si>
  <si>
    <t>T000507</t>
  </si>
  <si>
    <t>C00507</t>
  </si>
  <si>
    <t>T000508</t>
  </si>
  <si>
    <t>C00508</t>
  </si>
  <si>
    <t>T000509</t>
  </si>
  <si>
    <t>C00509</t>
  </si>
  <si>
    <t>T000510</t>
  </si>
  <si>
    <t>C00510</t>
  </si>
  <si>
    <t>T000511</t>
  </si>
  <si>
    <t>C00511</t>
  </si>
  <si>
    <t>T000512</t>
  </si>
  <si>
    <t>C00512</t>
  </si>
  <si>
    <t>T000513</t>
  </si>
  <si>
    <t>C00513</t>
  </si>
  <si>
    <t>T000514</t>
  </si>
  <si>
    <t>C00514</t>
  </si>
  <si>
    <t>T000515</t>
  </si>
  <si>
    <t>C00515</t>
  </si>
  <si>
    <t>T000516</t>
  </si>
  <si>
    <t>C00516</t>
  </si>
  <si>
    <t>T000517</t>
  </si>
  <si>
    <t>C00517</t>
  </si>
  <si>
    <t>T000518</t>
  </si>
  <si>
    <t>C00518</t>
  </si>
  <si>
    <t>T000519</t>
  </si>
  <si>
    <t>C00519</t>
  </si>
  <si>
    <t>T000520</t>
  </si>
  <si>
    <t>C00520</t>
  </si>
  <si>
    <t>T000521</t>
  </si>
  <si>
    <t>C00521</t>
  </si>
  <si>
    <t>T000522</t>
  </si>
  <si>
    <t>C00522</t>
  </si>
  <si>
    <t>T000523</t>
  </si>
  <si>
    <t>C00523</t>
  </si>
  <si>
    <t>T000524</t>
  </si>
  <si>
    <t>C00524</t>
  </si>
  <si>
    <t>T000525</t>
  </si>
  <si>
    <t>C00525</t>
  </si>
  <si>
    <t>T000526</t>
  </si>
  <si>
    <t>C00526</t>
  </si>
  <si>
    <t>T000527</t>
  </si>
  <si>
    <t>C00527</t>
  </si>
  <si>
    <t>T000528</t>
  </si>
  <si>
    <t>C00528</t>
  </si>
  <si>
    <t>T000529</t>
  </si>
  <si>
    <t>C00529</t>
  </si>
  <si>
    <t>T000530</t>
  </si>
  <si>
    <t>C00530</t>
  </si>
  <si>
    <t>T000531</t>
  </si>
  <si>
    <t>C00531</t>
  </si>
  <si>
    <t>T000532</t>
  </si>
  <si>
    <t>C00532</t>
  </si>
  <si>
    <t>T000533</t>
  </si>
  <si>
    <t>C00533</t>
  </si>
  <si>
    <t>T000534</t>
  </si>
  <si>
    <t>C00534</t>
  </si>
  <si>
    <t>T000535</t>
  </si>
  <si>
    <t>C00535</t>
  </si>
  <si>
    <t>T000536</t>
  </si>
  <si>
    <t>C00536</t>
  </si>
  <si>
    <t>T000537</t>
  </si>
  <si>
    <t>C00537</t>
  </si>
  <si>
    <t>T000538</t>
  </si>
  <si>
    <t>C00538</t>
  </si>
  <si>
    <t>T000539</t>
  </si>
  <si>
    <t>C00539</t>
  </si>
  <si>
    <t>T000540</t>
  </si>
  <si>
    <t>C00540</t>
  </si>
  <si>
    <t>T000541</t>
  </si>
  <si>
    <t>C00541</t>
  </si>
  <si>
    <t>T000542</t>
  </si>
  <si>
    <t>C00542</t>
  </si>
  <si>
    <t>T000543</t>
  </si>
  <si>
    <t>C00543</t>
  </si>
  <si>
    <t>T000544</t>
  </si>
  <si>
    <t>C00544</t>
  </si>
  <si>
    <t>T000545</t>
  </si>
  <si>
    <t>C00545</t>
  </si>
  <si>
    <t>T000546</t>
  </si>
  <si>
    <t>C00546</t>
  </si>
  <si>
    <t>T000547</t>
  </si>
  <si>
    <t>C00547</t>
  </si>
  <si>
    <t>T000548</t>
  </si>
  <si>
    <t>C00548</t>
  </si>
  <si>
    <t>T000549</t>
  </si>
  <si>
    <t>C00549</t>
  </si>
  <si>
    <t>T000550</t>
  </si>
  <si>
    <t>C00550</t>
  </si>
  <si>
    <t>T000551</t>
  </si>
  <si>
    <t>C00551</t>
  </si>
  <si>
    <t>T000552</t>
  </si>
  <si>
    <t>C00552</t>
  </si>
  <si>
    <t>T000553</t>
  </si>
  <si>
    <t>C00553</t>
  </si>
  <si>
    <t>T000554</t>
  </si>
  <si>
    <t>C00554</t>
  </si>
  <si>
    <t>T000555</t>
  </si>
  <si>
    <t>C00555</t>
  </si>
  <si>
    <t>T000556</t>
  </si>
  <si>
    <t>C00556</t>
  </si>
  <si>
    <t>T000557</t>
  </si>
  <si>
    <t>C00557</t>
  </si>
  <si>
    <t>T000558</t>
  </si>
  <si>
    <t>C00558</t>
  </si>
  <si>
    <t>T000559</t>
  </si>
  <si>
    <t>C00559</t>
  </si>
  <si>
    <t>T000560</t>
  </si>
  <si>
    <t>C00560</t>
  </si>
  <si>
    <t>T000561</t>
  </si>
  <si>
    <t>C00561</t>
  </si>
  <si>
    <t>T000562</t>
  </si>
  <si>
    <t>C00562</t>
  </si>
  <si>
    <t>T000563</t>
  </si>
  <si>
    <t>C00563</t>
  </si>
  <si>
    <t>T000564</t>
  </si>
  <si>
    <t>C00564</t>
  </si>
  <si>
    <t>T000565</t>
  </si>
  <si>
    <t>C00565</t>
  </si>
  <si>
    <t>T000566</t>
  </si>
  <si>
    <t>C00566</t>
  </si>
  <si>
    <t>T000567</t>
  </si>
  <si>
    <t>C00567</t>
  </si>
  <si>
    <t>T000568</t>
  </si>
  <si>
    <t>C00568</t>
  </si>
  <si>
    <t>T000569</t>
  </si>
  <si>
    <t>C00569</t>
  </si>
  <si>
    <t>T000570</t>
  </si>
  <si>
    <t>C00570</t>
  </si>
  <si>
    <t>T000571</t>
  </si>
  <si>
    <t>C00571</t>
  </si>
  <si>
    <t>T000572</t>
  </si>
  <si>
    <t>C00572</t>
  </si>
  <si>
    <t>T000573</t>
  </si>
  <si>
    <t>C00573</t>
  </si>
  <si>
    <t>T000574</t>
  </si>
  <si>
    <t>C00574</t>
  </si>
  <si>
    <t>T000575</t>
  </si>
  <si>
    <t>C00575</t>
  </si>
  <si>
    <t>T000576</t>
  </si>
  <si>
    <t>C00576</t>
  </si>
  <si>
    <t>T000577</t>
  </si>
  <si>
    <t>C00577</t>
  </si>
  <si>
    <t>T000578</t>
  </si>
  <si>
    <t>C00578</t>
  </si>
  <si>
    <t>T000579</t>
  </si>
  <si>
    <t>C00579</t>
  </si>
  <si>
    <t>T000580</t>
  </si>
  <si>
    <t>C00580</t>
  </si>
  <si>
    <t>T000581</t>
  </si>
  <si>
    <t>C00581</t>
  </si>
  <si>
    <t>T000582</t>
  </si>
  <si>
    <t>C00582</t>
  </si>
  <si>
    <t>T000583</t>
  </si>
  <si>
    <t>C00583</t>
  </si>
  <si>
    <t>T000584</t>
  </si>
  <si>
    <t>C00584</t>
  </si>
  <si>
    <t>T000585</t>
  </si>
  <si>
    <t>C00585</t>
  </si>
  <si>
    <t>T000586</t>
  </si>
  <si>
    <t>C00586</t>
  </si>
  <si>
    <t>T000587</t>
  </si>
  <si>
    <t>C00587</t>
  </si>
  <si>
    <t>T000588</t>
  </si>
  <si>
    <t>C00588</t>
  </si>
  <si>
    <t>T000589</t>
  </si>
  <si>
    <t>C00589</t>
  </si>
  <si>
    <t>T000590</t>
  </si>
  <si>
    <t>C00590</t>
  </si>
  <si>
    <t>T000591</t>
  </si>
  <si>
    <t>C00591</t>
  </si>
  <si>
    <t>T000592</t>
  </si>
  <si>
    <t>C00592</t>
  </si>
  <si>
    <t>T000593</t>
  </si>
  <si>
    <t>C00593</t>
  </si>
  <si>
    <t>T000594</t>
  </si>
  <si>
    <t>C00594</t>
  </si>
  <si>
    <t>T000595</t>
  </si>
  <si>
    <t>C00595</t>
  </si>
  <si>
    <t>T000596</t>
  </si>
  <si>
    <t>C00596</t>
  </si>
  <si>
    <t>T000597</t>
  </si>
  <si>
    <t>C00597</t>
  </si>
  <si>
    <t>T000598</t>
  </si>
  <si>
    <t>C00598</t>
  </si>
  <si>
    <t>T000599</t>
  </si>
  <si>
    <t>C00599</t>
  </si>
  <si>
    <t>T000600</t>
  </si>
  <si>
    <t>C00600</t>
  </si>
  <si>
    <t>T000601</t>
  </si>
  <si>
    <t>C00601</t>
  </si>
  <si>
    <t>T000602</t>
  </si>
  <si>
    <t>C00602</t>
  </si>
  <si>
    <t>T000603</t>
  </si>
  <si>
    <t>C00603</t>
  </si>
  <si>
    <t>T000604</t>
  </si>
  <si>
    <t>C00604</t>
  </si>
  <si>
    <t>T000605</t>
  </si>
  <si>
    <t>C00605</t>
  </si>
  <si>
    <t>T000606</t>
  </si>
  <si>
    <t>C00606</t>
  </si>
  <si>
    <t>T000607</t>
  </si>
  <si>
    <t>C00607</t>
  </si>
  <si>
    <t>T000608</t>
  </si>
  <si>
    <t>C00608</t>
  </si>
  <si>
    <t>T000609</t>
  </si>
  <si>
    <t>C00609</t>
  </si>
  <si>
    <t>T000610</t>
  </si>
  <si>
    <t>C00610</t>
  </si>
  <si>
    <t>T000611</t>
  </si>
  <si>
    <t>C00611</t>
  </si>
  <si>
    <t>T000612</t>
  </si>
  <si>
    <t>C00612</t>
  </si>
  <si>
    <t>T000613</t>
  </si>
  <si>
    <t>C00613</t>
  </si>
  <si>
    <t>T000614</t>
  </si>
  <si>
    <t>C00614</t>
  </si>
  <si>
    <t>T000615</t>
  </si>
  <si>
    <t>C00615</t>
  </si>
  <si>
    <t>T000616</t>
  </si>
  <si>
    <t>C00616</t>
  </si>
  <si>
    <t>T000617</t>
  </si>
  <si>
    <t>C00617</t>
  </si>
  <si>
    <t>T000618</t>
  </si>
  <si>
    <t>C00618</t>
  </si>
  <si>
    <t>T000619</t>
  </si>
  <si>
    <t>C00619</t>
  </si>
  <si>
    <t>T000620</t>
  </si>
  <si>
    <t>C00620</t>
  </si>
  <si>
    <t>T000621</t>
  </si>
  <si>
    <t>C00621</t>
  </si>
  <si>
    <t>T000622</t>
  </si>
  <si>
    <t>C00622</t>
  </si>
  <si>
    <t>T000623</t>
  </si>
  <si>
    <t>C00623</t>
  </si>
  <si>
    <t>T000624</t>
  </si>
  <si>
    <t>C00624</t>
  </si>
  <si>
    <t>T000625</t>
  </si>
  <si>
    <t>C00625</t>
  </si>
  <si>
    <t>T000626</t>
  </si>
  <si>
    <t>C00626</t>
  </si>
  <si>
    <t>T000627</t>
  </si>
  <si>
    <t>C00627</t>
  </si>
  <si>
    <t>T000628</t>
  </si>
  <si>
    <t>C00628</t>
  </si>
  <si>
    <t>T000629</t>
  </si>
  <si>
    <t>C00629</t>
  </si>
  <si>
    <t>T000630</t>
  </si>
  <si>
    <t>C00630</t>
  </si>
  <si>
    <t>T000631</t>
  </si>
  <si>
    <t>C00631</t>
  </si>
  <si>
    <t>T000632</t>
  </si>
  <si>
    <t>C00632</t>
  </si>
  <si>
    <t>T000633</t>
  </si>
  <si>
    <t>C00633</t>
  </si>
  <si>
    <t>T000634</t>
  </si>
  <si>
    <t>C00634</t>
  </si>
  <si>
    <t>T000635</t>
  </si>
  <si>
    <t>C00635</t>
  </si>
  <si>
    <t>T000636</t>
  </si>
  <si>
    <t>C00636</t>
  </si>
  <si>
    <t>T000637</t>
  </si>
  <si>
    <t>C00637</t>
  </si>
  <si>
    <t>T000638</t>
  </si>
  <si>
    <t>C00638</t>
  </si>
  <si>
    <t>T000639</t>
  </si>
  <si>
    <t>C00639</t>
  </si>
  <si>
    <t>T000640</t>
  </si>
  <si>
    <t>C00640</t>
  </si>
  <si>
    <t>T000641</t>
  </si>
  <si>
    <t>C00641</t>
  </si>
  <si>
    <t>T000642</t>
  </si>
  <si>
    <t>C00642</t>
  </si>
  <si>
    <t>T000643</t>
  </si>
  <si>
    <t>C00643</t>
  </si>
  <si>
    <t>T000644</t>
  </si>
  <si>
    <t>C00644</t>
  </si>
  <si>
    <t>T000645</t>
  </si>
  <si>
    <t>C00645</t>
  </si>
  <si>
    <t>T000646</t>
  </si>
  <si>
    <t>C00646</t>
  </si>
  <si>
    <t>T000647</t>
  </si>
  <si>
    <t>C00647</t>
  </si>
  <si>
    <t>T000648</t>
  </si>
  <si>
    <t>C00648</t>
  </si>
  <si>
    <t>T000649</t>
  </si>
  <si>
    <t>C00649</t>
  </si>
  <si>
    <t>T000650</t>
  </si>
  <si>
    <t>C00650</t>
  </si>
  <si>
    <t>T000651</t>
  </si>
  <si>
    <t>C00651</t>
  </si>
  <si>
    <t>T000652</t>
  </si>
  <si>
    <t>C00652</t>
  </si>
  <si>
    <t>T000653</t>
  </si>
  <si>
    <t>C00653</t>
  </si>
  <si>
    <t>T000654</t>
  </si>
  <si>
    <t>C00654</t>
  </si>
  <si>
    <t>T000655</t>
  </si>
  <si>
    <t>C00655</t>
  </si>
  <si>
    <t>T000656</t>
  </si>
  <si>
    <t>C00656</t>
  </si>
  <si>
    <t>T000657</t>
  </si>
  <si>
    <t>C00657</t>
  </si>
  <si>
    <t>T000658</t>
  </si>
  <si>
    <t>C00658</t>
  </si>
  <si>
    <t>T000659</t>
  </si>
  <si>
    <t>C00659</t>
  </si>
  <si>
    <t>T000660</t>
  </si>
  <si>
    <t>C00660</t>
  </si>
  <si>
    <t>T000661</t>
  </si>
  <si>
    <t>C00661</t>
  </si>
  <si>
    <t>T000662</t>
  </si>
  <si>
    <t>C00662</t>
  </si>
  <si>
    <t>T000663</t>
  </si>
  <si>
    <t>C00663</t>
  </si>
  <si>
    <t>T000664</t>
  </si>
  <si>
    <t>C00664</t>
  </si>
  <si>
    <t>T000665</t>
  </si>
  <si>
    <t>C00665</t>
  </si>
  <si>
    <t>T000666</t>
  </si>
  <si>
    <t>C00666</t>
  </si>
  <si>
    <t>T000667</t>
  </si>
  <si>
    <t>C00667</t>
  </si>
  <si>
    <t>T000668</t>
  </si>
  <si>
    <t>C00668</t>
  </si>
  <si>
    <t>T000669</t>
  </si>
  <si>
    <t>C00669</t>
  </si>
  <si>
    <t>T000670</t>
  </si>
  <si>
    <t>C00670</t>
  </si>
  <si>
    <t>T000671</t>
  </si>
  <si>
    <t>C00671</t>
  </si>
  <si>
    <t>T000672</t>
  </si>
  <si>
    <t>C00672</t>
  </si>
  <si>
    <t>T000673</t>
  </si>
  <si>
    <t>C00673</t>
  </si>
  <si>
    <t>T000674</t>
  </si>
  <si>
    <t>C00674</t>
  </si>
  <si>
    <t>T000675</t>
  </si>
  <si>
    <t>C00675</t>
  </si>
  <si>
    <t>T000676</t>
  </si>
  <si>
    <t>C00676</t>
  </si>
  <si>
    <t>T000677</t>
  </si>
  <si>
    <t>C00677</t>
  </si>
  <si>
    <t>T000678</t>
  </si>
  <si>
    <t>C00678</t>
  </si>
  <si>
    <t>T000679</t>
  </si>
  <si>
    <t>C00679</t>
  </si>
  <si>
    <t>T000680</t>
  </si>
  <si>
    <t>C00680</t>
  </si>
  <si>
    <t>T000681</t>
  </si>
  <si>
    <t>C00681</t>
  </si>
  <si>
    <t>T000682</t>
  </si>
  <si>
    <t>C00682</t>
  </si>
  <si>
    <t>T000683</t>
  </si>
  <si>
    <t>C00683</t>
  </si>
  <si>
    <t>T000684</t>
  </si>
  <si>
    <t>C00684</t>
  </si>
  <si>
    <t>T000685</t>
  </si>
  <si>
    <t>C00685</t>
  </si>
  <si>
    <t>T000686</t>
  </si>
  <si>
    <t>C00686</t>
  </si>
  <si>
    <t>T000687</t>
  </si>
  <si>
    <t>C00687</t>
  </si>
  <si>
    <t>T000688</t>
  </si>
  <si>
    <t>C00688</t>
  </si>
  <si>
    <t>T000689</t>
  </si>
  <si>
    <t>C00689</t>
  </si>
  <si>
    <t>T000690</t>
  </si>
  <si>
    <t>C00690</t>
  </si>
  <si>
    <t>T000691</t>
  </si>
  <si>
    <t>C00691</t>
  </si>
  <si>
    <t>T000692</t>
  </si>
  <si>
    <t>C00692</t>
  </si>
  <si>
    <t>T000693</t>
  </si>
  <si>
    <t>C00693</t>
  </si>
  <si>
    <t>T000694</t>
  </si>
  <si>
    <t>C00694</t>
  </si>
  <si>
    <t>T000695</t>
  </si>
  <si>
    <t>C00695</t>
  </si>
  <si>
    <t>T000696</t>
  </si>
  <si>
    <t>C00696</t>
  </si>
  <si>
    <t>T000697</t>
  </si>
  <si>
    <t>C00697</t>
  </si>
  <si>
    <t>T000698</t>
  </si>
  <si>
    <t>C00698</t>
  </si>
  <si>
    <t>T000699</t>
  </si>
  <si>
    <t>C00699</t>
  </si>
  <si>
    <t>T000700</t>
  </si>
  <si>
    <t>C00700</t>
  </si>
  <si>
    <t>T000701</t>
  </si>
  <si>
    <t>C00701</t>
  </si>
  <si>
    <t>T000702</t>
  </si>
  <si>
    <t>C00702</t>
  </si>
  <si>
    <t>T000703</t>
  </si>
  <si>
    <t>C00703</t>
  </si>
  <si>
    <t>T000704</t>
  </si>
  <si>
    <t>C00704</t>
  </si>
  <si>
    <t>T000705</t>
  </si>
  <si>
    <t>C00705</t>
  </si>
  <si>
    <t>T000706</t>
  </si>
  <si>
    <t>C00706</t>
  </si>
  <si>
    <t>T000707</t>
  </si>
  <si>
    <t>C00707</t>
  </si>
  <si>
    <t>T000708</t>
  </si>
  <si>
    <t>C00708</t>
  </si>
  <si>
    <t>T000709</t>
  </si>
  <si>
    <t>C00709</t>
  </si>
  <si>
    <t>T000710</t>
  </si>
  <si>
    <t>C00710</t>
  </si>
  <si>
    <t>T000711</t>
  </si>
  <si>
    <t>C00711</t>
  </si>
  <si>
    <t>T000712</t>
  </si>
  <si>
    <t>C00712</t>
  </si>
  <si>
    <t>T000713</t>
  </si>
  <si>
    <t>C00713</t>
  </si>
  <si>
    <t>T000714</t>
  </si>
  <si>
    <t>C00714</t>
  </si>
  <si>
    <t>T000715</t>
  </si>
  <si>
    <t>C00715</t>
  </si>
  <si>
    <t>T000716</t>
  </si>
  <si>
    <t>C00716</t>
  </si>
  <si>
    <t>T000717</t>
  </si>
  <si>
    <t>C00717</t>
  </si>
  <si>
    <t>T000718</t>
  </si>
  <si>
    <t>C00718</t>
  </si>
  <si>
    <t>T000719</t>
  </si>
  <si>
    <t>C00719</t>
  </si>
  <si>
    <t>T000720</t>
  </si>
  <si>
    <t>C00720</t>
  </si>
  <si>
    <t>T000721</t>
  </si>
  <si>
    <t>C00721</t>
  </si>
  <si>
    <t>T000722</t>
  </si>
  <si>
    <t>C00722</t>
  </si>
  <si>
    <t>T000723</t>
  </si>
  <si>
    <t>C00723</t>
  </si>
  <si>
    <t>T000724</t>
  </si>
  <si>
    <t>C00724</t>
  </si>
  <si>
    <t>T000725</t>
  </si>
  <si>
    <t>C00725</t>
  </si>
  <si>
    <t>T000726</t>
  </si>
  <si>
    <t>C00726</t>
  </si>
  <si>
    <t>T000727</t>
  </si>
  <si>
    <t>C00727</t>
  </si>
  <si>
    <t>T000728</t>
  </si>
  <si>
    <t>C00728</t>
  </si>
  <si>
    <t>T000729</t>
  </si>
  <si>
    <t>C00729</t>
  </si>
  <si>
    <t>T000730</t>
  </si>
  <si>
    <t>C00730</t>
  </si>
  <si>
    <t>T000731</t>
  </si>
  <si>
    <t>C00731</t>
  </si>
  <si>
    <t>T000732</t>
  </si>
  <si>
    <t>C00732</t>
  </si>
  <si>
    <t>T000733</t>
  </si>
  <si>
    <t>C00733</t>
  </si>
  <si>
    <t>T000734</t>
  </si>
  <si>
    <t>C00734</t>
  </si>
  <si>
    <t>T000735</t>
  </si>
  <si>
    <t>C00735</t>
  </si>
  <si>
    <t>T000736</t>
  </si>
  <si>
    <t>C00736</t>
  </si>
  <si>
    <t>T000737</t>
  </si>
  <si>
    <t>C00737</t>
  </si>
  <si>
    <t>T000738</t>
  </si>
  <si>
    <t>C00738</t>
  </si>
  <si>
    <t>T000739</t>
  </si>
  <si>
    <t>C00739</t>
  </si>
  <si>
    <t>T000740</t>
  </si>
  <si>
    <t>C00740</t>
  </si>
  <si>
    <t>T000741</t>
  </si>
  <si>
    <t>C00741</t>
  </si>
  <si>
    <t>T000742</t>
  </si>
  <si>
    <t>C00742</t>
  </si>
  <si>
    <t>T000743</t>
  </si>
  <si>
    <t>C00743</t>
  </si>
  <si>
    <t>T000744</t>
  </si>
  <si>
    <t>C00744</t>
  </si>
  <si>
    <t>T000745</t>
  </si>
  <si>
    <t>C00745</t>
  </si>
  <si>
    <t>T000746</t>
  </si>
  <si>
    <t>C00746</t>
  </si>
  <si>
    <t>T000747</t>
  </si>
  <si>
    <t>C00747</t>
  </si>
  <si>
    <t>T000748</t>
  </si>
  <si>
    <t>C00748</t>
  </si>
  <si>
    <t>T000749</t>
  </si>
  <si>
    <t>C00749</t>
  </si>
  <si>
    <t>T000750</t>
  </si>
  <si>
    <t>C00750</t>
  </si>
  <si>
    <t>T000751</t>
  </si>
  <si>
    <t>C00751</t>
  </si>
  <si>
    <t>T000752</t>
  </si>
  <si>
    <t>C00752</t>
  </si>
  <si>
    <t>T000753</t>
  </si>
  <si>
    <t>C00753</t>
  </si>
  <si>
    <t>T000754</t>
  </si>
  <si>
    <t>C00754</t>
  </si>
  <si>
    <t>T000755</t>
  </si>
  <si>
    <t>C00755</t>
  </si>
  <si>
    <t>T000756</t>
  </si>
  <si>
    <t>C00756</t>
  </si>
  <si>
    <t>T000757</t>
  </si>
  <si>
    <t>C00757</t>
  </si>
  <si>
    <t>T000758</t>
  </si>
  <si>
    <t>C00758</t>
  </si>
  <si>
    <t>T000759</t>
  </si>
  <si>
    <t>C00759</t>
  </si>
  <si>
    <t>T000760</t>
  </si>
  <si>
    <t>C00760</t>
  </si>
  <si>
    <t>T000761</t>
  </si>
  <si>
    <t>C00761</t>
  </si>
  <si>
    <t>T000762</t>
  </si>
  <si>
    <t>C00762</t>
  </si>
  <si>
    <t>T000763</t>
  </si>
  <si>
    <t>C00763</t>
  </si>
  <si>
    <t>T000764</t>
  </si>
  <si>
    <t>C00764</t>
  </si>
  <si>
    <t>T000765</t>
  </si>
  <si>
    <t>C00765</t>
  </si>
  <si>
    <t>T000766</t>
  </si>
  <si>
    <t>C00766</t>
  </si>
  <si>
    <t>T000767</t>
  </si>
  <si>
    <t>C00767</t>
  </si>
  <si>
    <t>T000768</t>
  </si>
  <si>
    <t>C00768</t>
  </si>
  <si>
    <t>T000769</t>
  </si>
  <si>
    <t>C00769</t>
  </si>
  <si>
    <t>T000770</t>
  </si>
  <si>
    <t>C00770</t>
  </si>
  <si>
    <t>T000771</t>
  </si>
  <si>
    <t>C00771</t>
  </si>
  <si>
    <t>T000772</t>
  </si>
  <si>
    <t>C00772</t>
  </si>
  <si>
    <t>T000773</t>
  </si>
  <si>
    <t>C00773</t>
  </si>
  <si>
    <t>T000774</t>
  </si>
  <si>
    <t>C00774</t>
  </si>
  <si>
    <t>T000775</t>
  </si>
  <si>
    <t>C00775</t>
  </si>
  <si>
    <t>T000776</t>
  </si>
  <si>
    <t>C00776</t>
  </si>
  <si>
    <t>T000777</t>
  </si>
  <si>
    <t>C00777</t>
  </si>
  <si>
    <t>T000778</t>
  </si>
  <si>
    <t>C00778</t>
  </si>
  <si>
    <t>T000779</t>
  </si>
  <si>
    <t>C00779</t>
  </si>
  <si>
    <t>T000780</t>
  </si>
  <si>
    <t>C00780</t>
  </si>
  <si>
    <t>T000781</t>
  </si>
  <si>
    <t>C00781</t>
  </si>
  <si>
    <t>T000782</t>
  </si>
  <si>
    <t>C00782</t>
  </si>
  <si>
    <t>T000783</t>
  </si>
  <si>
    <t>C00783</t>
  </si>
  <si>
    <t>T000784</t>
  </si>
  <si>
    <t>C00784</t>
  </si>
  <si>
    <t>T000785</t>
  </si>
  <si>
    <t>C00785</t>
  </si>
  <si>
    <t>T000786</t>
  </si>
  <si>
    <t>C00786</t>
  </si>
  <si>
    <t>T000787</t>
  </si>
  <si>
    <t>C00787</t>
  </si>
  <si>
    <t>T000788</t>
  </si>
  <si>
    <t>C00788</t>
  </si>
  <si>
    <t>T000789</t>
  </si>
  <si>
    <t>C00789</t>
  </si>
  <si>
    <t>T000790</t>
  </si>
  <si>
    <t>C00790</t>
  </si>
  <si>
    <t>T000791</t>
  </si>
  <si>
    <t>C00791</t>
  </si>
  <si>
    <t>T000792</t>
  </si>
  <si>
    <t>C00792</t>
  </si>
  <si>
    <t>T000793</t>
  </si>
  <si>
    <t>C00793</t>
  </si>
  <si>
    <t>T000794</t>
  </si>
  <si>
    <t>C00794</t>
  </si>
  <si>
    <t>T000795</t>
  </si>
  <si>
    <t>C00795</t>
  </si>
  <si>
    <t>T000796</t>
  </si>
  <si>
    <t>C00796</t>
  </si>
  <si>
    <t>T000797</t>
  </si>
  <si>
    <t>C00797</t>
  </si>
  <si>
    <t>T000798</t>
  </si>
  <si>
    <t>C00798</t>
  </si>
  <si>
    <t>T000799</t>
  </si>
  <si>
    <t>C00799</t>
  </si>
  <si>
    <t>T000800</t>
  </si>
  <si>
    <t>C00800</t>
  </si>
  <si>
    <t>T000801</t>
  </si>
  <si>
    <t>C00801</t>
  </si>
  <si>
    <t>T000802</t>
  </si>
  <si>
    <t>C00802</t>
  </si>
  <si>
    <t>T000803</t>
  </si>
  <si>
    <t>C00803</t>
  </si>
  <si>
    <t>T000804</t>
  </si>
  <si>
    <t>C00804</t>
  </si>
  <si>
    <t>T000805</t>
  </si>
  <si>
    <t>C00805</t>
  </si>
  <si>
    <t>T000806</t>
  </si>
  <si>
    <t>C00806</t>
  </si>
  <si>
    <t>T000807</t>
  </si>
  <si>
    <t>C00807</t>
  </si>
  <si>
    <t>T000808</t>
  </si>
  <si>
    <t>C00808</t>
  </si>
  <si>
    <t>T000809</t>
  </si>
  <si>
    <t>C00809</t>
  </si>
  <si>
    <t>T000810</t>
  </si>
  <si>
    <t>C00810</t>
  </si>
  <si>
    <t>T000811</t>
  </si>
  <si>
    <t>C00811</t>
  </si>
  <si>
    <t>T000812</t>
  </si>
  <si>
    <t>C00812</t>
  </si>
  <si>
    <t>T000813</t>
  </si>
  <si>
    <t>C00813</t>
  </si>
  <si>
    <t>T000814</t>
  </si>
  <si>
    <t>C00814</t>
  </si>
  <si>
    <t>T000815</t>
  </si>
  <si>
    <t>C00815</t>
  </si>
  <si>
    <t>T000816</t>
  </si>
  <si>
    <t>C00816</t>
  </si>
  <si>
    <t>T000817</t>
  </si>
  <si>
    <t>C00817</t>
  </si>
  <si>
    <t>T000818</t>
  </si>
  <si>
    <t>C00818</t>
  </si>
  <si>
    <t>T000819</t>
  </si>
  <si>
    <t>C00819</t>
  </si>
  <si>
    <t>T000820</t>
  </si>
  <si>
    <t>C00820</t>
  </si>
  <si>
    <t>T000821</t>
  </si>
  <si>
    <t>C00821</t>
  </si>
  <si>
    <t>T000822</t>
  </si>
  <si>
    <t>C00822</t>
  </si>
  <si>
    <t>T000823</t>
  </si>
  <si>
    <t>C00823</t>
  </si>
  <si>
    <t>T000824</t>
  </si>
  <si>
    <t>C00824</t>
  </si>
  <si>
    <t>T000825</t>
  </si>
  <si>
    <t>C00825</t>
  </si>
  <si>
    <t>T000826</t>
  </si>
  <si>
    <t>C00826</t>
  </si>
  <si>
    <t>T000827</t>
  </si>
  <si>
    <t>C00827</t>
  </si>
  <si>
    <t>T000828</t>
  </si>
  <si>
    <t>C00828</t>
  </si>
  <si>
    <t>T000829</t>
  </si>
  <si>
    <t>C00829</t>
  </si>
  <si>
    <t>T000830</t>
  </si>
  <si>
    <t>C00830</t>
  </si>
  <si>
    <t>T000831</t>
  </si>
  <si>
    <t>C00831</t>
  </si>
  <si>
    <t>T000832</t>
  </si>
  <si>
    <t>C00832</t>
  </si>
  <si>
    <t>T000833</t>
  </si>
  <si>
    <t>C00833</t>
  </si>
  <si>
    <t>T000834</t>
  </si>
  <si>
    <t>C00834</t>
  </si>
  <si>
    <t>T000835</t>
  </si>
  <si>
    <t>C00835</t>
  </si>
  <si>
    <t>T000836</t>
  </si>
  <si>
    <t>C00836</t>
  </si>
  <si>
    <t>T000837</t>
  </si>
  <si>
    <t>C00837</t>
  </si>
  <si>
    <t>T000838</t>
  </si>
  <si>
    <t>C00838</t>
  </si>
  <si>
    <t>T000839</t>
  </si>
  <si>
    <t>C00839</t>
  </si>
  <si>
    <t>T000840</t>
  </si>
  <si>
    <t>C00840</t>
  </si>
  <si>
    <t>T000841</t>
  </si>
  <si>
    <t>C00841</t>
  </si>
  <si>
    <t>T000842</t>
  </si>
  <si>
    <t>C00842</t>
  </si>
  <si>
    <t>T000843</t>
  </si>
  <si>
    <t>C00843</t>
  </si>
  <si>
    <t>T000844</t>
  </si>
  <si>
    <t>C00844</t>
  </si>
  <si>
    <t>T000845</t>
  </si>
  <si>
    <t>C00845</t>
  </si>
  <si>
    <t>T000846</t>
  </si>
  <si>
    <t>C00846</t>
  </si>
  <si>
    <t>T000847</t>
  </si>
  <si>
    <t>C00847</t>
  </si>
  <si>
    <t>T000848</t>
  </si>
  <si>
    <t>C00848</t>
  </si>
  <si>
    <t>T000849</t>
  </si>
  <si>
    <t>C00849</t>
  </si>
  <si>
    <t>T000850</t>
  </si>
  <si>
    <t>C00850</t>
  </si>
  <si>
    <t>T000851</t>
  </si>
  <si>
    <t>C00851</t>
  </si>
  <si>
    <t>T000852</t>
  </si>
  <si>
    <t>C00852</t>
  </si>
  <si>
    <t>T000853</t>
  </si>
  <si>
    <t>C00853</t>
  </si>
  <si>
    <t>T000854</t>
  </si>
  <si>
    <t>C00854</t>
  </si>
  <si>
    <t>T000855</t>
  </si>
  <si>
    <t>C00855</t>
  </si>
  <si>
    <t>T000856</t>
  </si>
  <si>
    <t>C00856</t>
  </si>
  <si>
    <t>T000857</t>
  </si>
  <si>
    <t>C00857</t>
  </si>
  <si>
    <t>T000858</t>
  </si>
  <si>
    <t>C00858</t>
  </si>
  <si>
    <t>T000859</t>
  </si>
  <si>
    <t>C00859</t>
  </si>
  <si>
    <t>T000860</t>
  </si>
  <si>
    <t>C00860</t>
  </si>
  <si>
    <t>T000861</t>
  </si>
  <si>
    <t>C00861</t>
  </si>
  <si>
    <t>T000862</t>
  </si>
  <si>
    <t>C00862</t>
  </si>
  <si>
    <t>T000863</t>
  </si>
  <si>
    <t>C00863</t>
  </si>
  <si>
    <t>T000864</t>
  </si>
  <si>
    <t>C00864</t>
  </si>
  <si>
    <t>T000865</t>
  </si>
  <si>
    <t>C00865</t>
  </si>
  <si>
    <t>T000866</t>
  </si>
  <si>
    <t>C00866</t>
  </si>
  <si>
    <t>T000867</t>
  </si>
  <si>
    <t>C00867</t>
  </si>
  <si>
    <t>T000868</t>
  </si>
  <si>
    <t>C00868</t>
  </si>
  <si>
    <t>T000869</t>
  </si>
  <si>
    <t>C00869</t>
  </si>
  <si>
    <t>T000870</t>
  </si>
  <si>
    <t>C00870</t>
  </si>
  <si>
    <t>T000871</t>
  </si>
  <si>
    <t>C00871</t>
  </si>
  <si>
    <t>T000872</t>
  </si>
  <si>
    <t>C00872</t>
  </si>
  <si>
    <t>T000873</t>
  </si>
  <si>
    <t>C00873</t>
  </si>
  <si>
    <t>T000874</t>
  </si>
  <si>
    <t>C00874</t>
  </si>
  <si>
    <t>T000875</t>
  </si>
  <si>
    <t>C00875</t>
  </si>
  <si>
    <t>T000876</t>
  </si>
  <si>
    <t>C00876</t>
  </si>
  <si>
    <t>T000877</t>
  </si>
  <si>
    <t>C00877</t>
  </si>
  <si>
    <t>T000878</t>
  </si>
  <si>
    <t>C00878</t>
  </si>
  <si>
    <t>T000879</t>
  </si>
  <si>
    <t>C00879</t>
  </si>
  <si>
    <t>T000880</t>
  </si>
  <si>
    <t>C00880</t>
  </si>
  <si>
    <t>T000881</t>
  </si>
  <si>
    <t>C00881</t>
  </si>
  <si>
    <t>T000882</t>
  </si>
  <si>
    <t>C00882</t>
  </si>
  <si>
    <t>T000883</t>
  </si>
  <si>
    <t>C00883</t>
  </si>
  <si>
    <t>T000884</t>
  </si>
  <si>
    <t>C00884</t>
  </si>
  <si>
    <t>T000885</t>
  </si>
  <si>
    <t>C00885</t>
  </si>
  <si>
    <t>T000886</t>
  </si>
  <si>
    <t>C00886</t>
  </si>
  <si>
    <t>T000887</t>
  </si>
  <si>
    <t>C00887</t>
  </si>
  <si>
    <t>T000888</t>
  </si>
  <si>
    <t>C00888</t>
  </si>
  <si>
    <t>T000889</t>
  </si>
  <si>
    <t>C00889</t>
  </si>
  <si>
    <t>T000890</t>
  </si>
  <si>
    <t>C00890</t>
  </si>
  <si>
    <t>T000891</t>
  </si>
  <si>
    <t>C00891</t>
  </si>
  <si>
    <t>T000892</t>
  </si>
  <si>
    <t>C00892</t>
  </si>
  <si>
    <t>T000893</t>
  </si>
  <si>
    <t>C00893</t>
  </si>
  <si>
    <t>T000894</t>
  </si>
  <si>
    <t>C00894</t>
  </si>
  <si>
    <t>T000895</t>
  </si>
  <si>
    <t>C00895</t>
  </si>
  <si>
    <t>T000896</t>
  </si>
  <si>
    <t>C00896</t>
  </si>
  <si>
    <t>T000897</t>
  </si>
  <si>
    <t>C00897</t>
  </si>
  <si>
    <t>T000898</t>
  </si>
  <si>
    <t>C00898</t>
  </si>
  <si>
    <t>T000899</t>
  </si>
  <si>
    <t>C00899</t>
  </si>
  <si>
    <t>T000900</t>
  </si>
  <si>
    <t>C00900</t>
  </si>
  <si>
    <t>T000901</t>
  </si>
  <si>
    <t>C00901</t>
  </si>
  <si>
    <t>T000902</t>
  </si>
  <si>
    <t>C00902</t>
  </si>
  <si>
    <t>T000903</t>
  </si>
  <si>
    <t>C00903</t>
  </si>
  <si>
    <t>T000904</t>
  </si>
  <si>
    <t>C00904</t>
  </si>
  <si>
    <t>T000905</t>
  </si>
  <si>
    <t>C00905</t>
  </si>
  <si>
    <t>T000906</t>
  </si>
  <si>
    <t>C00906</t>
  </si>
  <si>
    <t>T000907</t>
  </si>
  <si>
    <t>C00907</t>
  </si>
  <si>
    <t>T000908</t>
  </si>
  <si>
    <t>C00908</t>
  </si>
  <si>
    <t>T000909</t>
  </si>
  <si>
    <t>C00909</t>
  </si>
  <si>
    <t>T000910</t>
  </si>
  <si>
    <t>C00910</t>
  </si>
  <si>
    <t>T000911</t>
  </si>
  <si>
    <t>C00911</t>
  </si>
  <si>
    <t>T000912</t>
  </si>
  <si>
    <t>C00912</t>
  </si>
  <si>
    <t>T000913</t>
  </si>
  <si>
    <t>C00913</t>
  </si>
  <si>
    <t>T000914</t>
  </si>
  <si>
    <t>C00914</t>
  </si>
  <si>
    <t>T000915</t>
  </si>
  <si>
    <t>C00915</t>
  </si>
  <si>
    <t>T000916</t>
  </si>
  <si>
    <t>C00916</t>
  </si>
  <si>
    <t>T000917</t>
  </si>
  <si>
    <t>C00917</t>
  </si>
  <si>
    <t>T000918</t>
  </si>
  <si>
    <t>C00918</t>
  </si>
  <si>
    <t>T000919</t>
  </si>
  <si>
    <t>C00919</t>
  </si>
  <si>
    <t>T000920</t>
  </si>
  <si>
    <t>C00920</t>
  </si>
  <si>
    <t>T000921</t>
  </si>
  <si>
    <t>C00921</t>
  </si>
  <si>
    <t>T000922</t>
  </si>
  <si>
    <t>C00922</t>
  </si>
  <si>
    <t>T000923</t>
  </si>
  <si>
    <t>C00923</t>
  </si>
  <si>
    <t>T000924</t>
  </si>
  <si>
    <t>C00924</t>
  </si>
  <si>
    <t>T000925</t>
  </si>
  <si>
    <t>C00925</t>
  </si>
  <si>
    <t>T000926</t>
  </si>
  <si>
    <t>C00926</t>
  </si>
  <si>
    <t>T000927</t>
  </si>
  <si>
    <t>C00927</t>
  </si>
  <si>
    <t>T000928</t>
  </si>
  <si>
    <t>C00928</t>
  </si>
  <si>
    <t>T000929</t>
  </si>
  <si>
    <t>C00929</t>
  </si>
  <si>
    <t>T000930</t>
  </si>
  <si>
    <t>C00930</t>
  </si>
  <si>
    <t>T000931</t>
  </si>
  <si>
    <t>C00931</t>
  </si>
  <si>
    <t>T000932</t>
  </si>
  <si>
    <t>C00932</t>
  </si>
  <si>
    <t>T000933</t>
  </si>
  <si>
    <t>C00933</t>
  </si>
  <si>
    <t>T000934</t>
  </si>
  <si>
    <t>C00934</t>
  </si>
  <si>
    <t>T000935</t>
  </si>
  <si>
    <t>C00935</t>
  </si>
  <si>
    <t>T000936</t>
  </si>
  <si>
    <t>C00936</t>
  </si>
  <si>
    <t>T000937</t>
  </si>
  <si>
    <t>C00937</t>
  </si>
  <si>
    <t>T000938</t>
  </si>
  <si>
    <t>C00938</t>
  </si>
  <si>
    <t>T000939</t>
  </si>
  <si>
    <t>C00939</t>
  </si>
  <si>
    <t>T000940</t>
  </si>
  <si>
    <t>C00940</t>
  </si>
  <si>
    <t>T000941</t>
  </si>
  <si>
    <t>C00941</t>
  </si>
  <si>
    <t>T000942</t>
  </si>
  <si>
    <t>C00942</t>
  </si>
  <si>
    <t>T000943</t>
  </si>
  <si>
    <t>C00943</t>
  </si>
  <si>
    <t>T000944</t>
  </si>
  <si>
    <t>C00944</t>
  </si>
  <si>
    <t>T000945</t>
  </si>
  <si>
    <t>C00945</t>
  </si>
  <si>
    <t>T000946</t>
  </si>
  <si>
    <t>C00946</t>
  </si>
  <si>
    <t>T000947</t>
  </si>
  <si>
    <t>C00947</t>
  </si>
  <si>
    <t>T000948</t>
  </si>
  <si>
    <t>C00948</t>
  </si>
  <si>
    <t>T000949</t>
  </si>
  <si>
    <t>C00949</t>
  </si>
  <si>
    <t>T000950</t>
  </si>
  <si>
    <t>C00950</t>
  </si>
  <si>
    <t>T000951</t>
  </si>
  <si>
    <t>C00951</t>
  </si>
  <si>
    <t>T000952</t>
  </si>
  <si>
    <t>C00952</t>
  </si>
  <si>
    <t>T000953</t>
  </si>
  <si>
    <t>C00953</t>
  </si>
  <si>
    <t>T000954</t>
  </si>
  <si>
    <t>C00954</t>
  </si>
  <si>
    <t>T000955</t>
  </si>
  <si>
    <t>C00955</t>
  </si>
  <si>
    <t>T000956</t>
  </si>
  <si>
    <t>C00956</t>
  </si>
  <si>
    <t>T000957</t>
  </si>
  <si>
    <t>C00957</t>
  </si>
  <si>
    <t>T000958</t>
  </si>
  <si>
    <t>C00958</t>
  </si>
  <si>
    <t>T000959</t>
  </si>
  <si>
    <t>C00959</t>
  </si>
  <si>
    <t>T000960</t>
  </si>
  <si>
    <t>C00960</t>
  </si>
  <si>
    <t>T000961</t>
  </si>
  <si>
    <t>C00961</t>
  </si>
  <si>
    <t>T000962</t>
  </si>
  <si>
    <t>C00962</t>
  </si>
  <si>
    <t>T000963</t>
  </si>
  <si>
    <t>C00963</t>
  </si>
  <si>
    <t>T000964</t>
  </si>
  <si>
    <t>C00964</t>
  </si>
  <si>
    <t>T000965</t>
  </si>
  <si>
    <t>C00965</t>
  </si>
  <si>
    <t>T000966</t>
  </si>
  <si>
    <t>C00966</t>
  </si>
  <si>
    <t>T000967</t>
  </si>
  <si>
    <t>C00967</t>
  </si>
  <si>
    <t>T000968</t>
  </si>
  <si>
    <t>C00968</t>
  </si>
  <si>
    <t>T000969</t>
  </si>
  <si>
    <t>C00969</t>
  </si>
  <si>
    <t>T000970</t>
  </si>
  <si>
    <t>C00970</t>
  </si>
  <si>
    <t>T000971</t>
  </si>
  <si>
    <t>C00971</t>
  </si>
  <si>
    <t>T000972</t>
  </si>
  <si>
    <t>C00972</t>
  </si>
  <si>
    <t>T000973</t>
  </si>
  <si>
    <t>C00973</t>
  </si>
  <si>
    <t>T000974</t>
  </si>
  <si>
    <t>C00974</t>
  </si>
  <si>
    <t>T000975</t>
  </si>
  <si>
    <t>C00975</t>
  </si>
  <si>
    <t>T000976</t>
  </si>
  <si>
    <t>C00976</t>
  </si>
  <si>
    <t>T000977</t>
  </si>
  <si>
    <t>C00977</t>
  </si>
  <si>
    <t>T000978</t>
  </si>
  <si>
    <t>C00978</t>
  </si>
  <si>
    <t>T000979</t>
  </si>
  <si>
    <t>C00979</t>
  </si>
  <si>
    <t>T000980</t>
  </si>
  <si>
    <t>C00980</t>
  </si>
  <si>
    <t>T000981</t>
  </si>
  <si>
    <t>C00981</t>
  </si>
  <si>
    <t>T000982</t>
  </si>
  <si>
    <t>C00982</t>
  </si>
  <si>
    <t>T000983</t>
  </si>
  <si>
    <t>C00983</t>
  </si>
  <si>
    <t>T000984</t>
  </si>
  <si>
    <t>C00984</t>
  </si>
  <si>
    <t>T000985</t>
  </si>
  <si>
    <t>C00985</t>
  </si>
  <si>
    <t>T000986</t>
  </si>
  <si>
    <t>C00986</t>
  </si>
  <si>
    <t>T000987</t>
  </si>
  <si>
    <t>C00987</t>
  </si>
  <si>
    <t>T000988</t>
  </si>
  <si>
    <t>C00988</t>
  </si>
  <si>
    <t>T000989</t>
  </si>
  <si>
    <t>C00989</t>
  </si>
  <si>
    <t>T000990</t>
  </si>
  <si>
    <t>C00990</t>
  </si>
  <si>
    <t>T000991</t>
  </si>
  <si>
    <t>C00991</t>
  </si>
  <si>
    <t>T000992</t>
  </si>
  <si>
    <t>C00992</t>
  </si>
  <si>
    <t>T000993</t>
  </si>
  <si>
    <t>C00993</t>
  </si>
  <si>
    <t>T000994</t>
  </si>
  <si>
    <t>C00994</t>
  </si>
  <si>
    <t>T000995</t>
  </si>
  <si>
    <t>C00995</t>
  </si>
  <si>
    <t>T000996</t>
  </si>
  <si>
    <t>C00996</t>
  </si>
  <si>
    <t>T000997</t>
  </si>
  <si>
    <t>C00997</t>
  </si>
  <si>
    <t>T000998</t>
  </si>
  <si>
    <t>C00998</t>
  </si>
  <si>
    <t>T000999</t>
  </si>
  <si>
    <t>C00999</t>
  </si>
  <si>
    <t>T001000</t>
  </si>
  <si>
    <t>C01000</t>
  </si>
  <si>
    <t>T001001</t>
  </si>
  <si>
    <t>C01001</t>
  </si>
  <si>
    <t>T001002</t>
  </si>
  <si>
    <t>C01002</t>
  </si>
  <si>
    <t>T001003</t>
  </si>
  <si>
    <t>C01003</t>
  </si>
  <si>
    <t>T001004</t>
  </si>
  <si>
    <t>C01004</t>
  </si>
  <si>
    <t>T001005</t>
  </si>
  <si>
    <t>C01005</t>
  </si>
  <si>
    <t>T001006</t>
  </si>
  <si>
    <t>C01006</t>
  </si>
  <si>
    <t>T001007</t>
  </si>
  <si>
    <t>C01007</t>
  </si>
  <si>
    <t>T001008</t>
  </si>
  <si>
    <t>C01008</t>
  </si>
  <si>
    <t>T001009</t>
  </si>
  <si>
    <t>C01009</t>
  </si>
  <si>
    <t>T001010</t>
  </si>
  <si>
    <t>C01010</t>
  </si>
  <si>
    <t>T001011</t>
  </si>
  <si>
    <t>C01011</t>
  </si>
  <si>
    <t>T001012</t>
  </si>
  <si>
    <t>C01012</t>
  </si>
  <si>
    <t>T001013</t>
  </si>
  <si>
    <t>C01013</t>
  </si>
  <si>
    <t>T001014</t>
  </si>
  <si>
    <t>C01014</t>
  </si>
  <si>
    <t>T001015</t>
  </si>
  <si>
    <t>C01015</t>
  </si>
  <si>
    <t>T001016</t>
  </si>
  <si>
    <t>C01016</t>
  </si>
  <si>
    <t>T001017</t>
  </si>
  <si>
    <t>C01017</t>
  </si>
  <si>
    <t>T001018</t>
  </si>
  <si>
    <t>C01018</t>
  </si>
  <si>
    <t>T001019</t>
  </si>
  <si>
    <t>C01019</t>
  </si>
  <si>
    <t>T001020</t>
  </si>
  <si>
    <t>C01020</t>
  </si>
  <si>
    <t>T001021</t>
  </si>
  <si>
    <t>C01021</t>
  </si>
  <si>
    <t>T001022</t>
  </si>
  <si>
    <t>C01022</t>
  </si>
  <si>
    <t>T001023</t>
  </si>
  <si>
    <t>C01023</t>
  </si>
  <si>
    <t>T001024</t>
  </si>
  <si>
    <t>C01024</t>
  </si>
  <si>
    <t>T001025</t>
  </si>
  <si>
    <t>C01025</t>
  </si>
  <si>
    <t>T001026</t>
  </si>
  <si>
    <t>C01026</t>
  </si>
  <si>
    <t>T001027</t>
  </si>
  <si>
    <t>C01027</t>
  </si>
  <si>
    <t>T001028</t>
  </si>
  <si>
    <t>C01028</t>
  </si>
  <si>
    <t>T001029</t>
  </si>
  <si>
    <t>C01029</t>
  </si>
  <si>
    <t>T001030</t>
  </si>
  <si>
    <t>C01030</t>
  </si>
  <si>
    <t>T001031</t>
  </si>
  <si>
    <t>C01031</t>
  </si>
  <si>
    <t>T001032</t>
  </si>
  <si>
    <t>C01032</t>
  </si>
  <si>
    <t>T001033</t>
  </si>
  <si>
    <t>C01033</t>
  </si>
  <si>
    <t>T001034</t>
  </si>
  <si>
    <t>C01034</t>
  </si>
  <si>
    <t>T001035</t>
  </si>
  <si>
    <t>C01035</t>
  </si>
  <si>
    <t>T001036</t>
  </si>
  <si>
    <t>C01036</t>
  </si>
  <si>
    <t>T001037</t>
  </si>
  <si>
    <t>C01037</t>
  </si>
  <si>
    <t>T001038</t>
  </si>
  <si>
    <t>C01038</t>
  </si>
  <si>
    <t>T001039</t>
  </si>
  <si>
    <t>C01039</t>
  </si>
  <si>
    <t>T001040</t>
  </si>
  <si>
    <t>C01040</t>
  </si>
  <si>
    <t>T001041</t>
  </si>
  <si>
    <t>C01041</t>
  </si>
  <si>
    <t>T001042</t>
  </si>
  <si>
    <t>C01042</t>
  </si>
  <si>
    <t>T001043</t>
  </si>
  <si>
    <t>C01043</t>
  </si>
  <si>
    <t>T001044</t>
  </si>
  <si>
    <t>C01044</t>
  </si>
  <si>
    <t>T001045</t>
  </si>
  <si>
    <t>C01045</t>
  </si>
  <si>
    <t>T001046</t>
  </si>
  <si>
    <t>C01046</t>
  </si>
  <si>
    <t>T001047</t>
  </si>
  <si>
    <t>C01047</t>
  </si>
  <si>
    <t>T001048</t>
  </si>
  <si>
    <t>C01048</t>
  </si>
  <si>
    <t>T001049</t>
  </si>
  <si>
    <t>C01049</t>
  </si>
  <si>
    <t>T001050</t>
  </si>
  <si>
    <t>C01050</t>
  </si>
  <si>
    <t>T001051</t>
  </si>
  <si>
    <t>C01051</t>
  </si>
  <si>
    <t>T001052</t>
  </si>
  <si>
    <t>C01052</t>
  </si>
  <si>
    <t>T001053</t>
  </si>
  <si>
    <t>C01053</t>
  </si>
  <si>
    <t>T001054</t>
  </si>
  <si>
    <t>C01054</t>
  </si>
  <si>
    <t>T001055</t>
  </si>
  <si>
    <t>C01055</t>
  </si>
  <si>
    <t>T001056</t>
  </si>
  <si>
    <t>C01056</t>
  </si>
  <si>
    <t>T001057</t>
  </si>
  <si>
    <t>C01057</t>
  </si>
  <si>
    <t>T001058</t>
  </si>
  <si>
    <t>C01058</t>
  </si>
  <si>
    <t>T001059</t>
  </si>
  <si>
    <t>C01059</t>
  </si>
  <si>
    <t>T001060</t>
  </si>
  <si>
    <t>C01060</t>
  </si>
  <si>
    <t>T001061</t>
  </si>
  <si>
    <t>C01061</t>
  </si>
  <si>
    <t>T001062</t>
  </si>
  <si>
    <t>C01062</t>
  </si>
  <si>
    <t>T001063</t>
  </si>
  <si>
    <t>C01063</t>
  </si>
  <si>
    <t>T001064</t>
  </si>
  <si>
    <t>C01064</t>
  </si>
  <si>
    <t>T001065</t>
  </si>
  <si>
    <t>C01065</t>
  </si>
  <si>
    <t>T001066</t>
  </si>
  <si>
    <t>C01066</t>
  </si>
  <si>
    <t>T001067</t>
  </si>
  <si>
    <t>C01067</t>
  </si>
  <si>
    <t>T001068</t>
  </si>
  <si>
    <t>C01068</t>
  </si>
  <si>
    <t>T001069</t>
  </si>
  <si>
    <t>C01069</t>
  </si>
  <si>
    <t>T001070</t>
  </si>
  <si>
    <t>C01070</t>
  </si>
  <si>
    <t>T001071</t>
  </si>
  <si>
    <t>C01071</t>
  </si>
  <si>
    <t>T001072</t>
  </si>
  <si>
    <t>C01072</t>
  </si>
  <si>
    <t>T001073</t>
  </si>
  <si>
    <t>C01073</t>
  </si>
  <si>
    <t>T001074</t>
  </si>
  <si>
    <t>C01074</t>
  </si>
  <si>
    <t>T001075</t>
  </si>
  <si>
    <t>C01075</t>
  </si>
  <si>
    <t>T001076</t>
  </si>
  <si>
    <t>C01076</t>
  </si>
  <si>
    <t>T001077</t>
  </si>
  <si>
    <t>C01077</t>
  </si>
  <si>
    <t>T001078</t>
  </si>
  <si>
    <t>C01078</t>
  </si>
  <si>
    <t>T001079</t>
  </si>
  <si>
    <t>C01079</t>
  </si>
  <si>
    <t>T001080</t>
  </si>
  <si>
    <t>C01080</t>
  </si>
  <si>
    <t>T001081</t>
  </si>
  <si>
    <t>C01081</t>
  </si>
  <si>
    <t>T001082</t>
  </si>
  <si>
    <t>C01082</t>
  </si>
  <si>
    <t>T001083</t>
  </si>
  <si>
    <t>C01083</t>
  </si>
  <si>
    <t>T001084</t>
  </si>
  <si>
    <t>C01084</t>
  </si>
  <si>
    <t>T001085</t>
  </si>
  <si>
    <t>C01085</t>
  </si>
  <si>
    <t>T001086</t>
  </si>
  <si>
    <t>C01086</t>
  </si>
  <si>
    <t>T001087</t>
  </si>
  <si>
    <t>C01087</t>
  </si>
  <si>
    <t>T001088</t>
  </si>
  <si>
    <t>C01088</t>
  </si>
  <si>
    <t>T001089</t>
  </si>
  <si>
    <t>C01089</t>
  </si>
  <si>
    <t>T001090</t>
  </si>
  <si>
    <t>C01090</t>
  </si>
  <si>
    <t>T001091</t>
  </si>
  <si>
    <t>C01091</t>
  </si>
  <si>
    <t>T001092</t>
  </si>
  <si>
    <t>C01092</t>
  </si>
  <si>
    <t>T001093</t>
  </si>
  <si>
    <t>C01093</t>
  </si>
  <si>
    <t>T001094</t>
  </si>
  <si>
    <t>C01094</t>
  </si>
  <si>
    <t>T001095</t>
  </si>
  <si>
    <t>C01095</t>
  </si>
  <si>
    <t>T001096</t>
  </si>
  <si>
    <t>C01096</t>
  </si>
  <si>
    <t>T001097</t>
  </si>
  <si>
    <t>C01097</t>
  </si>
  <si>
    <t>T001098</t>
  </si>
  <si>
    <t>C01098</t>
  </si>
  <si>
    <t>T001099</t>
  </si>
  <si>
    <t>C01099</t>
  </si>
  <si>
    <t>T001100</t>
  </si>
  <si>
    <t>C01100</t>
  </si>
  <si>
    <t>T001101</t>
  </si>
  <si>
    <t>C01101</t>
  </si>
  <si>
    <t>T001102</t>
  </si>
  <si>
    <t>C01102</t>
  </si>
  <si>
    <t>T001103</t>
  </si>
  <si>
    <t>C01103</t>
  </si>
  <si>
    <t>T001104</t>
  </si>
  <si>
    <t>C01104</t>
  </si>
  <si>
    <t>T001105</t>
  </si>
  <si>
    <t>C01105</t>
  </si>
  <si>
    <t>T001106</t>
  </si>
  <si>
    <t>C01106</t>
  </si>
  <si>
    <t>T001107</t>
  </si>
  <si>
    <t>C01107</t>
  </si>
  <si>
    <t>T001108</t>
  </si>
  <si>
    <t>C01108</t>
  </si>
  <si>
    <t>T001109</t>
  </si>
  <si>
    <t>C01109</t>
  </si>
  <si>
    <t>T001110</t>
  </si>
  <si>
    <t>C01110</t>
  </si>
  <si>
    <t>T001111</t>
  </si>
  <si>
    <t>C01111</t>
  </si>
  <si>
    <t>T001112</t>
  </si>
  <si>
    <t>C01112</t>
  </si>
  <si>
    <t>T001113</t>
  </si>
  <si>
    <t>C01113</t>
  </si>
  <si>
    <t>T001114</t>
  </si>
  <si>
    <t>C01114</t>
  </si>
  <si>
    <t>T001115</t>
  </si>
  <si>
    <t>C01115</t>
  </si>
  <si>
    <t>T001116</t>
  </si>
  <si>
    <t>C01116</t>
  </si>
  <si>
    <t>T001117</t>
  </si>
  <si>
    <t>C01117</t>
  </si>
  <si>
    <t>T001118</t>
  </si>
  <si>
    <t>C01118</t>
  </si>
  <si>
    <t>T001119</t>
  </si>
  <si>
    <t>C01119</t>
  </si>
  <si>
    <t>T001120</t>
  </si>
  <si>
    <t>C01120</t>
  </si>
  <si>
    <t>T001121</t>
  </si>
  <si>
    <t>C01121</t>
  </si>
  <si>
    <t>T001122</t>
  </si>
  <si>
    <t>C01122</t>
  </si>
  <si>
    <t>T001123</t>
  </si>
  <si>
    <t>C01123</t>
  </si>
  <si>
    <t>T001124</t>
  </si>
  <si>
    <t>C01124</t>
  </si>
  <si>
    <t>T001125</t>
  </si>
  <si>
    <t>C01125</t>
  </si>
  <si>
    <t>T001126</t>
  </si>
  <si>
    <t>C01126</t>
  </si>
  <si>
    <t>T001127</t>
  </si>
  <si>
    <t>C01127</t>
  </si>
  <si>
    <t>T001128</t>
  </si>
  <si>
    <t>C01128</t>
  </si>
  <si>
    <t>T001129</t>
  </si>
  <si>
    <t>C01129</t>
  </si>
  <si>
    <t>T001130</t>
  </si>
  <si>
    <t>C01130</t>
  </si>
  <si>
    <t>T001131</t>
  </si>
  <si>
    <t>C01131</t>
  </si>
  <si>
    <t>T001132</t>
  </si>
  <si>
    <t>C01132</t>
  </si>
  <si>
    <t>T001133</t>
  </si>
  <si>
    <t>C01133</t>
  </si>
  <si>
    <t>T001134</t>
  </si>
  <si>
    <t>C01134</t>
  </si>
  <si>
    <t>T001135</t>
  </si>
  <si>
    <t>C01135</t>
  </si>
  <si>
    <t>T001136</t>
  </si>
  <si>
    <t>C01136</t>
  </si>
  <si>
    <t>T001137</t>
  </si>
  <si>
    <t>C01137</t>
  </si>
  <si>
    <t>T001138</t>
  </si>
  <si>
    <t>C01138</t>
  </si>
  <si>
    <t>T001139</t>
  </si>
  <si>
    <t>C01139</t>
  </si>
  <si>
    <t>T001140</t>
  </si>
  <si>
    <t>C01140</t>
  </si>
  <si>
    <t>T001141</t>
  </si>
  <si>
    <t>C01141</t>
  </si>
  <si>
    <t>T001142</t>
  </si>
  <si>
    <t>C01142</t>
  </si>
  <si>
    <t>T001143</t>
  </si>
  <si>
    <t>C01143</t>
  </si>
  <si>
    <t>T001144</t>
  </si>
  <si>
    <t>C01144</t>
  </si>
  <si>
    <t>T001145</t>
  </si>
  <si>
    <t>C01145</t>
  </si>
  <si>
    <t>T001146</t>
  </si>
  <si>
    <t>C01146</t>
  </si>
  <si>
    <t>T001147</t>
  </si>
  <si>
    <t>C01147</t>
  </si>
  <si>
    <t>T001148</t>
  </si>
  <si>
    <t>C01148</t>
  </si>
  <si>
    <t>T001149</t>
  </si>
  <si>
    <t>C01149</t>
  </si>
  <si>
    <t>T001150</t>
  </si>
  <si>
    <t>C01150</t>
  </si>
  <si>
    <t>T001151</t>
  </si>
  <si>
    <t>C01151</t>
  </si>
  <si>
    <t>T001152</t>
  </si>
  <si>
    <t>C01152</t>
  </si>
  <si>
    <t>T001153</t>
  </si>
  <si>
    <t>C01153</t>
  </si>
  <si>
    <t>T001154</t>
  </si>
  <si>
    <t>C01154</t>
  </si>
  <si>
    <t>T001155</t>
  </si>
  <si>
    <t>C01155</t>
  </si>
  <si>
    <t>T001156</t>
  </si>
  <si>
    <t>C01156</t>
  </si>
  <si>
    <t>T001157</t>
  </si>
  <si>
    <t>C01157</t>
  </si>
  <si>
    <t>T001158</t>
  </si>
  <si>
    <t>C01158</t>
  </si>
  <si>
    <t>T001159</t>
  </si>
  <si>
    <t>C01159</t>
  </si>
  <si>
    <t>T001160</t>
  </si>
  <si>
    <t>C01160</t>
  </si>
  <si>
    <t>T001161</t>
  </si>
  <si>
    <t>C01161</t>
  </si>
  <si>
    <t>T001162</t>
  </si>
  <si>
    <t>C01162</t>
  </si>
  <si>
    <t>T001163</t>
  </si>
  <si>
    <t>C01163</t>
  </si>
  <si>
    <t>T001164</t>
  </si>
  <si>
    <t>C01164</t>
  </si>
  <si>
    <t>T001165</t>
  </si>
  <si>
    <t>C01165</t>
  </si>
  <si>
    <t>T001166</t>
  </si>
  <si>
    <t>C01166</t>
  </si>
  <si>
    <t>T001167</t>
  </si>
  <si>
    <t>C01167</t>
  </si>
  <si>
    <t>T001168</t>
  </si>
  <si>
    <t>C01168</t>
  </si>
  <si>
    <t>T001169</t>
  </si>
  <si>
    <t>C01169</t>
  </si>
  <si>
    <t>T001170</t>
  </si>
  <si>
    <t>C01170</t>
  </si>
  <si>
    <t>T001171</t>
  </si>
  <si>
    <t>C01171</t>
  </si>
  <si>
    <t>T001172</t>
  </si>
  <si>
    <t>C01172</t>
  </si>
  <si>
    <t>T001173</t>
  </si>
  <si>
    <t>C01173</t>
  </si>
  <si>
    <t>T001174</t>
  </si>
  <si>
    <t>C01174</t>
  </si>
  <si>
    <t>T001175</t>
  </si>
  <si>
    <t>C01175</t>
  </si>
  <si>
    <t>T001176</t>
  </si>
  <si>
    <t>C01176</t>
  </si>
  <si>
    <t>T001177</t>
  </si>
  <si>
    <t>C01177</t>
  </si>
  <si>
    <t>T001178</t>
  </si>
  <si>
    <t>C01178</t>
  </si>
  <si>
    <t>T001179</t>
  </si>
  <si>
    <t>C01179</t>
  </si>
  <si>
    <t>T001180</t>
  </si>
  <si>
    <t>C01180</t>
  </si>
  <si>
    <t>T001181</t>
  </si>
  <si>
    <t>C01181</t>
  </si>
  <si>
    <t>T001182</t>
  </si>
  <si>
    <t>C01182</t>
  </si>
  <si>
    <t>T001183</t>
  </si>
  <si>
    <t>C01183</t>
  </si>
  <si>
    <t>T001184</t>
  </si>
  <si>
    <t>C01184</t>
  </si>
  <si>
    <t>T001185</t>
  </si>
  <si>
    <t>C01185</t>
  </si>
  <si>
    <t>T001186</t>
  </si>
  <si>
    <t>C01186</t>
  </si>
  <si>
    <t>T001187</t>
  </si>
  <si>
    <t>C01187</t>
  </si>
  <si>
    <t>T001188</t>
  </si>
  <si>
    <t>C01188</t>
  </si>
  <si>
    <t>T001189</t>
  </si>
  <si>
    <t>C01189</t>
  </si>
  <si>
    <t>T001190</t>
  </si>
  <si>
    <t>C01190</t>
  </si>
  <si>
    <t>T001191</t>
  </si>
  <si>
    <t>C01191</t>
  </si>
  <si>
    <t>T001192</t>
  </si>
  <si>
    <t>C01192</t>
  </si>
  <si>
    <t>T001193</t>
  </si>
  <si>
    <t>C01193</t>
  </si>
  <si>
    <t>T001194</t>
  </si>
  <si>
    <t>C01194</t>
  </si>
  <si>
    <t>T001195</t>
  </si>
  <si>
    <t>C01195</t>
  </si>
  <si>
    <t>T001196</t>
  </si>
  <si>
    <t>C01196</t>
  </si>
  <si>
    <t>T001197</t>
  </si>
  <si>
    <t>C01197</t>
  </si>
  <si>
    <t>T001198</t>
  </si>
  <si>
    <t>C01198</t>
  </si>
  <si>
    <t>T001199</t>
  </si>
  <si>
    <t>C01199</t>
  </si>
  <si>
    <t>T001200</t>
  </si>
  <si>
    <t>C01200</t>
  </si>
  <si>
    <t>T001201</t>
  </si>
  <si>
    <t>C01201</t>
  </si>
  <si>
    <t>T001202</t>
  </si>
  <si>
    <t>C01202</t>
  </si>
  <si>
    <t>T001203</t>
  </si>
  <si>
    <t>C01203</t>
  </si>
  <si>
    <t>T001204</t>
  </si>
  <si>
    <t>C01204</t>
  </si>
  <si>
    <t>T001205</t>
  </si>
  <si>
    <t>C01205</t>
  </si>
  <si>
    <t>T001206</t>
  </si>
  <si>
    <t>C01206</t>
  </si>
  <si>
    <t>T001207</t>
  </si>
  <si>
    <t>C01207</t>
  </si>
  <si>
    <t>T001208</t>
  </si>
  <si>
    <t>C01208</t>
  </si>
  <si>
    <t>T001209</t>
  </si>
  <si>
    <t>C01209</t>
  </si>
  <si>
    <t>T001210</t>
  </si>
  <si>
    <t>C01210</t>
  </si>
  <si>
    <t>T001211</t>
  </si>
  <si>
    <t>C01211</t>
  </si>
  <si>
    <t>T001212</t>
  </si>
  <si>
    <t>C01212</t>
  </si>
  <si>
    <t>T001213</t>
  </si>
  <si>
    <t>C01213</t>
  </si>
  <si>
    <t>T001214</t>
  </si>
  <si>
    <t>C01214</t>
  </si>
  <si>
    <t>T001215</t>
  </si>
  <si>
    <t>C01215</t>
  </si>
  <si>
    <t>T001216</t>
  </si>
  <si>
    <t>C01216</t>
  </si>
  <si>
    <t>T001217</t>
  </si>
  <si>
    <t>C01217</t>
  </si>
  <si>
    <t>T001218</t>
  </si>
  <si>
    <t>C01218</t>
  </si>
  <si>
    <t>T001219</t>
  </si>
  <si>
    <t>C01219</t>
  </si>
  <si>
    <t>T001220</t>
  </si>
  <si>
    <t>C01220</t>
  </si>
  <si>
    <t>T001221</t>
  </si>
  <si>
    <t>C01221</t>
  </si>
  <si>
    <t>T001222</t>
  </si>
  <si>
    <t>C01222</t>
  </si>
  <si>
    <t>T001223</t>
  </si>
  <si>
    <t>C01223</t>
  </si>
  <si>
    <t>T001224</t>
  </si>
  <si>
    <t>C01224</t>
  </si>
  <si>
    <t>T001225</t>
  </si>
  <si>
    <t>C01225</t>
  </si>
  <si>
    <t>T001226</t>
  </si>
  <si>
    <t>C01226</t>
  </si>
  <si>
    <t>T001227</t>
  </si>
  <si>
    <t>C01227</t>
  </si>
  <si>
    <t>T001228</t>
  </si>
  <si>
    <t>C01228</t>
  </si>
  <si>
    <t>T001229</t>
  </si>
  <si>
    <t>C01229</t>
  </si>
  <si>
    <t>T001230</t>
  </si>
  <si>
    <t>C01230</t>
  </si>
  <si>
    <t>T001231</t>
  </si>
  <si>
    <t>C01231</t>
  </si>
  <si>
    <t>T001232</t>
  </si>
  <si>
    <t>C01232</t>
  </si>
  <si>
    <t>T001233</t>
  </si>
  <si>
    <t>C01233</t>
  </si>
  <si>
    <t>T001234</t>
  </si>
  <si>
    <t>C01234</t>
  </si>
  <si>
    <t>T001235</t>
  </si>
  <si>
    <t>C01235</t>
  </si>
  <si>
    <t>T001236</t>
  </si>
  <si>
    <t>C01236</t>
  </si>
  <si>
    <t>T001237</t>
  </si>
  <si>
    <t>C01237</t>
  </si>
  <si>
    <t>T001238</t>
  </si>
  <si>
    <t>C01238</t>
  </si>
  <si>
    <t>T001239</t>
  </si>
  <si>
    <t>C01239</t>
  </si>
  <si>
    <t>T001240</t>
  </si>
  <si>
    <t>C01240</t>
  </si>
  <si>
    <t>T001241</t>
  </si>
  <si>
    <t>C01241</t>
  </si>
  <si>
    <t>T001242</t>
  </si>
  <si>
    <t>C01242</t>
  </si>
  <si>
    <t>T001243</t>
  </si>
  <si>
    <t>C01243</t>
  </si>
  <si>
    <t>T001244</t>
  </si>
  <si>
    <t>C01244</t>
  </si>
  <si>
    <t>T001245</t>
  </si>
  <si>
    <t>C01245</t>
  </si>
  <si>
    <t>T001246</t>
  </si>
  <si>
    <t>C01246</t>
  </si>
  <si>
    <t>T001247</t>
  </si>
  <si>
    <t>C01247</t>
  </si>
  <si>
    <t>T001248</t>
  </si>
  <si>
    <t>C01248</t>
  </si>
  <si>
    <t>T001249</t>
  </si>
  <si>
    <t>C01249</t>
  </si>
  <si>
    <t>T001250</t>
  </si>
  <si>
    <t>C01250</t>
  </si>
  <si>
    <t>T001251</t>
  </si>
  <si>
    <t>C01251</t>
  </si>
  <si>
    <t>T001252</t>
  </si>
  <si>
    <t>C01252</t>
  </si>
  <si>
    <t>T001253</t>
  </si>
  <si>
    <t>C01253</t>
  </si>
  <si>
    <t>T001254</t>
  </si>
  <si>
    <t>C01254</t>
  </si>
  <si>
    <t>T001255</t>
  </si>
  <si>
    <t>C01255</t>
  </si>
  <si>
    <t>T001256</t>
  </si>
  <si>
    <t>C01256</t>
  </si>
  <si>
    <t>T001257</t>
  </si>
  <si>
    <t>C01257</t>
  </si>
  <si>
    <t>T001258</t>
  </si>
  <si>
    <t>C01258</t>
  </si>
  <si>
    <t>T001259</t>
  </si>
  <si>
    <t>C01259</t>
  </si>
  <si>
    <t>T001260</t>
  </si>
  <si>
    <t>C01260</t>
  </si>
  <si>
    <t>T001261</t>
  </si>
  <si>
    <t>C01261</t>
  </si>
  <si>
    <t>T001262</t>
  </si>
  <si>
    <t>C01262</t>
  </si>
  <si>
    <t>T001263</t>
  </si>
  <si>
    <t>C01263</t>
  </si>
  <si>
    <t>T001264</t>
  </si>
  <si>
    <t>C01264</t>
  </si>
  <si>
    <t>T001265</t>
  </si>
  <si>
    <t>C01265</t>
  </si>
  <si>
    <t>T001266</t>
  </si>
  <si>
    <t>C01266</t>
  </si>
  <si>
    <t>T001267</t>
  </si>
  <si>
    <t>C01267</t>
  </si>
  <si>
    <t>T001268</t>
  </si>
  <si>
    <t>C01268</t>
  </si>
  <si>
    <t>T001269</t>
  </si>
  <si>
    <t>C01269</t>
  </si>
  <si>
    <t>T001270</t>
  </si>
  <si>
    <t>C01270</t>
  </si>
  <si>
    <t>T001271</t>
  </si>
  <si>
    <t>C01271</t>
  </si>
  <si>
    <t>T001272</t>
  </si>
  <si>
    <t>C01272</t>
  </si>
  <si>
    <t>T001273</t>
  </si>
  <si>
    <t>C01273</t>
  </si>
  <si>
    <t>T001274</t>
  </si>
  <si>
    <t>C01274</t>
  </si>
  <si>
    <t>T001275</t>
  </si>
  <si>
    <t>C01275</t>
  </si>
  <si>
    <t>T001276</t>
  </si>
  <si>
    <t>C01276</t>
  </si>
  <si>
    <t>T001277</t>
  </si>
  <si>
    <t>C01277</t>
  </si>
  <si>
    <t>T001278</t>
  </si>
  <si>
    <t>C01278</t>
  </si>
  <si>
    <t>T001279</t>
  </si>
  <si>
    <t>C01279</t>
  </si>
  <si>
    <t>T001280</t>
  </si>
  <si>
    <t>C01280</t>
  </si>
  <si>
    <t>T001281</t>
  </si>
  <si>
    <t>C01281</t>
  </si>
  <si>
    <t>T001282</t>
  </si>
  <si>
    <t>C01282</t>
  </si>
  <si>
    <t>T001283</t>
  </si>
  <si>
    <t>C01283</t>
  </si>
  <si>
    <t>T001284</t>
  </si>
  <si>
    <t>C01284</t>
  </si>
  <si>
    <t>T001285</t>
  </si>
  <si>
    <t>C01285</t>
  </si>
  <si>
    <t>T001286</t>
  </si>
  <si>
    <t>C01286</t>
  </si>
  <si>
    <t>T001287</t>
  </si>
  <si>
    <t>C01287</t>
  </si>
  <si>
    <t>T001288</t>
  </si>
  <si>
    <t>C01288</t>
  </si>
  <si>
    <t>T001289</t>
  </si>
  <si>
    <t>C01289</t>
  </si>
  <si>
    <t>T001290</t>
  </si>
  <si>
    <t>C01290</t>
  </si>
  <si>
    <t>T001291</t>
  </si>
  <si>
    <t>C01291</t>
  </si>
  <si>
    <t>T001292</t>
  </si>
  <si>
    <t>C01292</t>
  </si>
  <si>
    <t>T001293</t>
  </si>
  <si>
    <t>C01293</t>
  </si>
  <si>
    <t>T001294</t>
  </si>
  <si>
    <t>C01294</t>
  </si>
  <si>
    <t>T001295</t>
  </si>
  <si>
    <t>C01295</t>
  </si>
  <si>
    <t>T001296</t>
  </si>
  <si>
    <t>C01296</t>
  </si>
  <si>
    <t>T001297</t>
  </si>
  <si>
    <t>C01297</t>
  </si>
  <si>
    <t>T001298</t>
  </si>
  <si>
    <t>C01298</t>
  </si>
  <si>
    <t>T001299</t>
  </si>
  <si>
    <t>C01299</t>
  </si>
  <si>
    <t>T001300</t>
  </si>
  <si>
    <t>C01300</t>
  </si>
  <si>
    <t>T001301</t>
  </si>
  <si>
    <t>C01301</t>
  </si>
  <si>
    <t>T001302</t>
  </si>
  <si>
    <t>C01302</t>
  </si>
  <si>
    <t>T001303</t>
  </si>
  <si>
    <t>C01303</t>
  </si>
  <si>
    <t>T001304</t>
  </si>
  <si>
    <t>C01304</t>
  </si>
  <si>
    <t>T001305</t>
  </si>
  <si>
    <t>C01305</t>
  </si>
  <si>
    <t>T001306</t>
  </si>
  <si>
    <t>C01306</t>
  </si>
  <si>
    <t>T001307</t>
  </si>
  <si>
    <t>C01307</t>
  </si>
  <si>
    <t>T001308</t>
  </si>
  <si>
    <t>C01308</t>
  </si>
  <si>
    <t>T001309</t>
  </si>
  <si>
    <t>C01309</t>
  </si>
  <si>
    <t>T001310</t>
  </si>
  <si>
    <t>C01310</t>
  </si>
  <si>
    <t>T001311</t>
  </si>
  <si>
    <t>C01311</t>
  </si>
  <si>
    <t>T001312</t>
  </si>
  <si>
    <t>C01312</t>
  </si>
  <si>
    <t>T001313</t>
  </si>
  <si>
    <t>C01313</t>
  </si>
  <si>
    <t>T001314</t>
  </si>
  <si>
    <t>C01314</t>
  </si>
  <si>
    <t>T001315</t>
  </si>
  <si>
    <t>C01315</t>
  </si>
  <si>
    <t>T001316</t>
  </si>
  <si>
    <t>C01316</t>
  </si>
  <si>
    <t>T001317</t>
  </si>
  <si>
    <t>C01317</t>
  </si>
  <si>
    <t>T001318</t>
  </si>
  <si>
    <t>C01318</t>
  </si>
  <si>
    <t>T001319</t>
  </si>
  <si>
    <t>C01319</t>
  </si>
  <si>
    <t>T001320</t>
  </si>
  <si>
    <t>C01320</t>
  </si>
  <si>
    <t>T001321</t>
  </si>
  <si>
    <t>C01321</t>
  </si>
  <si>
    <t>T001322</t>
  </si>
  <si>
    <t>C01322</t>
  </si>
  <si>
    <t>T001323</t>
  </si>
  <si>
    <t>C01323</t>
  </si>
  <si>
    <t>T001324</t>
  </si>
  <si>
    <t>C01324</t>
  </si>
  <si>
    <t>T001325</t>
  </si>
  <si>
    <t>C01325</t>
  </si>
  <si>
    <t>T001326</t>
  </si>
  <si>
    <t>C01326</t>
  </si>
  <si>
    <t>T001327</t>
  </si>
  <si>
    <t>C01327</t>
  </si>
  <si>
    <t>T001328</t>
  </si>
  <si>
    <t>C01328</t>
  </si>
  <si>
    <t>T001329</t>
  </si>
  <si>
    <t>C01329</t>
  </si>
  <si>
    <t>T001330</t>
  </si>
  <si>
    <t>C01330</t>
  </si>
  <si>
    <t>T001331</t>
  </si>
  <si>
    <t>C01331</t>
  </si>
  <si>
    <t>T001332</t>
  </si>
  <si>
    <t>C01332</t>
  </si>
  <si>
    <t>T001333</t>
  </si>
  <si>
    <t>C01333</t>
  </si>
  <si>
    <t>T001334</t>
  </si>
  <si>
    <t>C01334</t>
  </si>
  <si>
    <t>T001335</t>
  </si>
  <si>
    <t>C01335</t>
  </si>
  <si>
    <t>T001336</t>
  </si>
  <si>
    <t>C01336</t>
  </si>
  <si>
    <t>T001337</t>
  </si>
  <si>
    <t>C01337</t>
  </si>
  <si>
    <t>T001338</t>
  </si>
  <si>
    <t>C01338</t>
  </si>
  <si>
    <t>T001339</t>
  </si>
  <si>
    <t>C01339</t>
  </si>
  <si>
    <t>T001340</t>
  </si>
  <si>
    <t>C01340</t>
  </si>
  <si>
    <t>T001341</t>
  </si>
  <si>
    <t>C01341</t>
  </si>
  <si>
    <t>T001342</t>
  </si>
  <si>
    <t>C01342</t>
  </si>
  <si>
    <t>T001343</t>
  </si>
  <si>
    <t>C01343</t>
  </si>
  <si>
    <t>T001344</t>
  </si>
  <si>
    <t>C01344</t>
  </si>
  <si>
    <t>T001345</t>
  </si>
  <si>
    <t>C01345</t>
  </si>
  <si>
    <t>T001346</t>
  </si>
  <si>
    <t>C01346</t>
  </si>
  <si>
    <t>T001347</t>
  </si>
  <si>
    <t>C01347</t>
  </si>
  <si>
    <t>T001348</t>
  </si>
  <si>
    <t>C01348</t>
  </si>
  <si>
    <t>T001349</t>
  </si>
  <si>
    <t>C01349</t>
  </si>
  <si>
    <t>T001350</t>
  </si>
  <si>
    <t>C01350</t>
  </si>
  <si>
    <t>T001351</t>
  </si>
  <si>
    <t>C01351</t>
  </si>
  <si>
    <t>T001352</t>
  </si>
  <si>
    <t>C01352</t>
  </si>
  <si>
    <t>T001353</t>
  </si>
  <si>
    <t>C01353</t>
  </si>
  <si>
    <t>T001354</t>
  </si>
  <si>
    <t>C01354</t>
  </si>
  <si>
    <t>T001355</t>
  </si>
  <si>
    <t>C01355</t>
  </si>
  <si>
    <t>T001356</t>
  </si>
  <si>
    <t>C01356</t>
  </si>
  <si>
    <t>T001357</t>
  </si>
  <si>
    <t>C01357</t>
  </si>
  <si>
    <t>T001358</t>
  </si>
  <si>
    <t>C01358</t>
  </si>
  <si>
    <t>T001359</t>
  </si>
  <si>
    <t>C01359</t>
  </si>
  <si>
    <t>T001360</t>
  </si>
  <si>
    <t>C01360</t>
  </si>
  <si>
    <t>T001361</t>
  </si>
  <si>
    <t>C01361</t>
  </si>
  <si>
    <t>T001362</t>
  </si>
  <si>
    <t>C01362</t>
  </si>
  <si>
    <t>T001363</t>
  </si>
  <si>
    <t>C01363</t>
  </si>
  <si>
    <t>T001364</t>
  </si>
  <si>
    <t>C01364</t>
  </si>
  <si>
    <t>T001365</t>
  </si>
  <si>
    <t>C01365</t>
  </si>
  <si>
    <t>T001366</t>
  </si>
  <si>
    <t>C01366</t>
  </si>
  <si>
    <t>T001367</t>
  </si>
  <si>
    <t>C01367</t>
  </si>
  <si>
    <t>T001368</t>
  </si>
  <si>
    <t>C01368</t>
  </si>
  <si>
    <t>T001369</t>
  </si>
  <si>
    <t>C01369</t>
  </si>
  <si>
    <t>T001370</t>
  </si>
  <si>
    <t>C01370</t>
  </si>
  <si>
    <t>T001371</t>
  </si>
  <si>
    <t>C01371</t>
  </si>
  <si>
    <t>T001372</t>
  </si>
  <si>
    <t>C01372</t>
  </si>
  <si>
    <t>T001373</t>
  </si>
  <si>
    <t>C01373</t>
  </si>
  <si>
    <t>T001374</t>
  </si>
  <si>
    <t>C01374</t>
  </si>
  <si>
    <t>T001375</t>
  </si>
  <si>
    <t>C01375</t>
  </si>
  <si>
    <t>T001376</t>
  </si>
  <si>
    <t>C01376</t>
  </si>
  <si>
    <t>T001377</t>
  </si>
  <si>
    <t>C01377</t>
  </si>
  <si>
    <t>T001378</t>
  </si>
  <si>
    <t>C01378</t>
  </si>
  <si>
    <t>T001379</t>
  </si>
  <si>
    <t>C01379</t>
  </si>
  <si>
    <t>T001380</t>
  </si>
  <si>
    <t>C01380</t>
  </si>
  <si>
    <t>T001381</t>
  </si>
  <si>
    <t>C01381</t>
  </si>
  <si>
    <t>T001382</t>
  </si>
  <si>
    <t>C01382</t>
  </si>
  <si>
    <t>T001383</t>
  </si>
  <si>
    <t>C01383</t>
  </si>
  <si>
    <t>T001384</t>
  </si>
  <si>
    <t>C01384</t>
  </si>
  <si>
    <t>T001385</t>
  </si>
  <si>
    <t>C01385</t>
  </si>
  <si>
    <t>T001386</t>
  </si>
  <si>
    <t>C01386</t>
  </si>
  <si>
    <t>T001387</t>
  </si>
  <si>
    <t>C01387</t>
  </si>
  <si>
    <t>T001388</t>
  </si>
  <si>
    <t>C01388</t>
  </si>
  <si>
    <t>T001389</t>
  </si>
  <si>
    <t>C01389</t>
  </si>
  <si>
    <t>T001390</t>
  </si>
  <si>
    <t>C01390</t>
  </si>
  <si>
    <t>T001391</t>
  </si>
  <si>
    <t>C01391</t>
  </si>
  <si>
    <t>T001392</t>
  </si>
  <si>
    <t>C01392</t>
  </si>
  <si>
    <t>T001393</t>
  </si>
  <si>
    <t>C01393</t>
  </si>
  <si>
    <t>T001394</t>
  </si>
  <si>
    <t>C01394</t>
  </si>
  <si>
    <t>T001395</t>
  </si>
  <si>
    <t>C01395</t>
  </si>
  <si>
    <t>T001396</t>
  </si>
  <si>
    <t>C01396</t>
  </si>
  <si>
    <t>T001397</t>
  </si>
  <si>
    <t>C01397</t>
  </si>
  <si>
    <t>T001398</t>
  </si>
  <si>
    <t>C01398</t>
  </si>
  <si>
    <t>T001399</t>
  </si>
  <si>
    <t>C01399</t>
  </si>
  <si>
    <t>T001400</t>
  </si>
  <si>
    <t>C01400</t>
  </si>
  <si>
    <t>T001401</t>
  </si>
  <si>
    <t>C01401</t>
  </si>
  <si>
    <t>T001402</t>
  </si>
  <si>
    <t>C01402</t>
  </si>
  <si>
    <t>T001403</t>
  </si>
  <si>
    <t>C01403</t>
  </si>
  <si>
    <t>T001404</t>
  </si>
  <si>
    <t>C01404</t>
  </si>
  <si>
    <t>T001405</t>
  </si>
  <si>
    <t>C01405</t>
  </si>
  <si>
    <t>T001406</t>
  </si>
  <si>
    <t>C01406</t>
  </si>
  <si>
    <t>T001407</t>
  </si>
  <si>
    <t>C01407</t>
  </si>
  <si>
    <t>T001408</t>
  </si>
  <si>
    <t>C01408</t>
  </si>
  <si>
    <t>T001409</t>
  </si>
  <si>
    <t>C01409</t>
  </si>
  <si>
    <t>T001410</t>
  </si>
  <si>
    <t>C01410</t>
  </si>
  <si>
    <t>T001411</t>
  </si>
  <si>
    <t>C01411</t>
  </si>
  <si>
    <t>T001412</t>
  </si>
  <si>
    <t>C01412</t>
  </si>
  <si>
    <t>T001413</t>
  </si>
  <si>
    <t>C01413</t>
  </si>
  <si>
    <t>T001414</t>
  </si>
  <si>
    <t>C01414</t>
  </si>
  <si>
    <t>T001415</t>
  </si>
  <si>
    <t>C01415</t>
  </si>
  <si>
    <t>T001416</t>
  </si>
  <si>
    <t>C01416</t>
  </si>
  <si>
    <t>T001417</t>
  </si>
  <si>
    <t>C01417</t>
  </si>
  <si>
    <t>T001418</t>
  </si>
  <si>
    <t>C01418</t>
  </si>
  <si>
    <t>T001419</t>
  </si>
  <si>
    <t>C01419</t>
  </si>
  <si>
    <t>T001420</t>
  </si>
  <si>
    <t>C01420</t>
  </si>
  <si>
    <t>T001421</t>
  </si>
  <si>
    <t>C01421</t>
  </si>
  <si>
    <t>T001422</t>
  </si>
  <si>
    <t>C01422</t>
  </si>
  <si>
    <t>T001423</t>
  </si>
  <si>
    <t>C01423</t>
  </si>
  <si>
    <t>T001424</t>
  </si>
  <si>
    <t>C01424</t>
  </si>
  <si>
    <t>T001425</t>
  </si>
  <si>
    <t>C01425</t>
  </si>
  <si>
    <t>T001426</t>
  </si>
  <si>
    <t>C01426</t>
  </si>
  <si>
    <t>T001427</t>
  </si>
  <si>
    <t>C01427</t>
  </si>
  <si>
    <t>T001428</t>
  </si>
  <si>
    <t>C01428</t>
  </si>
  <si>
    <t>T001429</t>
  </si>
  <si>
    <t>C01429</t>
  </si>
  <si>
    <t>T001430</t>
  </si>
  <si>
    <t>C01430</t>
  </si>
  <si>
    <t>T001431</t>
  </si>
  <si>
    <t>C01431</t>
  </si>
  <si>
    <t>T001432</t>
  </si>
  <si>
    <t>C01432</t>
  </si>
  <si>
    <t>T001433</t>
  </si>
  <si>
    <t>C01433</t>
  </si>
  <si>
    <t>T001434</t>
  </si>
  <si>
    <t>C01434</t>
  </si>
  <si>
    <t>T001435</t>
  </si>
  <si>
    <t>C01435</t>
  </si>
  <si>
    <t>T001436</t>
  </si>
  <si>
    <t>C01436</t>
  </si>
  <si>
    <t>T001437</t>
  </si>
  <si>
    <t>C01437</t>
  </si>
  <si>
    <t>T001438</t>
  </si>
  <si>
    <t>C01438</t>
  </si>
  <si>
    <t>T001439</t>
  </si>
  <si>
    <t>C01439</t>
  </si>
  <si>
    <t>T001440</t>
  </si>
  <si>
    <t>C01440</t>
  </si>
  <si>
    <t>T001441</t>
  </si>
  <si>
    <t>C01441</t>
  </si>
  <si>
    <t>T001442</t>
  </si>
  <si>
    <t>C01442</t>
  </si>
  <si>
    <t>T001443</t>
  </si>
  <si>
    <t>C01443</t>
  </si>
  <si>
    <t>T001444</t>
  </si>
  <si>
    <t>C01444</t>
  </si>
  <si>
    <t>T001445</t>
  </si>
  <si>
    <t>C01445</t>
  </si>
  <si>
    <t>T001446</t>
  </si>
  <si>
    <t>C01446</t>
  </si>
  <si>
    <t>T001447</t>
  </si>
  <si>
    <t>C01447</t>
  </si>
  <si>
    <t>T001448</t>
  </si>
  <si>
    <t>C01448</t>
  </si>
  <si>
    <t>T001449</t>
  </si>
  <si>
    <t>C01449</t>
  </si>
  <si>
    <t>T001450</t>
  </si>
  <si>
    <t>C01450</t>
  </si>
  <si>
    <t>T001451</t>
  </si>
  <si>
    <t>C01451</t>
  </si>
  <si>
    <t>T001452</t>
  </si>
  <si>
    <t>C01452</t>
  </si>
  <si>
    <t>T001453</t>
  </si>
  <si>
    <t>C01453</t>
  </si>
  <si>
    <t>T001454</t>
  </si>
  <si>
    <t>C01454</t>
  </si>
  <si>
    <t>T001455</t>
  </si>
  <si>
    <t>C01455</t>
  </si>
  <si>
    <t>T001456</t>
  </si>
  <si>
    <t>C01456</t>
  </si>
  <si>
    <t>T001457</t>
  </si>
  <si>
    <t>C01457</t>
  </si>
  <si>
    <t>T001458</t>
  </si>
  <si>
    <t>C01458</t>
  </si>
  <si>
    <t>T001459</t>
  </si>
  <si>
    <t>C01459</t>
  </si>
  <si>
    <t>T001460</t>
  </si>
  <si>
    <t>C01460</t>
  </si>
  <si>
    <t>T001461</t>
  </si>
  <si>
    <t>C01461</t>
  </si>
  <si>
    <t>T001462</t>
  </si>
  <si>
    <t>C01462</t>
  </si>
  <si>
    <t>T001463</t>
  </si>
  <si>
    <t>C01463</t>
  </si>
  <si>
    <t>T001464</t>
  </si>
  <si>
    <t>C01464</t>
  </si>
  <si>
    <t>T001465</t>
  </si>
  <si>
    <t>C01465</t>
  </si>
  <si>
    <t>T001466</t>
  </si>
  <si>
    <t>C01466</t>
  </si>
  <si>
    <t>T001467</t>
  </si>
  <si>
    <t>C01467</t>
  </si>
  <si>
    <t>T001468</t>
  </si>
  <si>
    <t>C01468</t>
  </si>
  <si>
    <t>T001469</t>
  </si>
  <si>
    <t>C01469</t>
  </si>
  <si>
    <t>T001470</t>
  </si>
  <si>
    <t>C01470</t>
  </si>
  <si>
    <t>T001471</t>
  </si>
  <si>
    <t>C01471</t>
  </si>
  <si>
    <t>T001472</t>
  </si>
  <si>
    <t>C01472</t>
  </si>
  <si>
    <t>T001473</t>
  </si>
  <si>
    <t>C01473</t>
  </si>
  <si>
    <t>T001474</t>
  </si>
  <si>
    <t>C01474</t>
  </si>
  <si>
    <t>T001475</t>
  </si>
  <si>
    <t>C01475</t>
  </si>
  <si>
    <t>T001476</t>
  </si>
  <si>
    <t>C01476</t>
  </si>
  <si>
    <t>T001477</t>
  </si>
  <si>
    <t>C01477</t>
  </si>
  <si>
    <t>T001478</t>
  </si>
  <si>
    <t>C01478</t>
  </si>
  <si>
    <t>T001479</t>
  </si>
  <si>
    <t>C01479</t>
  </si>
  <si>
    <t>T001480</t>
  </si>
  <si>
    <t>C01480</t>
  </si>
  <si>
    <t>T001481</t>
  </si>
  <si>
    <t>C01481</t>
  </si>
  <si>
    <t>T001482</t>
  </si>
  <si>
    <t>C01482</t>
  </si>
  <si>
    <t>T001483</t>
  </si>
  <si>
    <t>C01483</t>
  </si>
  <si>
    <t>T001484</t>
  </si>
  <si>
    <t>C01484</t>
  </si>
  <si>
    <t>T001485</t>
  </si>
  <si>
    <t>C01485</t>
  </si>
  <si>
    <t>T001486</t>
  </si>
  <si>
    <t>C01486</t>
  </si>
  <si>
    <t>T001487</t>
  </si>
  <si>
    <t>C01487</t>
  </si>
  <si>
    <t>T001488</t>
  </si>
  <si>
    <t>C01488</t>
  </si>
  <si>
    <t>T001489</t>
  </si>
  <si>
    <t>C01489</t>
  </si>
  <si>
    <t>T001490</t>
  </si>
  <si>
    <t>C01490</t>
  </si>
  <si>
    <t>T001491</t>
  </si>
  <si>
    <t>C01491</t>
  </si>
  <si>
    <t>T001492</t>
  </si>
  <si>
    <t>C01492</t>
  </si>
  <si>
    <t>T001493</t>
  </si>
  <si>
    <t>C01493</t>
  </si>
  <si>
    <t>T001494</t>
  </si>
  <si>
    <t>C01494</t>
  </si>
  <si>
    <t>T001495</t>
  </si>
  <si>
    <t>C01495</t>
  </si>
  <si>
    <t>T001496</t>
  </si>
  <si>
    <t>C01496</t>
  </si>
  <si>
    <t>T001497</t>
  </si>
  <si>
    <t>C01497</t>
  </si>
  <si>
    <t>T001498</t>
  </si>
  <si>
    <t>C01498</t>
  </si>
  <si>
    <t>T001499</t>
  </si>
  <si>
    <t>C01499</t>
  </si>
  <si>
    <t>T001500</t>
  </si>
  <si>
    <t>C01500</t>
  </si>
  <si>
    <t>T001501</t>
  </si>
  <si>
    <t>C01501</t>
  </si>
  <si>
    <t>T001502</t>
  </si>
  <si>
    <t>C01502</t>
  </si>
  <si>
    <t>T001503</t>
  </si>
  <si>
    <t>C01503</t>
  </si>
  <si>
    <t>T001504</t>
  </si>
  <si>
    <t>C01504</t>
  </si>
  <si>
    <t>T001505</t>
  </si>
  <si>
    <t>C01505</t>
  </si>
  <si>
    <t>T001506</t>
  </si>
  <si>
    <t>C01506</t>
  </si>
  <si>
    <t>T001507</t>
  </si>
  <si>
    <t>C01507</t>
  </si>
  <si>
    <t>T001508</t>
  </si>
  <si>
    <t>C01508</t>
  </si>
  <si>
    <t>T001509</t>
  </si>
  <si>
    <t>C01509</t>
  </si>
  <si>
    <t>T001510</t>
  </si>
  <si>
    <t>C01510</t>
  </si>
  <si>
    <t>T001511</t>
  </si>
  <si>
    <t>C01511</t>
  </si>
  <si>
    <t>T001512</t>
  </si>
  <si>
    <t>C01512</t>
  </si>
  <si>
    <t>T001513</t>
  </si>
  <si>
    <t>C01513</t>
  </si>
  <si>
    <t>T001514</t>
  </si>
  <si>
    <t>C01514</t>
  </si>
  <si>
    <t>T001515</t>
  </si>
  <si>
    <t>C01515</t>
  </si>
  <si>
    <t>T001516</t>
  </si>
  <si>
    <t>C01516</t>
  </si>
  <si>
    <t>T001517</t>
  </si>
  <si>
    <t>C01517</t>
  </si>
  <si>
    <t>T001518</t>
  </si>
  <si>
    <t>C01518</t>
  </si>
  <si>
    <t>T001519</t>
  </si>
  <si>
    <t>C01519</t>
  </si>
  <si>
    <t>T001520</t>
  </si>
  <si>
    <t>C01520</t>
  </si>
  <si>
    <t>T001521</t>
  </si>
  <si>
    <t>C01521</t>
  </si>
  <si>
    <t>T001522</t>
  </si>
  <si>
    <t>C01522</t>
  </si>
  <si>
    <t>T001523</t>
  </si>
  <si>
    <t>C01523</t>
  </si>
  <si>
    <t>T001524</t>
  </si>
  <si>
    <t>C01524</t>
  </si>
  <si>
    <t>T001525</t>
  </si>
  <si>
    <t>C01525</t>
  </si>
  <si>
    <t>T001526</t>
  </si>
  <si>
    <t>C01526</t>
  </si>
  <si>
    <t>T001527</t>
  </si>
  <si>
    <t>C01527</t>
  </si>
  <si>
    <t>T001528</t>
  </si>
  <si>
    <t>C01528</t>
  </si>
  <si>
    <t>T001529</t>
  </si>
  <si>
    <t>C01529</t>
  </si>
  <si>
    <t>T001530</t>
  </si>
  <si>
    <t>C01530</t>
  </si>
  <si>
    <t>T001531</t>
  </si>
  <si>
    <t>C01531</t>
  </si>
  <si>
    <t>T001532</t>
  </si>
  <si>
    <t>C01532</t>
  </si>
  <si>
    <t>T001533</t>
  </si>
  <si>
    <t>C01533</t>
  </si>
  <si>
    <t>T001534</t>
  </si>
  <si>
    <t>C01534</t>
  </si>
  <si>
    <t>T001535</t>
  </si>
  <si>
    <t>C01535</t>
  </si>
  <si>
    <t>T001536</t>
  </si>
  <si>
    <t>C01536</t>
  </si>
  <si>
    <t>T001537</t>
  </si>
  <si>
    <t>C01537</t>
  </si>
  <si>
    <t>T001538</t>
  </si>
  <si>
    <t>C01538</t>
  </si>
  <si>
    <t>T001539</t>
  </si>
  <si>
    <t>C01539</t>
  </si>
  <si>
    <t>T001540</t>
  </si>
  <si>
    <t>C01540</t>
  </si>
  <si>
    <t>T001541</t>
  </si>
  <si>
    <t>C01541</t>
  </si>
  <si>
    <t>T001542</t>
  </si>
  <si>
    <t>C01542</t>
  </si>
  <si>
    <t>T001543</t>
  </si>
  <si>
    <t>C01543</t>
  </si>
  <si>
    <t>T001544</t>
  </si>
  <si>
    <t>C01544</t>
  </si>
  <si>
    <t>T001545</t>
  </si>
  <si>
    <t>C01545</t>
  </si>
  <si>
    <t>T001546</t>
  </si>
  <si>
    <t>C01546</t>
  </si>
  <si>
    <t>T001547</t>
  </si>
  <si>
    <t>C01547</t>
  </si>
  <si>
    <t>T001548</t>
  </si>
  <si>
    <t>C01548</t>
  </si>
  <si>
    <t>T001549</t>
  </si>
  <si>
    <t>C01549</t>
  </si>
  <si>
    <t>T001550</t>
  </si>
  <si>
    <t>C01550</t>
  </si>
  <si>
    <t>T001551</t>
  </si>
  <si>
    <t>C01551</t>
  </si>
  <si>
    <t>T001552</t>
  </si>
  <si>
    <t>C01552</t>
  </si>
  <si>
    <t>T001553</t>
  </si>
  <si>
    <t>C01553</t>
  </si>
  <si>
    <t>T001554</t>
  </si>
  <si>
    <t>C01554</t>
  </si>
  <si>
    <t>T001555</t>
  </si>
  <si>
    <t>C01555</t>
  </si>
  <si>
    <t>T001556</t>
  </si>
  <si>
    <t>C01556</t>
  </si>
  <si>
    <t>T001557</t>
  </si>
  <si>
    <t>C01557</t>
  </si>
  <si>
    <t>T001558</t>
  </si>
  <si>
    <t>C01558</t>
  </si>
  <si>
    <t>T001559</t>
  </si>
  <si>
    <t>C01559</t>
  </si>
  <si>
    <t>T001560</t>
  </si>
  <si>
    <t>C01560</t>
  </si>
  <si>
    <t>T001561</t>
  </si>
  <si>
    <t>C01561</t>
  </si>
  <si>
    <t>T001562</t>
  </si>
  <si>
    <t>C01562</t>
  </si>
  <si>
    <t>T001563</t>
  </si>
  <si>
    <t>C01563</t>
  </si>
  <si>
    <t>T001564</t>
  </si>
  <si>
    <t>C01564</t>
  </si>
  <si>
    <t>T001565</t>
  </si>
  <si>
    <t>C01565</t>
  </si>
  <si>
    <t>T001566</t>
  </si>
  <si>
    <t>C01566</t>
  </si>
  <si>
    <t>T001567</t>
  </si>
  <si>
    <t>C01567</t>
  </si>
  <si>
    <t>T001568</t>
  </si>
  <si>
    <t>C01568</t>
  </si>
  <si>
    <t>T001569</t>
  </si>
  <si>
    <t>C01569</t>
  </si>
  <si>
    <t>T001570</t>
  </si>
  <si>
    <t>C01570</t>
  </si>
  <si>
    <t>T001571</t>
  </si>
  <si>
    <t>C01571</t>
  </si>
  <si>
    <t>T001572</t>
  </si>
  <si>
    <t>C01572</t>
  </si>
  <si>
    <t>T001573</t>
  </si>
  <si>
    <t>C01573</t>
  </si>
  <si>
    <t>T001574</t>
  </si>
  <si>
    <t>C01574</t>
  </si>
  <si>
    <t>T001575</t>
  </si>
  <si>
    <t>C01575</t>
  </si>
  <si>
    <t>T001576</t>
  </si>
  <si>
    <t>C01576</t>
  </si>
  <si>
    <t>T001577</t>
  </si>
  <si>
    <t>C01577</t>
  </si>
  <si>
    <t>T001578</t>
  </si>
  <si>
    <t>C01578</t>
  </si>
  <si>
    <t>T001579</t>
  </si>
  <si>
    <t>C01579</t>
  </si>
  <si>
    <t>T001580</t>
  </si>
  <si>
    <t>C01580</t>
  </si>
  <si>
    <t>T001581</t>
  </si>
  <si>
    <t>C01581</t>
  </si>
  <si>
    <t>T001582</t>
  </si>
  <si>
    <t>C01582</t>
  </si>
  <si>
    <t>T001583</t>
  </si>
  <si>
    <t>C01583</t>
  </si>
  <si>
    <t>T001584</t>
  </si>
  <si>
    <t>C01584</t>
  </si>
  <si>
    <t>T001585</t>
  </si>
  <si>
    <t>C01585</t>
  </si>
  <si>
    <t>T001586</t>
  </si>
  <si>
    <t>C01586</t>
  </si>
  <si>
    <t>T001587</t>
  </si>
  <si>
    <t>C01587</t>
  </si>
  <si>
    <t>T001588</t>
  </si>
  <si>
    <t>C01588</t>
  </si>
  <si>
    <t>T001589</t>
  </si>
  <si>
    <t>C01589</t>
  </si>
  <si>
    <t>T001590</t>
  </si>
  <si>
    <t>C01590</t>
  </si>
  <si>
    <t>T001591</t>
  </si>
  <si>
    <t>C01591</t>
  </si>
  <si>
    <t>T001592</t>
  </si>
  <si>
    <t>C01592</t>
  </si>
  <si>
    <t>T001593</t>
  </si>
  <si>
    <t>C01593</t>
  </si>
  <si>
    <t>T001594</t>
  </si>
  <si>
    <t>C01594</t>
  </si>
  <si>
    <t>T001595</t>
  </si>
  <si>
    <t>C01595</t>
  </si>
  <si>
    <t>T001596</t>
  </si>
  <si>
    <t>C01596</t>
  </si>
  <si>
    <t>T001597</t>
  </si>
  <si>
    <t>C01597</t>
  </si>
  <si>
    <t>T001598</t>
  </si>
  <si>
    <t>C01598</t>
  </si>
  <si>
    <t>T001599</t>
  </si>
  <si>
    <t>C01599</t>
  </si>
  <si>
    <t>T001600</t>
  </si>
  <si>
    <t>C01600</t>
  </si>
  <si>
    <t>T001601</t>
  </si>
  <si>
    <t>C01601</t>
  </si>
  <si>
    <t>T001602</t>
  </si>
  <si>
    <t>C01602</t>
  </si>
  <si>
    <t>T001603</t>
  </si>
  <si>
    <t>C01603</t>
  </si>
  <si>
    <t>T001604</t>
  </si>
  <si>
    <t>C01604</t>
  </si>
  <si>
    <t>T001605</t>
  </si>
  <si>
    <t>C01605</t>
  </si>
  <si>
    <t>T001606</t>
  </si>
  <si>
    <t>C01606</t>
  </si>
  <si>
    <t>T001607</t>
  </si>
  <si>
    <t>C01607</t>
  </si>
  <si>
    <t>T001608</t>
  </si>
  <si>
    <t>C01608</t>
  </si>
  <si>
    <t>T001609</t>
  </si>
  <si>
    <t>C01609</t>
  </si>
  <si>
    <t>T001610</t>
  </si>
  <si>
    <t>C01610</t>
  </si>
  <si>
    <t>T001611</t>
  </si>
  <si>
    <t>C01611</t>
  </si>
  <si>
    <t>T001612</t>
  </si>
  <si>
    <t>C01612</t>
  </si>
  <si>
    <t>T001613</t>
  </si>
  <si>
    <t>C01613</t>
  </si>
  <si>
    <t>T001614</t>
  </si>
  <si>
    <t>C01614</t>
  </si>
  <si>
    <t>T001615</t>
  </si>
  <si>
    <t>C01615</t>
  </si>
  <si>
    <t>T001616</t>
  </si>
  <si>
    <t>C01616</t>
  </si>
  <si>
    <t>T001617</t>
  </si>
  <si>
    <t>C01617</t>
  </si>
  <si>
    <t>T001618</t>
  </si>
  <si>
    <t>C01618</t>
  </si>
  <si>
    <t>T001619</t>
  </si>
  <si>
    <t>C01619</t>
  </si>
  <si>
    <t>T001620</t>
  </si>
  <si>
    <t>C01620</t>
  </si>
  <si>
    <t>T001621</t>
  </si>
  <si>
    <t>C01621</t>
  </si>
  <si>
    <t>T001622</t>
  </si>
  <si>
    <t>C01622</t>
  </si>
  <si>
    <t>T001623</t>
  </si>
  <si>
    <t>C01623</t>
  </si>
  <si>
    <t>T001624</t>
  </si>
  <si>
    <t>C01624</t>
  </si>
  <si>
    <t>T001625</t>
  </si>
  <si>
    <t>C01625</t>
  </si>
  <si>
    <t>T001626</t>
  </si>
  <si>
    <t>C01626</t>
  </si>
  <si>
    <t>T001627</t>
  </si>
  <si>
    <t>C01627</t>
  </si>
  <si>
    <t>T001628</t>
  </si>
  <si>
    <t>C01628</t>
  </si>
  <si>
    <t>T001629</t>
  </si>
  <si>
    <t>C01629</t>
  </si>
  <si>
    <t>T001630</t>
  </si>
  <si>
    <t>C01630</t>
  </si>
  <si>
    <t>T001631</t>
  </si>
  <si>
    <t>C01631</t>
  </si>
  <si>
    <t>T001632</t>
  </si>
  <si>
    <t>C01632</t>
  </si>
  <si>
    <t>T001633</t>
  </si>
  <si>
    <t>C01633</t>
  </si>
  <si>
    <t>T001634</t>
  </si>
  <si>
    <t>C01634</t>
  </si>
  <si>
    <t>T001635</t>
  </si>
  <si>
    <t>C01635</t>
  </si>
  <si>
    <t>T001636</t>
  </si>
  <si>
    <t>C01636</t>
  </si>
  <si>
    <t>T001637</t>
  </si>
  <si>
    <t>C01637</t>
  </si>
  <si>
    <t>T001638</t>
  </si>
  <si>
    <t>C01638</t>
  </si>
  <si>
    <t>T001639</t>
  </si>
  <si>
    <t>C01639</t>
  </si>
  <si>
    <t>T001640</t>
  </si>
  <si>
    <t>C01640</t>
  </si>
  <si>
    <t>T001641</t>
  </si>
  <si>
    <t>C01641</t>
  </si>
  <si>
    <t>T001642</t>
  </si>
  <si>
    <t>C01642</t>
  </si>
  <si>
    <t>T001643</t>
  </si>
  <si>
    <t>C01643</t>
  </si>
  <si>
    <t>T001644</t>
  </si>
  <si>
    <t>C01644</t>
  </si>
  <si>
    <t>T001645</t>
  </si>
  <si>
    <t>C01645</t>
  </si>
  <si>
    <t>T001646</t>
  </si>
  <si>
    <t>C01646</t>
  </si>
  <si>
    <t>T001647</t>
  </si>
  <si>
    <t>C01647</t>
  </si>
  <si>
    <t>T001648</t>
  </si>
  <si>
    <t>C01648</t>
  </si>
  <si>
    <t>T001649</t>
  </si>
  <si>
    <t>C01649</t>
  </si>
  <si>
    <t>T001650</t>
  </si>
  <si>
    <t>C01650</t>
  </si>
  <si>
    <t>T001651</t>
  </si>
  <si>
    <t>C01651</t>
  </si>
  <si>
    <t>T001652</t>
  </si>
  <si>
    <t>C01652</t>
  </si>
  <si>
    <t>T001653</t>
  </si>
  <si>
    <t>C01653</t>
  </si>
  <si>
    <t>T001654</t>
  </si>
  <si>
    <t>C01654</t>
  </si>
  <si>
    <t>T001655</t>
  </si>
  <si>
    <t>C01655</t>
  </si>
  <si>
    <t>T001656</t>
  </si>
  <si>
    <t>C01656</t>
  </si>
  <si>
    <t>T001657</t>
  </si>
  <si>
    <t>C01657</t>
  </si>
  <si>
    <t>T001658</t>
  </si>
  <si>
    <t>C01658</t>
  </si>
  <si>
    <t>T001659</t>
  </si>
  <si>
    <t>C01659</t>
  </si>
  <si>
    <t>T001660</t>
  </si>
  <si>
    <t>C01660</t>
  </si>
  <si>
    <t>T001661</t>
  </si>
  <si>
    <t>C01661</t>
  </si>
  <si>
    <t>T001662</t>
  </si>
  <si>
    <t>C01662</t>
  </si>
  <si>
    <t>T001663</t>
  </si>
  <si>
    <t>C01663</t>
  </si>
  <si>
    <t>T001664</t>
  </si>
  <si>
    <t>C01664</t>
  </si>
  <si>
    <t>T001665</t>
  </si>
  <si>
    <t>C01665</t>
  </si>
  <si>
    <t>T001666</t>
  </si>
  <si>
    <t>C01666</t>
  </si>
  <si>
    <t>T001667</t>
  </si>
  <si>
    <t>C01667</t>
  </si>
  <si>
    <t>T001668</t>
  </si>
  <si>
    <t>C01668</t>
  </si>
  <si>
    <t>T001669</t>
  </si>
  <si>
    <t>C01669</t>
  </si>
  <si>
    <t>T001670</t>
  </si>
  <si>
    <t>C01670</t>
  </si>
  <si>
    <t>T001671</t>
  </si>
  <si>
    <t>C01671</t>
  </si>
  <si>
    <t>T001672</t>
  </si>
  <si>
    <t>C01672</t>
  </si>
  <si>
    <t>T001673</t>
  </si>
  <si>
    <t>C01673</t>
  </si>
  <si>
    <t>T001674</t>
  </si>
  <si>
    <t>C01674</t>
  </si>
  <si>
    <t>T001675</t>
  </si>
  <si>
    <t>C01675</t>
  </si>
  <si>
    <t>T001676</t>
  </si>
  <si>
    <t>C01676</t>
  </si>
  <si>
    <t>T001677</t>
  </si>
  <si>
    <t>C01677</t>
  </si>
  <si>
    <t>T001678</t>
  </si>
  <si>
    <t>C01678</t>
  </si>
  <si>
    <t>T001679</t>
  </si>
  <si>
    <t>C01679</t>
  </si>
  <si>
    <t>T001680</t>
  </si>
  <si>
    <t>C01680</t>
  </si>
  <si>
    <t>T001681</t>
  </si>
  <si>
    <t>C01681</t>
  </si>
  <si>
    <t>T001682</t>
  </si>
  <si>
    <t>C01682</t>
  </si>
  <si>
    <t>T001683</t>
  </si>
  <si>
    <t>C01683</t>
  </si>
  <si>
    <t>T001684</t>
  </si>
  <si>
    <t>C01684</t>
  </si>
  <si>
    <t>T001685</t>
  </si>
  <si>
    <t>C01685</t>
  </si>
  <si>
    <t>T001686</t>
  </si>
  <si>
    <t>C01686</t>
  </si>
  <si>
    <t>T001687</t>
  </si>
  <si>
    <t>C01687</t>
  </si>
  <si>
    <t>T001688</t>
  </si>
  <si>
    <t>C01688</t>
  </si>
  <si>
    <t>T001689</t>
  </si>
  <si>
    <t>C01689</t>
  </si>
  <si>
    <t>T001690</t>
  </si>
  <si>
    <t>C01690</t>
  </si>
  <si>
    <t>T001691</t>
  </si>
  <si>
    <t>C01691</t>
  </si>
  <si>
    <t>T001692</t>
  </si>
  <si>
    <t>C01692</t>
  </si>
  <si>
    <t>T001693</t>
  </si>
  <si>
    <t>C01693</t>
  </si>
  <si>
    <t>T001694</t>
  </si>
  <si>
    <t>C01694</t>
  </si>
  <si>
    <t>T001695</t>
  </si>
  <si>
    <t>C01695</t>
  </si>
  <si>
    <t>T001696</t>
  </si>
  <si>
    <t>C01696</t>
  </si>
  <si>
    <t>T001697</t>
  </si>
  <si>
    <t>C01697</t>
  </si>
  <si>
    <t>T001698</t>
  </si>
  <si>
    <t>C01698</t>
  </si>
  <si>
    <t>T001699</t>
  </si>
  <si>
    <t>C01699</t>
  </si>
  <si>
    <t>T001700</t>
  </si>
  <si>
    <t>C01700</t>
  </si>
  <si>
    <t>T001701</t>
  </si>
  <si>
    <t>C01701</t>
  </si>
  <si>
    <t>T001702</t>
  </si>
  <si>
    <t>C01702</t>
  </si>
  <si>
    <t>T001703</t>
  </si>
  <si>
    <t>C01703</t>
  </si>
  <si>
    <t>T001704</t>
  </si>
  <si>
    <t>C01704</t>
  </si>
  <si>
    <t>T001705</t>
  </si>
  <si>
    <t>C01705</t>
  </si>
  <si>
    <t>T001706</t>
  </si>
  <si>
    <t>C01706</t>
  </si>
  <si>
    <t>T001707</t>
  </si>
  <si>
    <t>C01707</t>
  </si>
  <si>
    <t>T001708</t>
  </si>
  <si>
    <t>C01708</t>
  </si>
  <si>
    <t>T001709</t>
  </si>
  <si>
    <t>C01709</t>
  </si>
  <si>
    <t>T001710</t>
  </si>
  <si>
    <t>C01710</t>
  </si>
  <si>
    <t>T001711</t>
  </si>
  <si>
    <t>C01711</t>
  </si>
  <si>
    <t>T001712</t>
  </si>
  <si>
    <t>C01712</t>
  </si>
  <si>
    <t>T001713</t>
  </si>
  <si>
    <t>C01713</t>
  </si>
  <si>
    <t>T001714</t>
  </si>
  <si>
    <t>C01714</t>
  </si>
  <si>
    <t>T001715</t>
  </si>
  <si>
    <t>C01715</t>
  </si>
  <si>
    <t>T001716</t>
  </si>
  <si>
    <t>C01716</t>
  </si>
  <si>
    <t>T001717</t>
  </si>
  <si>
    <t>C01717</t>
  </si>
  <si>
    <t>T001718</t>
  </si>
  <si>
    <t>C01718</t>
  </si>
  <si>
    <t>T001719</t>
  </si>
  <si>
    <t>C01719</t>
  </si>
  <si>
    <t>T001720</t>
  </si>
  <si>
    <t>C01720</t>
  </si>
  <si>
    <t>T001721</t>
  </si>
  <si>
    <t>C01721</t>
  </si>
  <si>
    <t>T001722</t>
  </si>
  <si>
    <t>C01722</t>
  </si>
  <si>
    <t>T001723</t>
  </si>
  <si>
    <t>C01723</t>
  </si>
  <si>
    <t>T001724</t>
  </si>
  <si>
    <t>C01724</t>
  </si>
  <si>
    <t>T001725</t>
  </si>
  <si>
    <t>C01725</t>
  </si>
  <si>
    <t>T001726</t>
  </si>
  <si>
    <t>C01726</t>
  </si>
  <si>
    <t>T001727</t>
  </si>
  <si>
    <t>C01727</t>
  </si>
  <si>
    <t>T001728</t>
  </si>
  <si>
    <t>C01728</t>
  </si>
  <si>
    <t>T001729</t>
  </si>
  <si>
    <t>C01729</t>
  </si>
  <si>
    <t>T001730</t>
  </si>
  <si>
    <t>C01730</t>
  </si>
  <si>
    <t>T001731</t>
  </si>
  <si>
    <t>C01731</t>
  </si>
  <si>
    <t>T001732</t>
  </si>
  <si>
    <t>C01732</t>
  </si>
  <si>
    <t>T001733</t>
  </si>
  <si>
    <t>C01733</t>
  </si>
  <si>
    <t>T001734</t>
  </si>
  <si>
    <t>C01734</t>
  </si>
  <si>
    <t>T001735</t>
  </si>
  <si>
    <t>C01735</t>
  </si>
  <si>
    <t>T001736</t>
  </si>
  <si>
    <t>C01736</t>
  </si>
  <si>
    <t>T001737</t>
  </si>
  <si>
    <t>C01737</t>
  </si>
  <si>
    <t>T001738</t>
  </si>
  <si>
    <t>C01738</t>
  </si>
  <si>
    <t>T001739</t>
  </si>
  <si>
    <t>C01739</t>
  </si>
  <si>
    <t>T001740</t>
  </si>
  <si>
    <t>C01740</t>
  </si>
  <si>
    <t>T001741</t>
  </si>
  <si>
    <t>C01741</t>
  </si>
  <si>
    <t>T001742</t>
  </si>
  <si>
    <t>C01742</t>
  </si>
  <si>
    <t>T001743</t>
  </si>
  <si>
    <t>C01743</t>
  </si>
  <si>
    <t>T001744</t>
  </si>
  <si>
    <t>C01744</t>
  </si>
  <si>
    <t>T001745</t>
  </si>
  <si>
    <t>C01745</t>
  </si>
  <si>
    <t>T001746</t>
  </si>
  <si>
    <t>C01746</t>
  </si>
  <si>
    <t>T001747</t>
  </si>
  <si>
    <t>C01747</t>
  </si>
  <si>
    <t>T001748</t>
  </si>
  <si>
    <t>C01748</t>
  </si>
  <si>
    <t>T001749</t>
  </si>
  <si>
    <t>C01749</t>
  </si>
  <si>
    <t>T001750</t>
  </si>
  <si>
    <t>C01750</t>
  </si>
  <si>
    <t>T001751</t>
  </si>
  <si>
    <t>C01751</t>
  </si>
  <si>
    <t>T001752</t>
  </si>
  <si>
    <t>C01752</t>
  </si>
  <si>
    <t>T001753</t>
  </si>
  <si>
    <t>C01753</t>
  </si>
  <si>
    <t>T001754</t>
  </si>
  <si>
    <t>C01754</t>
  </si>
  <si>
    <t>T001755</t>
  </si>
  <si>
    <t>C01755</t>
  </si>
  <si>
    <t>T001756</t>
  </si>
  <si>
    <t>C01756</t>
  </si>
  <si>
    <t>T001757</t>
  </si>
  <si>
    <t>C01757</t>
  </si>
  <si>
    <t>T001758</t>
  </si>
  <si>
    <t>C01758</t>
  </si>
  <si>
    <t>T001759</t>
  </si>
  <si>
    <t>C01759</t>
  </si>
  <si>
    <t>T001760</t>
  </si>
  <si>
    <t>C01760</t>
  </si>
  <si>
    <t>T001761</t>
  </si>
  <si>
    <t>C01761</t>
  </si>
  <si>
    <t>T001762</t>
  </si>
  <si>
    <t>C01762</t>
  </si>
  <si>
    <t>T001763</t>
  </si>
  <si>
    <t>C01763</t>
  </si>
  <si>
    <t>T001764</t>
  </si>
  <si>
    <t>C01764</t>
  </si>
  <si>
    <t>T001765</t>
  </si>
  <si>
    <t>C01765</t>
  </si>
  <si>
    <t>T001766</t>
  </si>
  <si>
    <t>C01766</t>
  </si>
  <si>
    <t>T001767</t>
  </si>
  <si>
    <t>C01767</t>
  </si>
  <si>
    <t>T001768</t>
  </si>
  <si>
    <t>C01768</t>
  </si>
  <si>
    <t>T001769</t>
  </si>
  <si>
    <t>C01769</t>
  </si>
  <si>
    <t>T001770</t>
  </si>
  <si>
    <t>C01770</t>
  </si>
  <si>
    <t>T001771</t>
  </si>
  <si>
    <t>C01771</t>
  </si>
  <si>
    <t>T001772</t>
  </si>
  <si>
    <t>C01772</t>
  </si>
  <si>
    <t>T001773</t>
  </si>
  <si>
    <t>C01773</t>
  </si>
  <si>
    <t>T001774</t>
  </si>
  <si>
    <t>C01774</t>
  </si>
  <si>
    <t>T001775</t>
  </si>
  <si>
    <t>C01775</t>
  </si>
  <si>
    <t>T001776</t>
  </si>
  <si>
    <t>C01776</t>
  </si>
  <si>
    <t>T001777</t>
  </si>
  <si>
    <t>C01777</t>
  </si>
  <si>
    <t>T001778</t>
  </si>
  <si>
    <t>C01778</t>
  </si>
  <si>
    <t>T001779</t>
  </si>
  <si>
    <t>C01779</t>
  </si>
  <si>
    <t>T001780</t>
  </si>
  <si>
    <t>C01780</t>
  </si>
  <si>
    <t>T001781</t>
  </si>
  <si>
    <t>C01781</t>
  </si>
  <si>
    <t>T001782</t>
  </si>
  <si>
    <t>C01782</t>
  </si>
  <si>
    <t>T001783</t>
  </si>
  <si>
    <t>C01783</t>
  </si>
  <si>
    <t>T001784</t>
  </si>
  <si>
    <t>C01784</t>
  </si>
  <si>
    <t>T001785</t>
  </si>
  <si>
    <t>C01785</t>
  </si>
  <si>
    <t>T001786</t>
  </si>
  <si>
    <t>C01786</t>
  </si>
  <si>
    <t>T001787</t>
  </si>
  <si>
    <t>C01787</t>
  </si>
  <si>
    <t>T001788</t>
  </si>
  <si>
    <t>C01788</t>
  </si>
  <si>
    <t>T001789</t>
  </si>
  <si>
    <t>C01789</t>
  </si>
  <si>
    <t>T001790</t>
  </si>
  <si>
    <t>C01790</t>
  </si>
  <si>
    <t>T001791</t>
  </si>
  <si>
    <t>C01791</t>
  </si>
  <si>
    <t>T001792</t>
  </si>
  <si>
    <t>C01792</t>
  </si>
  <si>
    <t>T001793</t>
  </si>
  <si>
    <t>C01793</t>
  </si>
  <si>
    <t>T001794</t>
  </si>
  <si>
    <t>C01794</t>
  </si>
  <si>
    <t>T001795</t>
  </si>
  <si>
    <t>C01795</t>
  </si>
  <si>
    <t>T001796</t>
  </si>
  <si>
    <t>C01796</t>
  </si>
  <si>
    <t>T001797</t>
  </si>
  <si>
    <t>C01797</t>
  </si>
  <si>
    <t>T001798</t>
  </si>
  <si>
    <t>C01798</t>
  </si>
  <si>
    <t>T001799</t>
  </si>
  <si>
    <t>C01799</t>
  </si>
  <si>
    <t>T001800</t>
  </si>
  <si>
    <t>C01800</t>
  </si>
  <si>
    <t>T001801</t>
  </si>
  <si>
    <t>C01801</t>
  </si>
  <si>
    <t>T001802</t>
  </si>
  <si>
    <t>C01802</t>
  </si>
  <si>
    <t>T001803</t>
  </si>
  <si>
    <t>C01803</t>
  </si>
  <si>
    <t>T001804</t>
  </si>
  <si>
    <t>C01804</t>
  </si>
  <si>
    <t>T001805</t>
  </si>
  <si>
    <t>C01805</t>
  </si>
  <si>
    <t>T001806</t>
  </si>
  <si>
    <t>C01806</t>
  </si>
  <si>
    <t>T001807</t>
  </si>
  <si>
    <t>C01807</t>
  </si>
  <si>
    <t>T001808</t>
  </si>
  <si>
    <t>C01808</t>
  </si>
  <si>
    <t>T001809</t>
  </si>
  <si>
    <t>C01809</t>
  </si>
  <si>
    <t>T001810</t>
  </si>
  <si>
    <t>C01810</t>
  </si>
  <si>
    <t>T001811</t>
  </si>
  <si>
    <t>C01811</t>
  </si>
  <si>
    <t>T001812</t>
  </si>
  <si>
    <t>C01812</t>
  </si>
  <si>
    <t>T001813</t>
  </si>
  <si>
    <t>C01813</t>
  </si>
  <si>
    <t>T001814</t>
  </si>
  <si>
    <t>C01814</t>
  </si>
  <si>
    <t>T001815</t>
  </si>
  <si>
    <t>C01815</t>
  </si>
  <si>
    <t>T001816</t>
  </si>
  <si>
    <t>C01816</t>
  </si>
  <si>
    <t>T001817</t>
  </si>
  <si>
    <t>C01817</t>
  </si>
  <si>
    <t>T001818</t>
  </si>
  <si>
    <t>C01818</t>
  </si>
  <si>
    <t>T001819</t>
  </si>
  <si>
    <t>C01819</t>
  </si>
  <si>
    <t>T001820</t>
  </si>
  <si>
    <t>C01820</t>
  </si>
  <si>
    <t>T001821</t>
  </si>
  <si>
    <t>C01821</t>
  </si>
  <si>
    <t>T001822</t>
  </si>
  <si>
    <t>C01822</t>
  </si>
  <si>
    <t>T001823</t>
  </si>
  <si>
    <t>C01823</t>
  </si>
  <si>
    <t>T001824</t>
  </si>
  <si>
    <t>C01824</t>
  </si>
  <si>
    <t>T001825</t>
  </si>
  <si>
    <t>C01825</t>
  </si>
  <si>
    <t>T001826</t>
  </si>
  <si>
    <t>C01826</t>
  </si>
  <si>
    <t>T001827</t>
  </si>
  <si>
    <t>C01827</t>
  </si>
  <si>
    <t>T001828</t>
  </si>
  <si>
    <t>C01828</t>
  </si>
  <si>
    <t>T001829</t>
  </si>
  <si>
    <t>C01829</t>
  </si>
  <si>
    <t>T001830</t>
  </si>
  <si>
    <t>C01830</t>
  </si>
  <si>
    <t>T001831</t>
  </si>
  <si>
    <t>C01831</t>
  </si>
  <si>
    <t>T001832</t>
  </si>
  <si>
    <t>C01832</t>
  </si>
  <si>
    <t>T001833</t>
  </si>
  <si>
    <t>C01833</t>
  </si>
  <si>
    <t>T001834</t>
  </si>
  <si>
    <t>C01834</t>
  </si>
  <si>
    <t>T001835</t>
  </si>
  <si>
    <t>C01835</t>
  </si>
  <si>
    <t>T001836</t>
  </si>
  <si>
    <t>C01836</t>
  </si>
  <si>
    <t>T001837</t>
  </si>
  <si>
    <t>C01837</t>
  </si>
  <si>
    <t>T001838</t>
  </si>
  <si>
    <t>C01838</t>
  </si>
  <si>
    <t>T001839</t>
  </si>
  <si>
    <t>C01839</t>
  </si>
  <si>
    <t>T001840</t>
  </si>
  <si>
    <t>C01840</t>
  </si>
  <si>
    <t>T001841</t>
  </si>
  <si>
    <t>C01841</t>
  </si>
  <si>
    <t>T001842</t>
  </si>
  <si>
    <t>C01842</t>
  </si>
  <si>
    <t>T001843</t>
  </si>
  <si>
    <t>C01843</t>
  </si>
  <si>
    <t>T001844</t>
  </si>
  <si>
    <t>C01844</t>
  </si>
  <si>
    <t>T001845</t>
  </si>
  <si>
    <t>C01845</t>
  </si>
  <si>
    <t>T001846</t>
  </si>
  <si>
    <t>C01846</t>
  </si>
  <si>
    <t>T001847</t>
  </si>
  <si>
    <t>C01847</t>
  </si>
  <si>
    <t>T001848</t>
  </si>
  <si>
    <t>C01848</t>
  </si>
  <si>
    <t>T001849</t>
  </si>
  <si>
    <t>C01849</t>
  </si>
  <si>
    <t>T001850</t>
  </si>
  <si>
    <t>C01850</t>
  </si>
  <si>
    <t>T001851</t>
  </si>
  <si>
    <t>C01851</t>
  </si>
  <si>
    <t>T001852</t>
  </si>
  <si>
    <t>C01852</t>
  </si>
  <si>
    <t>T001853</t>
  </si>
  <si>
    <t>C01853</t>
  </si>
  <si>
    <t>T001854</t>
  </si>
  <si>
    <t>C01854</t>
  </si>
  <si>
    <t>T001855</t>
  </si>
  <si>
    <t>C01855</t>
  </si>
  <si>
    <t>T001856</t>
  </si>
  <si>
    <t>C01856</t>
  </si>
  <si>
    <t>T001857</t>
  </si>
  <si>
    <t>C01857</t>
  </si>
  <si>
    <t>T001858</t>
  </si>
  <si>
    <t>C01858</t>
  </si>
  <si>
    <t>T001859</t>
  </si>
  <si>
    <t>C01859</t>
  </si>
  <si>
    <t>T001860</t>
  </si>
  <si>
    <t>C01860</t>
  </si>
  <si>
    <t>T001861</t>
  </si>
  <si>
    <t>C01861</t>
  </si>
  <si>
    <t>T001862</t>
  </si>
  <si>
    <t>C01862</t>
  </si>
  <si>
    <t>T001863</t>
  </si>
  <si>
    <t>C01863</t>
  </si>
  <si>
    <t>T001864</t>
  </si>
  <si>
    <t>C01864</t>
  </si>
  <si>
    <t>T001865</t>
  </si>
  <si>
    <t>C01865</t>
  </si>
  <si>
    <t>T001866</t>
  </si>
  <si>
    <t>C01866</t>
  </si>
  <si>
    <t>T001867</t>
  </si>
  <si>
    <t>C01867</t>
  </si>
  <si>
    <t>T001868</t>
  </si>
  <si>
    <t>C01868</t>
  </si>
  <si>
    <t>T001869</t>
  </si>
  <si>
    <t>C01869</t>
  </si>
  <si>
    <t>T001870</t>
  </si>
  <si>
    <t>C01870</t>
  </si>
  <si>
    <t>T001871</t>
  </si>
  <si>
    <t>C01871</t>
  </si>
  <si>
    <t>T001872</t>
  </si>
  <si>
    <t>C01872</t>
  </si>
  <si>
    <t>T001873</t>
  </si>
  <si>
    <t>C01873</t>
  </si>
  <si>
    <t>T001874</t>
  </si>
  <si>
    <t>C01874</t>
  </si>
  <si>
    <t>T001875</t>
  </si>
  <si>
    <t>C01875</t>
  </si>
  <si>
    <t>T001876</t>
  </si>
  <si>
    <t>C01876</t>
  </si>
  <si>
    <t>T001877</t>
  </si>
  <si>
    <t>C01877</t>
  </si>
  <si>
    <t>T001878</t>
  </si>
  <si>
    <t>C01878</t>
  </si>
  <si>
    <t>T001879</t>
  </si>
  <si>
    <t>C01879</t>
  </si>
  <si>
    <t>T001880</t>
  </si>
  <si>
    <t>C01880</t>
  </si>
  <si>
    <t>T001881</t>
  </si>
  <si>
    <t>C01881</t>
  </si>
  <si>
    <t>T001882</t>
  </si>
  <si>
    <t>C01882</t>
  </si>
  <si>
    <t>T001883</t>
  </si>
  <si>
    <t>C01883</t>
  </si>
  <si>
    <t>T001884</t>
  </si>
  <si>
    <t>C01884</t>
  </si>
  <si>
    <t>T001885</t>
  </si>
  <si>
    <t>C01885</t>
  </si>
  <si>
    <t>T001886</t>
  </si>
  <si>
    <t>C01886</t>
  </si>
  <si>
    <t>T001887</t>
  </si>
  <si>
    <t>C01887</t>
  </si>
  <si>
    <t>T001888</t>
  </si>
  <si>
    <t>C01888</t>
  </si>
  <si>
    <t>T001889</t>
  </si>
  <si>
    <t>C01889</t>
  </si>
  <si>
    <t>T001890</t>
  </si>
  <si>
    <t>C01890</t>
  </si>
  <si>
    <t>T001891</t>
  </si>
  <si>
    <t>C01891</t>
  </si>
  <si>
    <t>T001892</t>
  </si>
  <si>
    <t>C01892</t>
  </si>
  <si>
    <t>T001893</t>
  </si>
  <si>
    <t>C01893</t>
  </si>
  <si>
    <t>T001894</t>
  </si>
  <si>
    <t>C01894</t>
  </si>
  <si>
    <t>T001895</t>
  </si>
  <si>
    <t>C01895</t>
  </si>
  <si>
    <t>T001896</t>
  </si>
  <si>
    <t>C01896</t>
  </si>
  <si>
    <t>T001897</t>
  </si>
  <si>
    <t>C01897</t>
  </si>
  <si>
    <t>T001898</t>
  </si>
  <si>
    <t>C01898</t>
  </si>
  <si>
    <t>T001899</t>
  </si>
  <si>
    <t>C01899</t>
  </si>
  <si>
    <t>T001900</t>
  </si>
  <si>
    <t>C01900</t>
  </si>
  <si>
    <t>T001901</t>
  </si>
  <si>
    <t>C01901</t>
  </si>
  <si>
    <t>T001902</t>
  </si>
  <si>
    <t>C01902</t>
  </si>
  <si>
    <t>T001903</t>
  </si>
  <si>
    <t>C01903</t>
  </si>
  <si>
    <t>T001904</t>
  </si>
  <si>
    <t>C01904</t>
  </si>
  <si>
    <t>T001905</t>
  </si>
  <si>
    <t>C01905</t>
  </si>
  <si>
    <t>T001906</t>
  </si>
  <si>
    <t>C01906</t>
  </si>
  <si>
    <t>T001907</t>
  </si>
  <si>
    <t>C01907</t>
  </si>
  <si>
    <t>T001908</t>
  </si>
  <si>
    <t>C01908</t>
  </si>
  <si>
    <t>T001909</t>
  </si>
  <si>
    <t>C01909</t>
  </si>
  <si>
    <t>T001910</t>
  </si>
  <si>
    <t>C01910</t>
  </si>
  <si>
    <t>T001911</t>
  </si>
  <si>
    <t>C01911</t>
  </si>
  <si>
    <t>T001912</t>
  </si>
  <si>
    <t>C01912</t>
  </si>
  <si>
    <t>T001913</t>
  </si>
  <si>
    <t>C01913</t>
  </si>
  <si>
    <t>T001914</t>
  </si>
  <si>
    <t>C01914</t>
  </si>
  <si>
    <t>T001915</t>
  </si>
  <si>
    <t>C01915</t>
  </si>
  <si>
    <t>T001916</t>
  </si>
  <si>
    <t>C01916</t>
  </si>
  <si>
    <t>T001917</t>
  </si>
  <si>
    <t>C01917</t>
  </si>
  <si>
    <t>T001918</t>
  </si>
  <si>
    <t>C01918</t>
  </si>
  <si>
    <t>T001919</t>
  </si>
  <si>
    <t>C01919</t>
  </si>
  <si>
    <t>T001920</t>
  </si>
  <si>
    <t>C01920</t>
  </si>
  <si>
    <t>T001921</t>
  </si>
  <si>
    <t>C01921</t>
  </si>
  <si>
    <t>T001922</t>
  </si>
  <si>
    <t>C01922</t>
  </si>
  <si>
    <t>T001923</t>
  </si>
  <si>
    <t>C01923</t>
  </si>
  <si>
    <t>T001924</t>
  </si>
  <si>
    <t>C01924</t>
  </si>
  <si>
    <t>T001925</t>
  </si>
  <si>
    <t>C01925</t>
  </si>
  <si>
    <t>T001926</t>
  </si>
  <si>
    <t>C01926</t>
  </si>
  <si>
    <t>T001927</t>
  </si>
  <si>
    <t>C01927</t>
  </si>
  <si>
    <t>T001928</t>
  </si>
  <si>
    <t>C01928</t>
  </si>
  <si>
    <t>T001929</t>
  </si>
  <si>
    <t>C01929</t>
  </si>
  <si>
    <t>T001930</t>
  </si>
  <si>
    <t>C01930</t>
  </si>
  <si>
    <t>T001931</t>
  </si>
  <si>
    <t>C01931</t>
  </si>
  <si>
    <t>T001932</t>
  </si>
  <si>
    <t>C01932</t>
  </si>
  <si>
    <t>T001933</t>
  </si>
  <si>
    <t>C01933</t>
  </si>
  <si>
    <t>T001934</t>
  </si>
  <si>
    <t>C01934</t>
  </si>
  <si>
    <t>T001935</t>
  </si>
  <si>
    <t>C01935</t>
  </si>
  <si>
    <t>T001936</t>
  </si>
  <si>
    <t>C01936</t>
  </si>
  <si>
    <t>T001937</t>
  </si>
  <si>
    <t>C01937</t>
  </si>
  <si>
    <t>T001938</t>
  </si>
  <si>
    <t>C01938</t>
  </si>
  <si>
    <t>T001939</t>
  </si>
  <si>
    <t>C01939</t>
  </si>
  <si>
    <t>T001940</t>
  </si>
  <si>
    <t>C01940</t>
  </si>
  <si>
    <t>T001941</t>
  </si>
  <si>
    <t>C01941</t>
  </si>
  <si>
    <t>T001942</t>
  </si>
  <si>
    <t>C01942</t>
  </si>
  <si>
    <t>T001943</t>
  </si>
  <si>
    <t>C01943</t>
  </si>
  <si>
    <t>T001944</t>
  </si>
  <si>
    <t>C01944</t>
  </si>
  <si>
    <t>T001945</t>
  </si>
  <si>
    <t>C01945</t>
  </si>
  <si>
    <t>T001946</t>
  </si>
  <si>
    <t>C01946</t>
  </si>
  <si>
    <t>T001947</t>
  </si>
  <si>
    <t>C01947</t>
  </si>
  <si>
    <t>T001948</t>
  </si>
  <si>
    <t>C01948</t>
  </si>
  <si>
    <t>T001949</t>
  </si>
  <si>
    <t>C01949</t>
  </si>
  <si>
    <t>T001950</t>
  </si>
  <si>
    <t>C01950</t>
  </si>
  <si>
    <t>T001951</t>
  </si>
  <si>
    <t>C01951</t>
  </si>
  <si>
    <t>T001952</t>
  </si>
  <si>
    <t>C01952</t>
  </si>
  <si>
    <t>T001953</t>
  </si>
  <si>
    <t>C01953</t>
  </si>
  <si>
    <t>T001954</t>
  </si>
  <si>
    <t>C01954</t>
  </si>
  <si>
    <t>T001955</t>
  </si>
  <si>
    <t>C01955</t>
  </si>
  <si>
    <t>T001956</t>
  </si>
  <si>
    <t>C01956</t>
  </si>
  <si>
    <t>T001957</t>
  </si>
  <si>
    <t>C01957</t>
  </si>
  <si>
    <t>T001958</t>
  </si>
  <si>
    <t>C01958</t>
  </si>
  <si>
    <t>T001959</t>
  </si>
  <si>
    <t>C01959</t>
  </si>
  <si>
    <t>T001960</t>
  </si>
  <si>
    <t>C01960</t>
  </si>
  <si>
    <t>T001961</t>
  </si>
  <si>
    <t>C01961</t>
  </si>
  <si>
    <t>T001962</t>
  </si>
  <si>
    <t>C01962</t>
  </si>
  <si>
    <t>T001963</t>
  </si>
  <si>
    <t>C01963</t>
  </si>
  <si>
    <t>T001964</t>
  </si>
  <si>
    <t>C01964</t>
  </si>
  <si>
    <t>T001965</t>
  </si>
  <si>
    <t>C01965</t>
  </si>
  <si>
    <t>T001966</t>
  </si>
  <si>
    <t>C01966</t>
  </si>
  <si>
    <t>T001967</t>
  </si>
  <si>
    <t>C01967</t>
  </si>
  <si>
    <t>T001968</t>
  </si>
  <si>
    <t>C01968</t>
  </si>
  <si>
    <t>T001969</t>
  </si>
  <si>
    <t>C01969</t>
  </si>
  <si>
    <t>T001970</t>
  </si>
  <si>
    <t>C01970</t>
  </si>
  <si>
    <t>T001971</t>
  </si>
  <si>
    <t>C01971</t>
  </si>
  <si>
    <t>T001972</t>
  </si>
  <si>
    <t>C01972</t>
  </si>
  <si>
    <t>T001973</t>
  </si>
  <si>
    <t>C01973</t>
  </si>
  <si>
    <t>T001974</t>
  </si>
  <si>
    <t>C01974</t>
  </si>
  <si>
    <t>T001975</t>
  </si>
  <si>
    <t>C01975</t>
  </si>
  <si>
    <t>T001976</t>
  </si>
  <si>
    <t>C01976</t>
  </si>
  <si>
    <t>T001977</t>
  </si>
  <si>
    <t>C01977</t>
  </si>
  <si>
    <t>T001978</t>
  </si>
  <si>
    <t>C01978</t>
  </si>
  <si>
    <t>T001979</t>
  </si>
  <si>
    <t>C01979</t>
  </si>
  <si>
    <t>T001980</t>
  </si>
  <si>
    <t>C01980</t>
  </si>
  <si>
    <t>T001981</t>
  </si>
  <si>
    <t>C01981</t>
  </si>
  <si>
    <t>T001982</t>
  </si>
  <si>
    <t>C01982</t>
  </si>
  <si>
    <t>T001983</t>
  </si>
  <si>
    <t>C01983</t>
  </si>
  <si>
    <t>T001984</t>
  </si>
  <si>
    <t>C01984</t>
  </si>
  <si>
    <t>T001985</t>
  </si>
  <si>
    <t>C01985</t>
  </si>
  <si>
    <t>T001986</t>
  </si>
  <si>
    <t>C01986</t>
  </si>
  <si>
    <t>T001987</t>
  </si>
  <si>
    <t>C01987</t>
  </si>
  <si>
    <t>T001988</t>
  </si>
  <si>
    <t>C01988</t>
  </si>
  <si>
    <t>T001989</t>
  </si>
  <si>
    <t>C01989</t>
  </si>
  <si>
    <t>T001990</t>
  </si>
  <si>
    <t>C01990</t>
  </si>
  <si>
    <t>T001991</t>
  </si>
  <si>
    <t>C01991</t>
  </si>
  <si>
    <t>T001992</t>
  </si>
  <si>
    <t>C01992</t>
  </si>
  <si>
    <t>T001993</t>
  </si>
  <si>
    <t>C01993</t>
  </si>
  <si>
    <t>T001994</t>
  </si>
  <si>
    <t>C01994</t>
  </si>
  <si>
    <t>T001995</t>
  </si>
  <si>
    <t>C01995</t>
  </si>
  <si>
    <t>T001996</t>
  </si>
  <si>
    <t>C01996</t>
  </si>
  <si>
    <t>T001997</t>
  </si>
  <si>
    <t>C01997</t>
  </si>
  <si>
    <t>T001998</t>
  </si>
  <si>
    <t>C01998</t>
  </si>
  <si>
    <t>T001999</t>
  </si>
  <si>
    <t>C01999</t>
  </si>
  <si>
    <t>T002000</t>
  </si>
  <si>
    <t>C02000</t>
  </si>
  <si>
    <t>Beach</t>
  </si>
  <si>
    <t>Rajasthan</t>
  </si>
  <si>
    <t>Himachal Pradesh</t>
  </si>
  <si>
    <t>TOUR TREND ANALYSIS</t>
  </si>
  <si>
    <t>Sum of Tour_Cost</t>
  </si>
  <si>
    <t>Sum of Discount_Applied</t>
  </si>
  <si>
    <t>Count of Tour_ID</t>
  </si>
  <si>
    <t>Sum of Duration_Days</t>
  </si>
  <si>
    <t>Sum of Group_Size</t>
  </si>
  <si>
    <t>KPI</t>
  </si>
  <si>
    <t>TOTAL BOOKINGS</t>
  </si>
  <si>
    <t>TOTAL DURATION</t>
  </si>
  <si>
    <t>TOTAL COST</t>
  </si>
  <si>
    <t>TOP 3 DESTINATION</t>
  </si>
  <si>
    <t>Row Labels</t>
  </si>
  <si>
    <t>Grand Total</t>
  </si>
  <si>
    <t>Others</t>
  </si>
  <si>
    <t>PERCENTAGE</t>
  </si>
  <si>
    <t>COST ANALYSIS BASED ON SEASON</t>
  </si>
  <si>
    <t>SEASON</t>
  </si>
  <si>
    <t>TOTAL DISCOUNT</t>
  </si>
  <si>
    <t>Sum of Revenue</t>
  </si>
  <si>
    <t>TOTAL REVENUE</t>
  </si>
  <si>
    <t>GROUP SIZE</t>
  </si>
  <si>
    <t>BEACH ESCAPE - PACKAGE ANALYSIS</t>
  </si>
  <si>
    <t>DESTINATION</t>
  </si>
  <si>
    <t>TOUR GUIDE ANALYSIS</t>
  </si>
  <si>
    <t>GUIDE NAME</t>
  </si>
  <si>
    <t>DURATION ANALYSIS BASED ON CITY</t>
  </si>
  <si>
    <t>CITY</t>
  </si>
  <si>
    <t>TRAVEL MODE</t>
  </si>
  <si>
    <t>TRAVEL MODE ANALYSIS</t>
  </si>
  <si>
    <t>DESTINATION BOOKINGS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</si>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</sst>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5" formatCode="[$₹-4009]\ #,##0.0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1"/>
      <name val="Calibri"/>
      <family val="2"/>
      <scheme val="minor"/>
    </font>
    <font>
      <b/>
      <sz val="20"/>
      <color theme="1"/>
      <name val="Calibri"/>
      <family val="2"/>
      <scheme val="minor"/>
    </font>
    <font>
      <b/>
      <sz val="22"/>
      <color theme="1"/>
      <name val="Calibri"/>
      <family val="2"/>
      <scheme val="minor"/>
    </font>
    <font>
      <b/>
      <sz val="24"/>
      <color theme="1"/>
      <name val="Calibri"/>
      <family val="2"/>
      <scheme val="minor"/>
    </font>
    <font>
      <b/>
      <sz val="26"/>
      <color theme="1"/>
      <name val="Calibri"/>
      <family val="2"/>
      <scheme val="minor"/>
    </font>
    <font>
      <u/>
      <sz val="11"/>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32969E"/>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1BCD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xf numFmtId="164" fontId="0" fillId="0" borderId="0" xfId="0" applyNumberFormat="1"/>
    <xf numFmtId="165" fontId="0" fillId="0" borderId="0" xfId="0" applyNumberFormat="1"/>
    <xf numFmtId="0" fontId="19" fillId="0" borderId="0" xfId="0" applyFont="1" applyAlignment="1">
      <alignment horizontal="center"/>
    </xf>
    <xf numFmtId="0" fontId="0" fillId="0" borderId="10" xfId="0" applyBorder="1"/>
    <xf numFmtId="0" fontId="16" fillId="0" borderId="0" xfId="0" applyFont="1"/>
    <xf numFmtId="0" fontId="16" fillId="0" borderId="10" xfId="0" applyFont="1" applyBorder="1"/>
    <xf numFmtId="0" fontId="0" fillId="0" borderId="0" xfId="0" pivotButton="1"/>
    <xf numFmtId="0" fontId="0" fillId="0" borderId="0" xfId="0" applyAlignment="1">
      <alignment horizontal="left"/>
    </xf>
    <xf numFmtId="10" fontId="0" fillId="0" borderId="10" xfId="0" applyNumberFormat="1" applyBorder="1"/>
    <xf numFmtId="10" fontId="0" fillId="0" borderId="0" xfId="0" applyNumberFormat="1"/>
    <xf numFmtId="165" fontId="0" fillId="0" borderId="10" xfId="0" applyNumberFormat="1" applyBorder="1"/>
    <xf numFmtId="0" fontId="0" fillId="34" borderId="0" xfId="0" applyFill="1"/>
    <xf numFmtId="0" fontId="23" fillId="34" borderId="0" xfId="0" applyFont="1" applyFill="1"/>
    <xf numFmtId="0" fontId="16" fillId="35" borderId="10" xfId="0" applyFont="1" applyFill="1" applyBorder="1"/>
    <xf numFmtId="0" fontId="16" fillId="37" borderId="10" xfId="0" applyFont="1" applyFill="1" applyBorder="1"/>
    <xf numFmtId="0" fontId="19" fillId="0" borderId="0" xfId="0" applyFont="1" applyAlignment="1">
      <alignment horizontal="center"/>
    </xf>
    <xf numFmtId="0" fontId="21" fillId="0" borderId="10" xfId="0" applyFont="1" applyBorder="1" applyAlignment="1">
      <alignment horizontal="center"/>
    </xf>
    <xf numFmtId="0" fontId="22" fillId="0" borderId="10" xfId="0" applyFont="1" applyBorder="1" applyAlignment="1">
      <alignment horizontal="center"/>
    </xf>
    <xf numFmtId="0" fontId="20" fillId="0" borderId="10" xfId="0" applyFont="1" applyBorder="1" applyAlignment="1">
      <alignment horizontal="center"/>
    </xf>
    <xf numFmtId="0" fontId="16" fillId="0" borderId="10" xfId="0" applyFont="1" applyBorder="1" applyAlignment="1">
      <alignment horizontal="center"/>
    </xf>
    <xf numFmtId="0" fontId="18" fillId="0" borderId="10" xfId="0" applyFont="1" applyBorder="1" applyAlignment="1">
      <alignment horizontal="center"/>
    </xf>
    <xf numFmtId="0" fontId="19" fillId="0" borderId="10" xfId="0" applyFont="1" applyBorder="1" applyAlignment="1">
      <alignment horizontal="center"/>
    </xf>
    <xf numFmtId="0" fontId="21" fillId="36" borderId="10" xfId="0" applyFont="1" applyFill="1" applyBorder="1" applyAlignment="1">
      <alignment horizontal="center"/>
    </xf>
    <xf numFmtId="0" fontId="22" fillId="36" borderId="10" xfId="0" applyFont="1" applyFill="1" applyBorder="1" applyAlignment="1">
      <alignment horizontal="center"/>
    </xf>
    <xf numFmtId="0" fontId="20" fillId="36" borderId="10" xfId="0" applyFont="1" applyFill="1" applyBorder="1" applyAlignment="1">
      <alignment horizontal="center"/>
    </xf>
    <xf numFmtId="0" fontId="16" fillId="33" borderId="10" xfId="0" applyFont="1" applyFill="1" applyBorder="1" applyAlignment="1">
      <alignment horizontal="center"/>
    </xf>
    <xf numFmtId="0" fontId="18" fillId="36" borderId="10" xfId="0" applyFont="1" applyFill="1" applyBorder="1" applyAlignment="1">
      <alignment horizontal="center"/>
    </xf>
    <xf numFmtId="0" fontId="19" fillId="36" borderId="10" xfId="0" applyFont="1" applyFill="1" applyBorder="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165" formatCode="[$₹-4009]\ #,##0.00"/>
    </dxf>
    <dxf>
      <numFmt numFmtId="165" formatCode="[$₹-4009]\ #,##0.00"/>
    </dxf>
    <dxf>
      <numFmt numFmtId="164" formatCode="yyyy/mm/dd"/>
    </dxf>
    <dxf>
      <font>
        <b/>
        <i val="0"/>
        <sz val="12"/>
        <name val="Times New Roman"/>
        <family val="1"/>
        <scheme val="none"/>
      </font>
      <fill>
        <patternFill>
          <bgColor theme="0" tint="-0.14996795556505021"/>
        </patternFill>
      </fill>
    </dxf>
    <dxf>
      <fill>
        <patternFill>
          <bgColor theme="0" tint="-0.14996795556505021"/>
        </patternFill>
      </fill>
    </dxf>
    <dxf>
      <fill>
        <patternFill>
          <bgColor theme="0" tint="-0.14996795556505021"/>
        </patternFill>
      </fill>
    </dxf>
  </dxfs>
  <tableStyles count="2" defaultTableStyle="TableStyleMedium2" defaultPivotStyle="PivotStyleLight16">
    <tableStyle name="Slicer Style 1" pivot="0" table="0" count="1" xr9:uid="{78E15B4B-1B17-4041-8770-FFA468378ACF}">
      <tableStyleElement type="wholeTable" dxfId="5"/>
    </tableStyle>
    <tableStyle name="Slicer Style 2" pivot="0" table="0" count="4" xr9:uid="{81CA2A7C-E0B9-42FE-A94D-5032B03DAEB3}">
      <tableStyleElement type="wholeTable" dxfId="4"/>
      <tableStyleElement type="headerRow" dxfId="3"/>
    </tableStyle>
  </tableStyles>
  <colors>
    <mruColors>
      <color rgb="FF61BCD5"/>
      <color rgb="FF32969E"/>
      <color rgb="FF27757B"/>
      <color rgb="FF92D1E2"/>
      <color rgb="FF267278"/>
      <color rgb="FF25A7BD"/>
      <color rgb="FF239EBF"/>
      <color rgb="FF39B8DB"/>
      <color rgb="FF4CB4D0"/>
      <color rgb="FF3DB8C1"/>
    </mruColors>
  </colors>
  <extLst>
    <ext xmlns:x14="http://schemas.microsoft.com/office/spreadsheetml/2009/9/main" uri="{46F421CA-312F-682f-3DD2-61675219B42D}">
      <x14:dxfs count="2">
        <dxf>
          <font>
            <b/>
            <i val="0"/>
          </font>
          <fill>
            <patternFill>
              <bgColor theme="0" tint="-0.14996795556505021"/>
            </patternFill>
          </fill>
        </dxf>
        <dxf>
          <font>
            <b val="0"/>
            <i/>
            <sz val="14"/>
            <name val="Times New Roman"/>
            <family val="1"/>
            <scheme val="none"/>
          </font>
          <fill>
            <patternFill>
              <bgColor rgb="FF25A7BD"/>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07/relationships/slicerCache" Target="slicerCaches/slicerCache13.xml"/><Relationship Id="rId3" Type="http://schemas.openxmlformats.org/officeDocument/2006/relationships/worksheet" Target="worksheets/sheet3.xml"/><Relationship Id="rId21" Type="http://schemas.openxmlformats.org/officeDocument/2006/relationships/sharedStrings" Target="sharedStrings.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7/relationships/slicerCache" Target="slicerCaches/slicerCache12.xml"/><Relationship Id="rId2" Type="http://schemas.openxmlformats.org/officeDocument/2006/relationships/worksheet" Target="worksheets/sheet2.xml"/><Relationship Id="rId16" Type="http://schemas.microsoft.com/office/2007/relationships/slicerCache" Target="slicerCaches/slicerCache11.xml"/><Relationship Id="rId20"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7/relationships/slicerCache" Target="slicerCaches/slicerCache10.xml"/><Relationship Id="rId23" Type="http://schemas.microsoft.com/office/2006/relationships/vbaProject" Target="vbaProject.bin"/><Relationship Id="rId10" Type="http://schemas.microsoft.com/office/2007/relationships/slicerCache" Target="slicerCaches/slicerCache5.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ANDAMAN</a:t>
            </a:r>
            <a:r>
              <a:rPr lang="en-IN" baseline="0"/>
              <a:t> VS OTHERS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tx>
            <c:strRef>
              <c:f>'PIVOT ANALYSIS'!$F$18</c:f>
              <c:strCache>
                <c:ptCount val="1"/>
                <c:pt idx="0">
                  <c:v>PERCENTAGE</c:v>
                </c:pt>
              </c:strCache>
            </c:strRef>
          </c:tx>
          <c:explosion val="2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96-4506-85F9-40F53FAF4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696-4506-85F9-40F53FAF426B}"/>
              </c:ext>
            </c:extLst>
          </c:dPt>
          <c:dLbls>
            <c:dLbl>
              <c:idx val="0"/>
              <c:layout>
                <c:manualLayout>
                  <c:x val="0.17378818648364988"/>
                  <c:y val="-0.116386752868173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96-4506-85F9-40F53FAF426B}"/>
                </c:ext>
              </c:extLst>
            </c:dLbl>
            <c:dLbl>
              <c:idx val="1"/>
              <c:layout>
                <c:manualLayout>
                  <c:x val="-0.20778701508913608"/>
                  <c:y val="0.123281639903212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696-4506-85F9-40F53FAF42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ANALYSIS'!$D$19:$D$20</c:f>
              <c:strCache>
                <c:ptCount val="2"/>
                <c:pt idx="0">
                  <c:v>Andaman</c:v>
                </c:pt>
                <c:pt idx="1">
                  <c:v>Others</c:v>
                </c:pt>
              </c:strCache>
            </c:strRef>
          </c:cat>
          <c:val>
            <c:numRef>
              <c:f>'PIVOT ANALYSIS'!$F$19:$F$20</c:f>
              <c:numCache>
                <c:formatCode>0.00%</c:formatCode>
                <c:ptCount val="2"/>
                <c:pt idx="0">
                  <c:v>0.33795918367346939</c:v>
                </c:pt>
                <c:pt idx="1">
                  <c:v>0.66204081632653056</c:v>
                </c:pt>
              </c:numCache>
            </c:numRef>
          </c:val>
          <c:extLst>
            <c:ext xmlns:c16="http://schemas.microsoft.com/office/drawing/2014/chart" uri="{C3380CC4-5D6E-409C-BE32-E72D297353CC}">
              <c16:uniqueId val="{00000000-3696-4506-85F9-40F53FAF426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RAJASTHAN  VS OTHERS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tx>
            <c:strRef>
              <c:f>'PIVOT ANALYSIS'!$J$18</c:f>
              <c:strCache>
                <c:ptCount val="1"/>
                <c:pt idx="0">
                  <c:v>PERCENTAGE</c:v>
                </c:pt>
              </c:strCache>
            </c:strRef>
          </c:tx>
          <c:explosion val="27"/>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18-4A02-853E-6BF071A38B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18-4A02-853E-6BF071A38B79}"/>
              </c:ext>
            </c:extLst>
          </c:dPt>
          <c:dLbls>
            <c:dLbl>
              <c:idx val="0"/>
              <c:layout>
                <c:manualLayout>
                  <c:x val="0.13944476359701261"/>
                  <c:y val="-0.121637524688787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718-4A02-853E-6BF071A38B79}"/>
                </c:ext>
              </c:extLst>
            </c:dLbl>
            <c:dLbl>
              <c:idx val="1"/>
              <c:layout>
                <c:manualLayout>
                  <c:x val="-0.12929339621381147"/>
                  <c:y val="7.66017304104104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718-4A02-853E-6BF071A38B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ANALYSIS'!$H$19:$H$20</c:f>
              <c:strCache>
                <c:ptCount val="2"/>
                <c:pt idx="0">
                  <c:v>Rajasthan</c:v>
                </c:pt>
                <c:pt idx="1">
                  <c:v>Others</c:v>
                </c:pt>
              </c:strCache>
            </c:strRef>
          </c:cat>
          <c:val>
            <c:numRef>
              <c:f>'PIVOT ANALYSIS'!$J$19:$J$20</c:f>
              <c:numCache>
                <c:formatCode>0.00%</c:formatCode>
                <c:ptCount val="2"/>
                <c:pt idx="0">
                  <c:v>0.33795918367346939</c:v>
                </c:pt>
                <c:pt idx="1">
                  <c:v>0.66204081632653056</c:v>
                </c:pt>
              </c:numCache>
            </c:numRef>
          </c:val>
          <c:extLst>
            <c:ext xmlns:c16="http://schemas.microsoft.com/office/drawing/2014/chart" uri="{C3380CC4-5D6E-409C-BE32-E72D297353CC}">
              <c16:uniqueId val="{00000004-0718-4A02-853E-6BF071A38B7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HIMACHAL PRADESH</a:t>
            </a:r>
            <a:r>
              <a:rPr lang="en-IN" baseline="0"/>
              <a:t> VS OTHERS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tx>
            <c:strRef>
              <c:f>'PIVOT ANALYSIS'!$N$18</c:f>
              <c:strCache>
                <c:ptCount val="1"/>
                <c:pt idx="0">
                  <c:v>PERCENTAGE</c:v>
                </c:pt>
              </c:strCache>
            </c:strRef>
          </c:tx>
          <c:explosion val="29"/>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BF-408E-93DE-D5EE5EDFCD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BF-408E-93DE-D5EE5EDFCD93}"/>
              </c:ext>
            </c:extLst>
          </c:dPt>
          <c:dLbls>
            <c:dLbl>
              <c:idx val="0"/>
              <c:layout>
                <c:manualLayout>
                  <c:x val="0.15427616345293085"/>
                  <c:y val="-0.107654602997316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3BF-408E-93DE-D5EE5EDFCD93}"/>
                </c:ext>
              </c:extLst>
            </c:dLbl>
            <c:dLbl>
              <c:idx val="1"/>
              <c:layout>
                <c:manualLayout>
                  <c:x val="-0.18151475352327337"/>
                  <c:y val="5.1525361291912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3BF-408E-93DE-D5EE5EDFCD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ANALYSIS'!$L$19:$L$20</c:f>
              <c:strCache>
                <c:ptCount val="2"/>
                <c:pt idx="0">
                  <c:v>Himachal Pradesh</c:v>
                </c:pt>
                <c:pt idx="1">
                  <c:v>Others</c:v>
                </c:pt>
              </c:strCache>
            </c:strRef>
          </c:cat>
          <c:val>
            <c:numRef>
              <c:f>'PIVOT ANALYSIS'!$N$19:$N$20</c:f>
              <c:numCache>
                <c:formatCode>0.00%</c:formatCode>
                <c:ptCount val="2"/>
                <c:pt idx="0">
                  <c:v>0.32408163265306122</c:v>
                </c:pt>
                <c:pt idx="1">
                  <c:v>0.67591836734693878</c:v>
                </c:pt>
              </c:numCache>
            </c:numRef>
          </c:val>
          <c:extLst>
            <c:ext xmlns:c16="http://schemas.microsoft.com/office/drawing/2014/chart" uri="{C3380CC4-5D6E-409C-BE32-E72D297353CC}">
              <c16:uniqueId val="{00000004-93BF-408E-93DE-D5EE5EDFCD9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3 DESTINATION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tx>
            <c:strRef>
              <c:f>'PIVOT ANALYSIS'!$R$18</c:f>
              <c:strCache>
                <c:ptCount val="1"/>
                <c:pt idx="0">
                  <c:v>PERCENTAGE</c:v>
                </c:pt>
              </c:strCache>
            </c:strRef>
          </c:tx>
          <c:explosion val="3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A43-4AF3-8A60-06331DBF86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A43-4AF3-8A60-06331DBF86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A43-4AF3-8A60-06331DBF8684}"/>
              </c:ext>
            </c:extLst>
          </c:dPt>
          <c:dLbls>
            <c:dLbl>
              <c:idx val="0"/>
              <c:layout>
                <c:manualLayout>
                  <c:x val="0.14025523459246594"/>
                  <c:y val="-0.141298680256243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A43-4AF3-8A60-06331DBF8684}"/>
                </c:ext>
              </c:extLst>
            </c:dLbl>
            <c:dLbl>
              <c:idx val="1"/>
              <c:layout>
                <c:manualLayout>
                  <c:x val="-0.20128717337112947"/>
                  <c:y val="-4.92585139255698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43-4AF3-8A60-06331DBF8684}"/>
                </c:ext>
              </c:extLst>
            </c:dLbl>
            <c:dLbl>
              <c:idx val="2"/>
              <c:layout>
                <c:manualLayout>
                  <c:x val="-0.18205042716007067"/>
                  <c:y val="-3.5807087988375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A43-4AF3-8A60-06331DBF86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ANALYSIS'!$P$19:$P$21</c:f>
              <c:strCache>
                <c:ptCount val="3"/>
                <c:pt idx="0">
                  <c:v>Andaman</c:v>
                </c:pt>
                <c:pt idx="1">
                  <c:v>Rajasthan</c:v>
                </c:pt>
                <c:pt idx="2">
                  <c:v>Himachal Pradesh</c:v>
                </c:pt>
              </c:strCache>
            </c:strRef>
          </c:cat>
          <c:val>
            <c:numRef>
              <c:f>'PIVOT ANALYSIS'!$R$19:$R$21</c:f>
              <c:numCache>
                <c:formatCode>0.00%</c:formatCode>
                <c:ptCount val="3"/>
                <c:pt idx="0">
                  <c:v>0.33795918367346939</c:v>
                </c:pt>
                <c:pt idx="1">
                  <c:v>0.33795918367346939</c:v>
                </c:pt>
                <c:pt idx="2">
                  <c:v>0.32408163265306122</c:v>
                </c:pt>
              </c:numCache>
            </c:numRef>
          </c:val>
          <c:extLst>
            <c:ext xmlns:c16="http://schemas.microsoft.com/office/drawing/2014/chart" uri="{C3380CC4-5D6E-409C-BE32-E72D297353CC}">
              <c16:uniqueId val="{00000004-2A43-4AF3-8A60-06331DBF8684}"/>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4357384432890899"/>
          <c:y val="0.87622958515150151"/>
          <c:w val="0.67655193558707472"/>
          <c:h val="9.265937517159024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COST</a:t>
            </a:r>
            <a:r>
              <a:rPr lang="en-IN" baseline="0"/>
              <a:t> ANALYSIS - SEASON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'PIVOT ANALYSIS'!$F$41</c:f>
              <c:strCache>
                <c:ptCount val="1"/>
                <c:pt idx="0">
                  <c:v>TOTAL COST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ANALYSIS'!$E$42:$E$45</c:f>
              <c:strCache>
                <c:ptCount val="4"/>
                <c:pt idx="0">
                  <c:v>Monsoon</c:v>
                </c:pt>
                <c:pt idx="1">
                  <c:v>Spring</c:v>
                </c:pt>
                <c:pt idx="2">
                  <c:v>Summer</c:v>
                </c:pt>
                <c:pt idx="3">
                  <c:v>Winter</c:v>
                </c:pt>
              </c:strCache>
            </c:strRef>
          </c:cat>
          <c:val>
            <c:numRef>
              <c:f>'PIVOT ANALYSIS'!$F$42:$F$45</c:f>
              <c:numCache>
                <c:formatCode>General</c:formatCode>
                <c:ptCount val="4"/>
                <c:pt idx="0">
                  <c:v>14159007.380000014</c:v>
                </c:pt>
                <c:pt idx="1">
                  <c:v>13458509.32</c:v>
                </c:pt>
                <c:pt idx="2">
                  <c:v>14402398.930000013</c:v>
                </c:pt>
                <c:pt idx="3">
                  <c:v>12168365.899999989</c:v>
                </c:pt>
              </c:numCache>
            </c:numRef>
          </c:val>
          <c:extLst>
            <c:ext xmlns:c16="http://schemas.microsoft.com/office/drawing/2014/chart" uri="{C3380CC4-5D6E-409C-BE32-E72D297353CC}">
              <c16:uniqueId val="{00000000-C4C1-400D-A39E-841A5E48EFE9}"/>
            </c:ext>
          </c:extLst>
        </c:ser>
        <c:ser>
          <c:idx val="1"/>
          <c:order val="1"/>
          <c:tx>
            <c:strRef>
              <c:f>'PIVOT ANALYSIS'!$G$41</c:f>
              <c:strCache>
                <c:ptCount val="1"/>
                <c:pt idx="0">
                  <c:v>TOTAL DISCOUNT</c:v>
                </c:pt>
              </c:strCache>
            </c:strRef>
          </c:tx>
          <c:spPr>
            <a:solidFill>
              <a:schemeClr val="accent2"/>
            </a:solidFill>
            <a:ln>
              <a:noFill/>
            </a:ln>
            <a:effectLst/>
          </c:spPr>
          <c:invertIfNegative val="0"/>
          <c:dLbls>
            <c:dLbl>
              <c:idx val="0"/>
              <c:layout>
                <c:manualLayout>
                  <c:x val="2.7734974195554717E-2"/>
                  <c:y val="-2.349681442400982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4C1-400D-A39E-841A5E48EFE9}"/>
                </c:ext>
              </c:extLst>
            </c:dLbl>
            <c:dLbl>
              <c:idx val="1"/>
              <c:layout>
                <c:manualLayout>
                  <c:x val="3.3281969034665612E-2"/>
                  <c:y val="-2.349681442400982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C1-400D-A39E-841A5E48EFE9}"/>
                </c:ext>
              </c:extLst>
            </c:dLbl>
            <c:dLbl>
              <c:idx val="2"/>
              <c:layout>
                <c:manualLayout>
                  <c:x val="3.6055466454221134E-2"/>
                  <c:y val="-2.349681442400990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C1-400D-A39E-841A5E48EFE9}"/>
                </c:ext>
              </c:extLst>
            </c:dLbl>
            <c:dLbl>
              <c:idx val="3"/>
              <c:layout>
                <c:manualLayout>
                  <c:x val="3.3281969034665557E-2"/>
                  <c:y val="-3.289554019361375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4C1-400D-A39E-841A5E48EF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ANALYSIS'!$E$42:$E$45</c:f>
              <c:strCache>
                <c:ptCount val="4"/>
                <c:pt idx="0">
                  <c:v>Monsoon</c:v>
                </c:pt>
                <c:pt idx="1">
                  <c:v>Spring</c:v>
                </c:pt>
                <c:pt idx="2">
                  <c:v>Summer</c:v>
                </c:pt>
                <c:pt idx="3">
                  <c:v>Winter</c:v>
                </c:pt>
              </c:strCache>
            </c:strRef>
          </c:cat>
          <c:val>
            <c:numRef>
              <c:f>'PIVOT ANALYSIS'!$G$42:$G$45</c:f>
              <c:numCache>
                <c:formatCode>General</c:formatCode>
                <c:ptCount val="4"/>
                <c:pt idx="0">
                  <c:v>1229697.4999999998</c:v>
                </c:pt>
                <c:pt idx="1">
                  <c:v>1219634.6899999995</c:v>
                </c:pt>
                <c:pt idx="2">
                  <c:v>1358783.7499999995</c:v>
                </c:pt>
                <c:pt idx="3">
                  <c:v>1183970.3000000007</c:v>
                </c:pt>
              </c:numCache>
            </c:numRef>
          </c:val>
          <c:extLst>
            <c:ext xmlns:c16="http://schemas.microsoft.com/office/drawing/2014/chart" uri="{C3380CC4-5D6E-409C-BE32-E72D297353CC}">
              <c16:uniqueId val="{00000001-C4C1-400D-A39E-841A5E48EFE9}"/>
            </c:ext>
          </c:extLst>
        </c:ser>
        <c:dLbls>
          <c:dLblPos val="outEnd"/>
          <c:showLegendKey val="0"/>
          <c:showVal val="1"/>
          <c:showCatName val="0"/>
          <c:showSerName val="0"/>
          <c:showPercent val="0"/>
          <c:showBubbleSize val="0"/>
        </c:dLbls>
        <c:gapWidth val="219"/>
        <c:overlap val="-27"/>
        <c:axId val="395187728"/>
        <c:axId val="652466527"/>
      </c:barChart>
      <c:catAx>
        <c:axId val="39518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466527"/>
        <c:crosses val="autoZero"/>
        <c:auto val="1"/>
        <c:lblAlgn val="ctr"/>
        <c:lblOffset val="100"/>
        <c:noMultiLvlLbl val="0"/>
      </c:catAx>
      <c:valAx>
        <c:axId val="65246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187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BEACH</a:t>
            </a:r>
            <a:r>
              <a:rPr lang="en-IN" baseline="0"/>
              <a:t> ESCAPE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tx>
            <c:strRef>
              <c:f>'PIVOT ANALYSIS'!$G$66</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DBBF-4C0C-A23A-C9DA73C0A2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DBBF-4C0C-A23A-C9DA73C0A2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DBBF-4C0C-A23A-C9DA73C0A2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BF-4C0C-A23A-C9DA73C0A22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DBBF-4C0C-A23A-C9DA73C0A227}"/>
              </c:ext>
            </c:extLst>
          </c:dPt>
          <c:dLbls>
            <c:dLbl>
              <c:idx val="0"/>
              <c:layout>
                <c:manualLayout>
                  <c:x val="-1.3886468172542975E-2"/>
                  <c:y val="5.54783203174058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BBF-4C0C-A23A-C9DA73C0A227}"/>
                </c:ext>
              </c:extLst>
            </c:dLbl>
            <c:dLbl>
              <c:idx val="1"/>
              <c:layout>
                <c:manualLayout>
                  <c:x val="-4.165940451762902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BBF-4C0C-A23A-C9DA73C0A227}"/>
                </c:ext>
              </c:extLst>
            </c:dLbl>
            <c:dLbl>
              <c:idx val="2"/>
              <c:layout>
                <c:manualLayout>
                  <c:x val="-1.110917453803438E-2"/>
                  <c:y val="-5.08551269576220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BBF-4C0C-A23A-C9DA73C0A227}"/>
                </c:ext>
              </c:extLst>
            </c:dLbl>
            <c:dLbl>
              <c:idx val="3"/>
              <c:layout>
                <c:manualLayout>
                  <c:x val="4.9991285421154663E-2"/>
                  <c:y val="-2.31159667989192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BBF-4C0C-A23A-C9DA73C0A227}"/>
                </c:ext>
              </c:extLst>
            </c:dLbl>
            <c:dLbl>
              <c:idx val="4"/>
              <c:layout>
                <c:manualLayout>
                  <c:x val="1.9441055441560166E-2"/>
                  <c:y val="5.54783203174058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BBF-4C0C-A23A-C9DA73C0A2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ANALYSIS'!$E$67:$E$71</c:f>
              <c:strCache>
                <c:ptCount val="5"/>
                <c:pt idx="0">
                  <c:v>Andaman</c:v>
                </c:pt>
                <c:pt idx="1">
                  <c:v>Goa</c:v>
                </c:pt>
                <c:pt idx="2">
                  <c:v>Himachal Pradesh</c:v>
                </c:pt>
                <c:pt idx="3">
                  <c:v>Kerala</c:v>
                </c:pt>
                <c:pt idx="4">
                  <c:v>Rajasthan</c:v>
                </c:pt>
              </c:strCache>
            </c:strRef>
          </c:cat>
          <c:val>
            <c:numRef>
              <c:f>'PIVOT ANALYSIS'!$G$67:$G$71</c:f>
              <c:numCache>
                <c:formatCode>0.00%</c:formatCode>
                <c:ptCount val="5"/>
                <c:pt idx="0">
                  <c:v>0.20009118874862677</c:v>
                </c:pt>
                <c:pt idx="1">
                  <c:v>0.19536394434397011</c:v>
                </c:pt>
                <c:pt idx="2">
                  <c:v>0.1950563194712284</c:v>
                </c:pt>
                <c:pt idx="3">
                  <c:v>0.2211072391865645</c:v>
                </c:pt>
                <c:pt idx="4">
                  <c:v>0.18838130824961064</c:v>
                </c:pt>
              </c:numCache>
            </c:numRef>
          </c:val>
          <c:extLst>
            <c:ext xmlns:c16="http://schemas.microsoft.com/office/drawing/2014/chart" uri="{C3380CC4-5D6E-409C-BE32-E72D297353CC}">
              <c16:uniqueId val="{00000000-DBBF-4C0C-A23A-C9DA73C0A227}"/>
            </c:ext>
          </c:extLst>
        </c:ser>
        <c:ser>
          <c:idx val="1"/>
          <c:order val="1"/>
          <c:tx>
            <c:strRef>
              <c:f>'PIVOT ANALYSIS'!$H$66</c:f>
              <c:strCache>
                <c:ptCount val="1"/>
                <c:pt idx="0">
                  <c:v>TOTAL REVENUE</c:v>
                </c:pt>
              </c:strCache>
            </c:strRef>
          </c:tx>
          <c:explosion val="21"/>
          <c:dPt>
            <c:idx val="0"/>
            <c:bubble3D val="0"/>
            <c:spPr>
              <a:solidFill>
                <a:schemeClr val="accent1"/>
              </a:solidFill>
              <a:ln w="19050">
                <a:solidFill>
                  <a:schemeClr val="lt1"/>
                </a:solidFill>
              </a:ln>
              <a:effectLst/>
            </c:spPr>
            <c:extLst>
              <c:ext xmlns:c16="http://schemas.microsoft.com/office/drawing/2014/chart" uri="{C3380CC4-5D6E-409C-BE32-E72D297353CC}">
                <c16:uniqueId val="{00000003-DBBF-4C0C-A23A-C9DA73C0A2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DBBF-4C0C-A23A-C9DA73C0A2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DBBF-4C0C-A23A-C9DA73C0A2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DBBF-4C0C-A23A-C9DA73C0A22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DBBF-4C0C-A23A-C9DA73C0A227}"/>
              </c:ext>
            </c:extLst>
          </c:dPt>
          <c:dLbls>
            <c:dLbl>
              <c:idx val="0"/>
              <c:layout>
                <c:manualLayout>
                  <c:x val="0.12497821355288667"/>
                  <c:y val="-4.1608740238054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BF-4C0C-A23A-C9DA73C0A227}"/>
                </c:ext>
              </c:extLst>
            </c:dLbl>
            <c:dLbl>
              <c:idx val="1"/>
              <c:layout>
                <c:manualLayout>
                  <c:x val="8.6096102669766444E-2"/>
                  <c:y val="0.106333447275027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BF-4C0C-A23A-C9DA73C0A227}"/>
                </c:ext>
              </c:extLst>
            </c:dLbl>
            <c:dLbl>
              <c:idx val="2"/>
              <c:layout>
                <c:manualLayout>
                  <c:x val="0.10275986447681802"/>
                  <c:y val="6.4724707036973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BF-4C0C-A23A-C9DA73C0A227}"/>
                </c:ext>
              </c:extLst>
            </c:dLbl>
            <c:dLbl>
              <c:idx val="3"/>
              <c:layout>
                <c:manualLayout>
                  <c:x val="-9.7205277207800853E-2"/>
                  <c:y val="2.77391601587029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BF-4C0C-A23A-C9DA73C0A227}"/>
                </c:ext>
              </c:extLst>
            </c:dLbl>
            <c:dLbl>
              <c:idx val="4"/>
              <c:layout>
                <c:manualLayout>
                  <c:x val="-0.11386903901485243"/>
                  <c:y val="-1.38695800793514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BBF-4C0C-A23A-C9DA73C0A2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ANALYSIS'!$E$67:$E$71</c:f>
              <c:strCache>
                <c:ptCount val="5"/>
                <c:pt idx="0">
                  <c:v>Andaman</c:v>
                </c:pt>
                <c:pt idx="1">
                  <c:v>Goa</c:v>
                </c:pt>
                <c:pt idx="2">
                  <c:v>Himachal Pradesh</c:v>
                </c:pt>
                <c:pt idx="3">
                  <c:v>Kerala</c:v>
                </c:pt>
                <c:pt idx="4">
                  <c:v>Rajasthan</c:v>
                </c:pt>
              </c:strCache>
            </c:strRef>
          </c:cat>
          <c:val>
            <c:numRef>
              <c:f>'PIVOT ANALYSIS'!$H$67:$H$71</c:f>
              <c:numCache>
                <c:formatCode>General</c:formatCode>
                <c:ptCount val="5"/>
                <c:pt idx="0">
                  <c:v>2024926.9200000006</c:v>
                </c:pt>
                <c:pt idx="1">
                  <c:v>1977087.1099999994</c:v>
                </c:pt>
                <c:pt idx="2">
                  <c:v>1973973.9400000009</c:v>
                </c:pt>
                <c:pt idx="3">
                  <c:v>2237609.7800000012</c:v>
                </c:pt>
                <c:pt idx="4">
                  <c:v>1906422.6899999997</c:v>
                </c:pt>
              </c:numCache>
            </c:numRef>
          </c:val>
          <c:extLst>
            <c:ext xmlns:c16="http://schemas.microsoft.com/office/drawing/2014/chart" uri="{C3380CC4-5D6E-409C-BE32-E72D297353CC}">
              <c16:uniqueId val="{00000001-DBBF-4C0C-A23A-C9DA73C0A22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GUIDE</a:t>
            </a:r>
            <a:r>
              <a:rPr lang="en-US" baseline="0"/>
              <a:t>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ANALYSIS'!$G$90</c:f>
              <c:strCache>
                <c:ptCount val="1"/>
                <c:pt idx="0">
                  <c:v>PERCENTAGE</c:v>
                </c:pt>
              </c:strCache>
            </c:strRef>
          </c:tx>
          <c:explosion val="18"/>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B7-410B-8F2A-0F0308F3AF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D5B7-410B-8F2A-0F0308F3AF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B7-410B-8F2A-0F0308F3AF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D5B7-410B-8F2A-0F0308F3AF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D5B7-410B-8F2A-0F0308F3AF10}"/>
              </c:ext>
            </c:extLst>
          </c:dPt>
          <c:dLbls>
            <c:dLbl>
              <c:idx val="0"/>
              <c:layout>
                <c:manualLayout>
                  <c:x val="6.2901957816763152E-2"/>
                  <c:y val="2.418576912146690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5B7-410B-8F2A-0F0308F3AF10}"/>
                </c:ext>
              </c:extLst>
            </c:dLbl>
            <c:dLbl>
              <c:idx val="1"/>
              <c:layout>
                <c:manualLayout>
                  <c:x val="5.3183361570401384E-2"/>
                  <c:y val="-5.8272993992082838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B7-410B-8F2A-0F0308F3AF10}"/>
                </c:ext>
              </c:extLst>
            </c:dLbl>
            <c:dLbl>
              <c:idx val="2"/>
              <c:layout>
                <c:manualLayout>
                  <c:x val="-0.13122543269978609"/>
                  <c:y val="7.491884708830157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B7-410B-8F2A-0F0308F3AF10}"/>
                </c:ext>
              </c:extLst>
            </c:dLbl>
            <c:dLbl>
              <c:idx val="3"/>
              <c:layout>
                <c:manualLayout>
                  <c:x val="-5.5650846901840106E-2"/>
                  <c:y val="-2.746890972914340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5B7-410B-8F2A-0F0308F3AF10}"/>
                </c:ext>
              </c:extLst>
            </c:dLbl>
            <c:dLbl>
              <c:idx val="4"/>
              <c:layout>
                <c:manualLayout>
                  <c:x val="-4.7539030915035155E-2"/>
                  <c:y val="9.906959337488042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B7-410B-8F2A-0F0308F3AF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ANALYSIS'!$E$91:$E$95</c:f>
              <c:strCache>
                <c:ptCount val="5"/>
                <c:pt idx="0">
                  <c:v>Anita</c:v>
                </c:pt>
                <c:pt idx="1">
                  <c:v>Joseph</c:v>
                </c:pt>
                <c:pt idx="2">
                  <c:v>Kiran</c:v>
                </c:pt>
                <c:pt idx="3">
                  <c:v>Meena</c:v>
                </c:pt>
                <c:pt idx="4">
                  <c:v>Raj</c:v>
                </c:pt>
              </c:strCache>
            </c:strRef>
          </c:cat>
          <c:val>
            <c:numRef>
              <c:f>'PIVOT ANALYSIS'!$G$91:$G$95</c:f>
              <c:numCache>
                <c:formatCode>0.00%</c:formatCode>
                <c:ptCount val="5"/>
                <c:pt idx="0">
                  <c:v>0.20749999999999999</c:v>
                </c:pt>
                <c:pt idx="1">
                  <c:v>0.18099999999999999</c:v>
                </c:pt>
                <c:pt idx="2">
                  <c:v>0.19550000000000001</c:v>
                </c:pt>
                <c:pt idx="3">
                  <c:v>0.21099999999999999</c:v>
                </c:pt>
                <c:pt idx="4">
                  <c:v>0.20499999999999999</c:v>
                </c:pt>
              </c:numCache>
            </c:numRef>
          </c:val>
          <c:extLst>
            <c:ext xmlns:c16="http://schemas.microsoft.com/office/drawing/2014/chart" uri="{C3380CC4-5D6E-409C-BE32-E72D297353CC}">
              <c16:uniqueId val="{00000000-D5B7-410B-8F2A-0F0308F3AF1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BOOKINGS</a:t>
            </a:r>
            <a:r>
              <a:rPr lang="en-US" baseline="0"/>
              <a:t> - TRAVEL MODE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ANALYSIS'!$F$122</c:f>
              <c:strCache>
                <c:ptCount val="1"/>
                <c:pt idx="0">
                  <c:v>TOTAL BOOKINGS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ANALYSIS'!$E$123:$E$126</c:f>
              <c:strCache>
                <c:ptCount val="4"/>
                <c:pt idx="0">
                  <c:v>Train</c:v>
                </c:pt>
                <c:pt idx="1">
                  <c:v>Flight</c:v>
                </c:pt>
                <c:pt idx="2">
                  <c:v>Bus</c:v>
                </c:pt>
                <c:pt idx="3">
                  <c:v>Cruise</c:v>
                </c:pt>
              </c:strCache>
            </c:strRef>
          </c:cat>
          <c:val>
            <c:numRef>
              <c:f>'PIVOT ANALYSIS'!$F$123:$F$126</c:f>
              <c:numCache>
                <c:formatCode>General</c:formatCode>
                <c:ptCount val="4"/>
                <c:pt idx="0">
                  <c:v>528</c:v>
                </c:pt>
                <c:pt idx="1">
                  <c:v>501</c:v>
                </c:pt>
                <c:pt idx="2">
                  <c:v>492</c:v>
                </c:pt>
                <c:pt idx="3">
                  <c:v>479</c:v>
                </c:pt>
              </c:numCache>
            </c:numRef>
          </c:val>
          <c:extLst>
            <c:ext xmlns:c16="http://schemas.microsoft.com/office/drawing/2014/chart" uri="{C3380CC4-5D6E-409C-BE32-E72D297353CC}">
              <c16:uniqueId val="{00000000-F5DB-43B3-9CD1-735390C551B9}"/>
            </c:ext>
          </c:extLst>
        </c:ser>
        <c:dLbls>
          <c:showLegendKey val="0"/>
          <c:showVal val="0"/>
          <c:showCatName val="0"/>
          <c:showSerName val="0"/>
          <c:showPercent val="0"/>
          <c:showBubbleSize val="0"/>
        </c:dLbls>
        <c:gapWidth val="182"/>
        <c:axId val="935709903"/>
        <c:axId val="935694543"/>
      </c:barChart>
      <c:catAx>
        <c:axId val="935709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694543"/>
        <c:crosses val="autoZero"/>
        <c:auto val="1"/>
        <c:lblAlgn val="ctr"/>
        <c:lblOffset val="100"/>
        <c:noMultiLvlLbl val="0"/>
      </c:catAx>
      <c:valAx>
        <c:axId val="935694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099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r>
              <a:rPr lang="en-IN" sz="1800" b="1"/>
              <a:t>COST ANALYSIS - SEASON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endParaRPr lang="en-IN"/>
        </a:p>
      </c:txPr>
    </c:title>
    <c:autoTitleDeleted val="0"/>
    <c:plotArea>
      <c:layout/>
      <c:barChart>
        <c:barDir val="col"/>
        <c:grouping val="clustered"/>
        <c:varyColors val="0"/>
        <c:ser>
          <c:idx val="0"/>
          <c:order val="0"/>
          <c:tx>
            <c:strRef>
              <c:f>'PIVOT ANALYSIS'!$F$41</c:f>
              <c:strCache>
                <c:ptCount val="1"/>
                <c:pt idx="0">
                  <c:v>TOTAL COST</c:v>
                </c:pt>
              </c:strCache>
            </c:strRef>
          </c:tx>
          <c:spPr>
            <a:solidFill>
              <a:srgbClr val="32969E"/>
            </a:solidFill>
            <a:ln>
              <a:noFill/>
            </a:ln>
            <a:effectLst/>
            <a:scene3d>
              <a:camera prst="orthographicFront"/>
              <a:lightRig rig="threePt" dir="t"/>
            </a:scene3d>
            <a:sp3d>
              <a:bevelT prst="angle"/>
            </a:sp3d>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ANALYSIS'!$E$42:$E$45</c:f>
              <c:strCache>
                <c:ptCount val="4"/>
                <c:pt idx="0">
                  <c:v>Monsoon</c:v>
                </c:pt>
                <c:pt idx="1">
                  <c:v>Spring</c:v>
                </c:pt>
                <c:pt idx="2">
                  <c:v>Summer</c:v>
                </c:pt>
                <c:pt idx="3">
                  <c:v>Winter</c:v>
                </c:pt>
              </c:strCache>
            </c:strRef>
          </c:cat>
          <c:val>
            <c:numRef>
              <c:f>'PIVOT ANALYSIS'!$F$42:$F$45</c:f>
              <c:numCache>
                <c:formatCode>General</c:formatCode>
                <c:ptCount val="4"/>
                <c:pt idx="0">
                  <c:v>14159007.380000014</c:v>
                </c:pt>
                <c:pt idx="1">
                  <c:v>13458509.32</c:v>
                </c:pt>
                <c:pt idx="2">
                  <c:v>14402398.930000013</c:v>
                </c:pt>
                <c:pt idx="3">
                  <c:v>12168365.899999989</c:v>
                </c:pt>
              </c:numCache>
            </c:numRef>
          </c:val>
          <c:extLst>
            <c:ext xmlns:c16="http://schemas.microsoft.com/office/drawing/2014/chart" uri="{C3380CC4-5D6E-409C-BE32-E72D297353CC}">
              <c16:uniqueId val="{00000000-7F9D-4B3A-9E6F-B24B743A3FD5}"/>
            </c:ext>
          </c:extLst>
        </c:ser>
        <c:ser>
          <c:idx val="1"/>
          <c:order val="1"/>
          <c:tx>
            <c:strRef>
              <c:f>'PIVOT ANALYSIS'!$G$41</c:f>
              <c:strCache>
                <c:ptCount val="1"/>
                <c:pt idx="0">
                  <c:v>TOTAL DISCOUNT</c:v>
                </c:pt>
              </c:strCache>
            </c:strRef>
          </c:tx>
          <c:spPr>
            <a:solidFill>
              <a:schemeClr val="bg1">
                <a:lumMod val="85000"/>
              </a:schemeClr>
            </a:solidFill>
            <a:ln>
              <a:noFill/>
            </a:ln>
            <a:effectLst/>
            <a:scene3d>
              <a:camera prst="orthographicFront"/>
              <a:lightRig rig="threePt" dir="t"/>
            </a:scene3d>
            <a:sp3d>
              <a:bevelT prst="angle"/>
            </a:sp3d>
          </c:spPr>
          <c:invertIfNegative val="0"/>
          <c:dLbls>
            <c:dLbl>
              <c:idx val="0"/>
              <c:layout>
                <c:manualLayout>
                  <c:x val="2.7734974195554717E-2"/>
                  <c:y val="-2.349681442400982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9D-4B3A-9E6F-B24B743A3FD5}"/>
                </c:ext>
              </c:extLst>
            </c:dLbl>
            <c:dLbl>
              <c:idx val="1"/>
              <c:layout>
                <c:manualLayout>
                  <c:x val="3.3281969034665612E-2"/>
                  <c:y val="-2.349681442400982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F9D-4B3A-9E6F-B24B743A3FD5}"/>
                </c:ext>
              </c:extLst>
            </c:dLbl>
            <c:dLbl>
              <c:idx val="2"/>
              <c:layout>
                <c:manualLayout>
                  <c:x val="3.6055466454221134E-2"/>
                  <c:y val="-2.349681442400990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F9D-4B3A-9E6F-B24B743A3FD5}"/>
                </c:ext>
              </c:extLst>
            </c:dLbl>
            <c:dLbl>
              <c:idx val="3"/>
              <c:layout>
                <c:manualLayout>
                  <c:x val="3.3281969034665557E-2"/>
                  <c:y val="-3.289554019361375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F9D-4B3A-9E6F-B24B743A3FD5}"/>
                </c:ext>
              </c:extLst>
            </c:dLbl>
            <c:spPr>
              <a:noFill/>
              <a:ln>
                <a:noFill/>
              </a:ln>
              <a:effectLst/>
            </c:spPr>
            <c:txPr>
              <a:bodyPr rot="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ANALYSIS'!$E$42:$E$45</c:f>
              <c:strCache>
                <c:ptCount val="4"/>
                <c:pt idx="0">
                  <c:v>Monsoon</c:v>
                </c:pt>
                <c:pt idx="1">
                  <c:v>Spring</c:v>
                </c:pt>
                <c:pt idx="2">
                  <c:v>Summer</c:v>
                </c:pt>
                <c:pt idx="3">
                  <c:v>Winter</c:v>
                </c:pt>
              </c:strCache>
            </c:strRef>
          </c:cat>
          <c:val>
            <c:numRef>
              <c:f>'PIVOT ANALYSIS'!$G$42:$G$45</c:f>
              <c:numCache>
                <c:formatCode>General</c:formatCode>
                <c:ptCount val="4"/>
                <c:pt idx="0">
                  <c:v>1229697.4999999998</c:v>
                </c:pt>
                <c:pt idx="1">
                  <c:v>1219634.6899999995</c:v>
                </c:pt>
                <c:pt idx="2">
                  <c:v>1358783.7499999995</c:v>
                </c:pt>
                <c:pt idx="3">
                  <c:v>1183970.3000000007</c:v>
                </c:pt>
              </c:numCache>
            </c:numRef>
          </c:val>
          <c:extLst>
            <c:ext xmlns:c16="http://schemas.microsoft.com/office/drawing/2014/chart" uri="{C3380CC4-5D6E-409C-BE32-E72D297353CC}">
              <c16:uniqueId val="{00000005-7F9D-4B3A-9E6F-B24B743A3FD5}"/>
            </c:ext>
          </c:extLst>
        </c:ser>
        <c:dLbls>
          <c:dLblPos val="outEnd"/>
          <c:showLegendKey val="0"/>
          <c:showVal val="1"/>
          <c:showCatName val="0"/>
          <c:showSerName val="0"/>
          <c:showPercent val="0"/>
          <c:showBubbleSize val="0"/>
        </c:dLbls>
        <c:gapWidth val="219"/>
        <c:overlap val="-27"/>
        <c:axId val="395187728"/>
        <c:axId val="652466527"/>
      </c:barChart>
      <c:catAx>
        <c:axId val="39518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52466527"/>
        <c:crosses val="autoZero"/>
        <c:auto val="1"/>
        <c:lblAlgn val="ctr"/>
        <c:lblOffset val="100"/>
        <c:noMultiLvlLbl val="0"/>
      </c:catAx>
      <c:valAx>
        <c:axId val="65246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95187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6350" cap="flat" cmpd="sng" algn="ctr">
      <a:noFill/>
      <a:prstDash val="solid"/>
      <a:miter lim="800000"/>
    </a:ln>
    <a:effectLst/>
    <a:scene3d>
      <a:camera prst="orthographicFront"/>
      <a:lightRig rig="threePt" dir="t"/>
    </a:scene3d>
    <a:sp3d>
      <a:bevelT prst="angle"/>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chemeClr val="lt1"/>
                </a:solidFill>
                <a:latin typeface="+mn-lt"/>
                <a:ea typeface="+mn-ea"/>
                <a:cs typeface="+mn-cs"/>
              </a:defRPr>
            </a:pPr>
            <a:r>
              <a:rPr lang="en-US" sz="2400" b="1"/>
              <a:t>BOOKINGS - TRAVEL MODE</a:t>
            </a:r>
          </a:p>
        </c:rich>
      </c:tx>
      <c:overlay val="0"/>
      <c:spPr>
        <a:noFill/>
        <a:ln>
          <a:noFill/>
        </a:ln>
        <a:effectLst/>
      </c:spPr>
      <c:txPr>
        <a:bodyPr rot="0" spcFirstLastPara="1" vertOverflow="ellipsis" vert="horz" wrap="square" anchor="ctr" anchorCtr="1"/>
        <a:lstStyle/>
        <a:p>
          <a:pPr>
            <a:defRPr sz="2400" b="1" i="0" u="none" strike="noStrike" kern="1200" spc="0" baseline="0">
              <a:solidFill>
                <a:schemeClr val="lt1"/>
              </a:solidFill>
              <a:latin typeface="+mn-lt"/>
              <a:ea typeface="+mn-ea"/>
              <a:cs typeface="+mn-cs"/>
            </a:defRPr>
          </a:pPr>
          <a:endParaRPr lang="en-US"/>
        </a:p>
      </c:txPr>
    </c:title>
    <c:autoTitleDeleted val="0"/>
    <c:plotArea>
      <c:layout/>
      <c:barChart>
        <c:barDir val="bar"/>
        <c:grouping val="clustered"/>
        <c:varyColors val="0"/>
        <c:ser>
          <c:idx val="0"/>
          <c:order val="0"/>
          <c:tx>
            <c:strRef>
              <c:f>'PIVOT ANALYSIS'!$F$122</c:f>
              <c:strCache>
                <c:ptCount val="1"/>
                <c:pt idx="0">
                  <c:v>TOTAL BOOKINGS</c:v>
                </c:pt>
              </c:strCache>
            </c:strRef>
          </c:tx>
          <c:spPr>
            <a:solidFill>
              <a:srgbClr val="32969E"/>
            </a:solidFill>
            <a:ln>
              <a:noFill/>
            </a:ln>
            <a:effectLst/>
            <a:scene3d>
              <a:camera prst="orthographicFront"/>
              <a:lightRig rig="threePt" dir="t"/>
            </a:scene3d>
            <a:sp3d>
              <a:bevelT prst="angle"/>
            </a:sp3d>
          </c:spPr>
          <c:invertIfNegative val="0"/>
          <c:dLbls>
            <c:spPr>
              <a:noFill/>
              <a:ln>
                <a:noFill/>
              </a:ln>
              <a:effectLst/>
            </c:spPr>
            <c:txPr>
              <a:bodyPr rot="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ANALYSIS'!$E$123:$E$126</c:f>
              <c:strCache>
                <c:ptCount val="4"/>
                <c:pt idx="0">
                  <c:v>Train</c:v>
                </c:pt>
                <c:pt idx="1">
                  <c:v>Flight</c:v>
                </c:pt>
                <c:pt idx="2">
                  <c:v>Bus</c:v>
                </c:pt>
                <c:pt idx="3">
                  <c:v>Cruise</c:v>
                </c:pt>
              </c:strCache>
            </c:strRef>
          </c:cat>
          <c:val>
            <c:numRef>
              <c:f>'PIVOT ANALYSIS'!$F$123:$F$126</c:f>
              <c:numCache>
                <c:formatCode>General</c:formatCode>
                <c:ptCount val="4"/>
                <c:pt idx="0">
                  <c:v>528</c:v>
                </c:pt>
                <c:pt idx="1">
                  <c:v>501</c:v>
                </c:pt>
                <c:pt idx="2">
                  <c:v>492</c:v>
                </c:pt>
                <c:pt idx="3">
                  <c:v>479</c:v>
                </c:pt>
              </c:numCache>
            </c:numRef>
          </c:val>
          <c:extLst>
            <c:ext xmlns:c16="http://schemas.microsoft.com/office/drawing/2014/chart" uri="{C3380CC4-5D6E-409C-BE32-E72D297353CC}">
              <c16:uniqueId val="{00000000-E978-4F66-9962-F478F52568DB}"/>
            </c:ext>
          </c:extLst>
        </c:ser>
        <c:dLbls>
          <c:showLegendKey val="0"/>
          <c:showVal val="0"/>
          <c:showCatName val="0"/>
          <c:showSerName val="0"/>
          <c:showPercent val="0"/>
          <c:showBubbleSize val="0"/>
        </c:dLbls>
        <c:gapWidth val="182"/>
        <c:axId val="935709903"/>
        <c:axId val="935694543"/>
      </c:barChart>
      <c:catAx>
        <c:axId val="935709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lt1"/>
                </a:solidFill>
                <a:latin typeface="+mn-lt"/>
                <a:ea typeface="+mn-ea"/>
                <a:cs typeface="+mn-cs"/>
              </a:defRPr>
            </a:pPr>
            <a:endParaRPr lang="en-US"/>
          </a:p>
        </c:txPr>
        <c:crossAx val="935694543"/>
        <c:crosses val="autoZero"/>
        <c:auto val="1"/>
        <c:lblAlgn val="ctr"/>
        <c:lblOffset val="100"/>
        <c:noMultiLvlLbl val="0"/>
      </c:catAx>
      <c:valAx>
        <c:axId val="935694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5709903"/>
        <c:crosses val="autoZero"/>
        <c:crossBetween val="between"/>
      </c:valAx>
      <c:spPr>
        <a:noFill/>
        <a:ln>
          <a:noFill/>
        </a:ln>
        <a:effectLst/>
      </c:spPr>
    </c:plotArea>
    <c:plotVisOnly val="1"/>
    <c:dispBlanksAs val="gap"/>
    <c:showDLblsOverMax val="0"/>
  </c:chart>
  <c:spPr>
    <a:solidFill>
      <a:schemeClr val="tx1">
        <a:lumMod val="65000"/>
        <a:lumOff val="35000"/>
      </a:schemeClr>
    </a:solidFill>
    <a:ln w="6350" cap="flat" cmpd="sng" algn="ctr">
      <a:solidFill>
        <a:schemeClr val="accent5"/>
      </a:solidFill>
      <a:prstDash val="solid"/>
      <a:miter lim="800000"/>
    </a:ln>
    <a:effectLst/>
    <a:scene3d>
      <a:camera prst="orthographicFront"/>
      <a:lightRig rig="threePt" dir="t"/>
    </a:scene3d>
    <a:sp3d>
      <a:bevelT prst="angle"/>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r>
              <a:rPr lang="en-IN" sz="1800" b="1"/>
              <a:t>BEACH ESCAPE ANALYSIS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endParaRPr lang="en-IN"/>
        </a:p>
      </c:txPr>
    </c:title>
    <c:autoTitleDeleted val="0"/>
    <c:plotArea>
      <c:layout/>
      <c:doughnutChart>
        <c:varyColors val="1"/>
        <c:ser>
          <c:idx val="0"/>
          <c:order val="0"/>
          <c:tx>
            <c:strRef>
              <c:f>'PIVOT ANALYSIS'!$G$66</c:f>
              <c:strCache>
                <c:ptCount val="1"/>
                <c:pt idx="0">
                  <c:v>PERCENTAGE</c:v>
                </c:pt>
              </c:strCache>
            </c:strRef>
          </c:tx>
          <c:spPr>
            <a:ln>
              <a:noFill/>
            </a:ln>
            <a:scene3d>
              <a:camera prst="orthographicFront"/>
              <a:lightRig rig="threePt" dir="t"/>
            </a:scene3d>
            <a:sp3d>
              <a:bevelT prst="angle"/>
            </a:sp3d>
          </c:spPr>
          <c:dPt>
            <c:idx val="0"/>
            <c:bubble3D val="0"/>
            <c:spPr>
              <a:solidFill>
                <a:schemeClr val="accent1"/>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9161-430D-89E4-21A6565CB93C}"/>
              </c:ext>
            </c:extLst>
          </c:dPt>
          <c:dPt>
            <c:idx val="1"/>
            <c:bubble3D val="0"/>
            <c:spPr>
              <a:solidFill>
                <a:schemeClr val="accent2"/>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9161-430D-89E4-21A6565CB93C}"/>
              </c:ext>
            </c:extLst>
          </c:dPt>
          <c:dPt>
            <c:idx val="2"/>
            <c:bubble3D val="0"/>
            <c:spPr>
              <a:solidFill>
                <a:schemeClr val="accent3"/>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5-9161-430D-89E4-21A6565CB93C}"/>
              </c:ext>
            </c:extLst>
          </c:dPt>
          <c:dPt>
            <c:idx val="3"/>
            <c:bubble3D val="0"/>
            <c:spPr>
              <a:solidFill>
                <a:schemeClr val="accent4"/>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7-9161-430D-89E4-21A6565CB93C}"/>
              </c:ext>
            </c:extLst>
          </c:dPt>
          <c:dPt>
            <c:idx val="4"/>
            <c:bubble3D val="0"/>
            <c:spPr>
              <a:solidFill>
                <a:schemeClr val="accent6">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9-9161-430D-89E4-21A6565CB93C}"/>
              </c:ext>
            </c:extLst>
          </c:dPt>
          <c:dLbls>
            <c:dLbl>
              <c:idx val="0"/>
              <c:layout>
                <c:manualLayout>
                  <c:x val="-1.3886468172542975E-2"/>
                  <c:y val="5.54783203174058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61-430D-89E4-21A6565CB93C}"/>
                </c:ext>
              </c:extLst>
            </c:dLbl>
            <c:dLbl>
              <c:idx val="1"/>
              <c:layout>
                <c:manualLayout>
                  <c:x val="-4.165940451762902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61-430D-89E4-21A6565CB93C}"/>
                </c:ext>
              </c:extLst>
            </c:dLbl>
            <c:dLbl>
              <c:idx val="2"/>
              <c:layout>
                <c:manualLayout>
                  <c:x val="-1.110917453803438E-2"/>
                  <c:y val="-5.08551269576220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61-430D-89E4-21A6565CB93C}"/>
                </c:ext>
              </c:extLst>
            </c:dLbl>
            <c:dLbl>
              <c:idx val="3"/>
              <c:layout>
                <c:manualLayout>
                  <c:x val="4.9991285421154663E-2"/>
                  <c:y val="-2.31159667989192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161-430D-89E4-21A6565CB93C}"/>
                </c:ext>
              </c:extLst>
            </c:dLbl>
            <c:dLbl>
              <c:idx val="4"/>
              <c:layout>
                <c:manualLayout>
                  <c:x val="1.9441055441560166E-2"/>
                  <c:y val="5.54783203174058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161-430D-89E4-21A6565CB93C}"/>
                </c:ext>
              </c:extLst>
            </c:dLbl>
            <c:spPr>
              <a:noFill/>
              <a:ln>
                <a:noFill/>
              </a:ln>
              <a:effectLst/>
            </c:spPr>
            <c:txPr>
              <a:bodyPr rot="0" spcFirstLastPara="1" vertOverflow="ellipsis" vert="horz" wrap="square" anchor="ctr" anchorCtr="1"/>
              <a:lstStyle/>
              <a:p>
                <a:pPr>
                  <a:defRPr sz="16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ANALYSIS'!$E$67:$E$71</c:f>
              <c:strCache>
                <c:ptCount val="5"/>
                <c:pt idx="0">
                  <c:v>Andaman</c:v>
                </c:pt>
                <c:pt idx="1">
                  <c:v>Goa</c:v>
                </c:pt>
                <c:pt idx="2">
                  <c:v>Himachal Pradesh</c:v>
                </c:pt>
                <c:pt idx="3">
                  <c:v>Kerala</c:v>
                </c:pt>
                <c:pt idx="4">
                  <c:v>Rajasthan</c:v>
                </c:pt>
              </c:strCache>
            </c:strRef>
          </c:cat>
          <c:val>
            <c:numRef>
              <c:f>'PIVOT ANALYSIS'!$G$67:$G$71</c:f>
              <c:numCache>
                <c:formatCode>0.00%</c:formatCode>
                <c:ptCount val="5"/>
                <c:pt idx="0">
                  <c:v>0.20009118874862677</c:v>
                </c:pt>
                <c:pt idx="1">
                  <c:v>0.19536394434397011</c:v>
                </c:pt>
                <c:pt idx="2">
                  <c:v>0.1950563194712284</c:v>
                </c:pt>
                <c:pt idx="3">
                  <c:v>0.2211072391865645</c:v>
                </c:pt>
                <c:pt idx="4">
                  <c:v>0.18838130824961064</c:v>
                </c:pt>
              </c:numCache>
            </c:numRef>
          </c:val>
          <c:extLst>
            <c:ext xmlns:c16="http://schemas.microsoft.com/office/drawing/2014/chart" uri="{C3380CC4-5D6E-409C-BE32-E72D297353CC}">
              <c16:uniqueId val="{0000000A-9161-430D-89E4-21A6565CB93C}"/>
            </c:ext>
          </c:extLst>
        </c:ser>
        <c:ser>
          <c:idx val="1"/>
          <c:order val="1"/>
          <c:tx>
            <c:strRef>
              <c:f>'PIVOT ANALYSIS'!$H$66</c:f>
              <c:strCache>
                <c:ptCount val="1"/>
                <c:pt idx="0">
                  <c:v>TOTAL REVENUE</c:v>
                </c:pt>
              </c:strCache>
            </c:strRef>
          </c:tx>
          <c:spPr>
            <a:ln>
              <a:noFill/>
            </a:ln>
            <a:scene3d>
              <a:camera prst="orthographicFront"/>
              <a:lightRig rig="threePt" dir="t"/>
            </a:scene3d>
            <a:sp3d>
              <a:bevelT prst="angle"/>
            </a:sp3d>
          </c:spPr>
          <c:explosion val="21"/>
          <c:dPt>
            <c:idx val="0"/>
            <c:bubble3D val="0"/>
            <c:spPr>
              <a:solidFill>
                <a:schemeClr val="accent1"/>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C-9161-430D-89E4-21A6565CB93C}"/>
              </c:ext>
            </c:extLst>
          </c:dPt>
          <c:dPt>
            <c:idx val="1"/>
            <c:bubble3D val="0"/>
            <c:spPr>
              <a:solidFill>
                <a:schemeClr val="accent2"/>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E-9161-430D-89E4-21A6565CB93C}"/>
              </c:ext>
            </c:extLst>
          </c:dPt>
          <c:dPt>
            <c:idx val="2"/>
            <c:bubble3D val="0"/>
            <c:spPr>
              <a:solidFill>
                <a:schemeClr val="accent3"/>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10-9161-430D-89E4-21A6565CB93C}"/>
              </c:ext>
            </c:extLst>
          </c:dPt>
          <c:dPt>
            <c:idx val="3"/>
            <c:bubble3D val="0"/>
            <c:spPr>
              <a:solidFill>
                <a:schemeClr val="accent4"/>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12-9161-430D-89E4-21A6565CB93C}"/>
              </c:ext>
            </c:extLst>
          </c:dPt>
          <c:dPt>
            <c:idx val="4"/>
            <c:bubble3D val="0"/>
            <c:spPr>
              <a:solidFill>
                <a:schemeClr val="accent6">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14-9161-430D-89E4-21A6565CB93C}"/>
              </c:ext>
            </c:extLst>
          </c:dPt>
          <c:dLbls>
            <c:dLbl>
              <c:idx val="0"/>
              <c:layout>
                <c:manualLayout>
                  <c:x val="0.12497821355288667"/>
                  <c:y val="-4.1608740238054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161-430D-89E4-21A6565CB93C}"/>
                </c:ext>
              </c:extLst>
            </c:dLbl>
            <c:dLbl>
              <c:idx val="1"/>
              <c:layout>
                <c:manualLayout>
                  <c:x val="8.6096102669766444E-2"/>
                  <c:y val="0.106333447275027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161-430D-89E4-21A6565CB93C}"/>
                </c:ext>
              </c:extLst>
            </c:dLbl>
            <c:dLbl>
              <c:idx val="2"/>
              <c:layout>
                <c:manualLayout>
                  <c:x val="0.10275986447681802"/>
                  <c:y val="6.4724707036973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161-430D-89E4-21A6565CB93C}"/>
                </c:ext>
              </c:extLst>
            </c:dLbl>
            <c:dLbl>
              <c:idx val="3"/>
              <c:layout>
                <c:manualLayout>
                  <c:x val="-9.7205277207800853E-2"/>
                  <c:y val="2.77391601587029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161-430D-89E4-21A6565CB93C}"/>
                </c:ext>
              </c:extLst>
            </c:dLbl>
            <c:dLbl>
              <c:idx val="4"/>
              <c:layout>
                <c:manualLayout>
                  <c:x val="-0.11386903901485243"/>
                  <c:y val="-1.38695800793514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9161-430D-89E4-21A6565CB93C}"/>
                </c:ext>
              </c:extLst>
            </c:dLbl>
            <c:spPr>
              <a:noFill/>
              <a:ln>
                <a:noFill/>
              </a:ln>
              <a:effectLst/>
            </c:spPr>
            <c:txPr>
              <a:bodyPr rot="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ANALYSIS'!$E$67:$E$71</c:f>
              <c:strCache>
                <c:ptCount val="5"/>
                <c:pt idx="0">
                  <c:v>Andaman</c:v>
                </c:pt>
                <c:pt idx="1">
                  <c:v>Goa</c:v>
                </c:pt>
                <c:pt idx="2">
                  <c:v>Himachal Pradesh</c:v>
                </c:pt>
                <c:pt idx="3">
                  <c:v>Kerala</c:v>
                </c:pt>
                <c:pt idx="4">
                  <c:v>Rajasthan</c:v>
                </c:pt>
              </c:strCache>
            </c:strRef>
          </c:cat>
          <c:val>
            <c:numRef>
              <c:f>'PIVOT ANALYSIS'!$H$67:$H$71</c:f>
              <c:numCache>
                <c:formatCode>General</c:formatCode>
                <c:ptCount val="5"/>
                <c:pt idx="0">
                  <c:v>2024926.9200000006</c:v>
                </c:pt>
                <c:pt idx="1">
                  <c:v>1977087.1099999994</c:v>
                </c:pt>
                <c:pt idx="2">
                  <c:v>1973973.9400000009</c:v>
                </c:pt>
                <c:pt idx="3">
                  <c:v>2237609.7800000012</c:v>
                </c:pt>
                <c:pt idx="4">
                  <c:v>1906422.6899999997</c:v>
                </c:pt>
              </c:numCache>
            </c:numRef>
          </c:val>
          <c:extLst>
            <c:ext xmlns:c16="http://schemas.microsoft.com/office/drawing/2014/chart" uri="{C3380CC4-5D6E-409C-BE32-E72D297353CC}">
              <c16:uniqueId val="{00000015-9161-430D-89E4-21A6565CB93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6350" cap="flat" cmpd="sng" algn="ctr">
      <a:noFill/>
      <a:prstDash val="solid"/>
      <a:miter lim="800000"/>
    </a:ln>
    <a:effectLst/>
    <a:scene3d>
      <a:camera prst="orthographicFront"/>
      <a:lightRig rig="threePt" dir="t"/>
    </a:scene3d>
    <a:sp3d>
      <a:bevelT prst="angle"/>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r>
              <a:rPr lang="en-US" sz="1800" b="1"/>
              <a:t>GUIDE ANALYSIS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lt1"/>
              </a:solidFill>
              <a:latin typeface="+mn-lt"/>
              <a:ea typeface="+mn-ea"/>
              <a:cs typeface="+mn-cs"/>
            </a:defRPr>
          </a:pPr>
          <a:endParaRPr lang="en-US"/>
        </a:p>
      </c:txPr>
    </c:title>
    <c:autoTitleDeleted val="0"/>
    <c:plotArea>
      <c:layout/>
      <c:pieChart>
        <c:varyColors val="1"/>
        <c:ser>
          <c:idx val="0"/>
          <c:order val="0"/>
          <c:tx>
            <c:strRef>
              <c:f>'PIVOT ANALYSIS'!$G$90</c:f>
              <c:strCache>
                <c:ptCount val="1"/>
                <c:pt idx="0">
                  <c:v>PERCENTAGE</c:v>
                </c:pt>
              </c:strCache>
            </c:strRef>
          </c:tx>
          <c:spPr>
            <a:ln>
              <a:noFill/>
            </a:ln>
            <a:scene3d>
              <a:camera prst="orthographicFront"/>
              <a:lightRig rig="threePt" dir="t"/>
            </a:scene3d>
            <a:sp3d>
              <a:bevelT prst="angle"/>
            </a:sp3d>
          </c:spPr>
          <c:explosion val="18"/>
          <c:dPt>
            <c:idx val="0"/>
            <c:bubble3D val="0"/>
            <c:spPr>
              <a:solidFill>
                <a:schemeClr val="accent5">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A5DA-48F1-9DD8-D4C04EC23AA0}"/>
              </c:ext>
            </c:extLst>
          </c:dPt>
          <c:dPt>
            <c:idx val="1"/>
            <c:bubble3D val="0"/>
            <c:spPr>
              <a:solidFill>
                <a:schemeClr val="accent4">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A5DA-48F1-9DD8-D4C04EC23AA0}"/>
              </c:ext>
            </c:extLst>
          </c:dPt>
          <c:dPt>
            <c:idx val="2"/>
            <c:bubble3D val="0"/>
            <c:spPr>
              <a:solidFill>
                <a:schemeClr val="accent3">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5-A5DA-48F1-9DD8-D4C04EC23AA0}"/>
              </c:ext>
            </c:extLst>
          </c:dPt>
          <c:dPt>
            <c:idx val="3"/>
            <c:bubble3D val="0"/>
            <c:spPr>
              <a:solidFill>
                <a:schemeClr val="accent2">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7-A5DA-48F1-9DD8-D4C04EC23AA0}"/>
              </c:ext>
            </c:extLst>
          </c:dPt>
          <c:dPt>
            <c:idx val="4"/>
            <c:bubble3D val="0"/>
            <c:spPr>
              <a:solidFill>
                <a:schemeClr val="accent6">
                  <a:lumMod val="7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9-A5DA-48F1-9DD8-D4C04EC23AA0}"/>
              </c:ext>
            </c:extLst>
          </c:dPt>
          <c:dLbls>
            <c:dLbl>
              <c:idx val="0"/>
              <c:layout>
                <c:manualLayout>
                  <c:x val="6.2901957816763152E-2"/>
                  <c:y val="2.418576912146690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DA-48F1-9DD8-D4C04EC23AA0}"/>
                </c:ext>
              </c:extLst>
            </c:dLbl>
            <c:dLbl>
              <c:idx val="1"/>
              <c:layout>
                <c:manualLayout>
                  <c:x val="5.3183361570401384E-2"/>
                  <c:y val="-5.8272993992082838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5DA-48F1-9DD8-D4C04EC23AA0}"/>
                </c:ext>
              </c:extLst>
            </c:dLbl>
            <c:dLbl>
              <c:idx val="2"/>
              <c:layout>
                <c:manualLayout>
                  <c:x val="-0.13122543269978609"/>
                  <c:y val="7.491884708830157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5DA-48F1-9DD8-D4C04EC23AA0}"/>
                </c:ext>
              </c:extLst>
            </c:dLbl>
            <c:dLbl>
              <c:idx val="3"/>
              <c:layout>
                <c:manualLayout>
                  <c:x val="-5.5650846901840106E-2"/>
                  <c:y val="-2.746890972914340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5DA-48F1-9DD8-D4C04EC23AA0}"/>
                </c:ext>
              </c:extLst>
            </c:dLbl>
            <c:dLbl>
              <c:idx val="4"/>
              <c:layout>
                <c:manualLayout>
                  <c:x val="-4.7539030915035155E-2"/>
                  <c:y val="9.906959337488042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5DA-48F1-9DD8-D4C04EC23AA0}"/>
                </c:ext>
              </c:extLst>
            </c:dLbl>
            <c:spPr>
              <a:noFill/>
              <a:ln>
                <a:noFill/>
              </a:ln>
              <a:effectLst/>
            </c:spPr>
            <c:txPr>
              <a:bodyPr rot="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ANALYSIS'!$E$91:$E$95</c:f>
              <c:strCache>
                <c:ptCount val="5"/>
                <c:pt idx="0">
                  <c:v>Anita</c:v>
                </c:pt>
                <c:pt idx="1">
                  <c:v>Joseph</c:v>
                </c:pt>
                <c:pt idx="2">
                  <c:v>Kiran</c:v>
                </c:pt>
                <c:pt idx="3">
                  <c:v>Meena</c:v>
                </c:pt>
                <c:pt idx="4">
                  <c:v>Raj</c:v>
                </c:pt>
              </c:strCache>
            </c:strRef>
          </c:cat>
          <c:val>
            <c:numRef>
              <c:f>'PIVOT ANALYSIS'!$G$91:$G$95</c:f>
              <c:numCache>
                <c:formatCode>0.00%</c:formatCode>
                <c:ptCount val="5"/>
                <c:pt idx="0">
                  <c:v>0.20749999999999999</c:v>
                </c:pt>
                <c:pt idx="1">
                  <c:v>0.18099999999999999</c:v>
                </c:pt>
                <c:pt idx="2">
                  <c:v>0.19550000000000001</c:v>
                </c:pt>
                <c:pt idx="3">
                  <c:v>0.21099999999999999</c:v>
                </c:pt>
                <c:pt idx="4">
                  <c:v>0.20499999999999999</c:v>
                </c:pt>
              </c:numCache>
            </c:numRef>
          </c:val>
          <c:extLst>
            <c:ext xmlns:c16="http://schemas.microsoft.com/office/drawing/2014/chart" uri="{C3380CC4-5D6E-409C-BE32-E72D297353CC}">
              <c16:uniqueId val="{0000000A-A5DA-48F1-9DD8-D4C04EC23AA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026312144202169"/>
          <c:y val="0.2571162361583938"/>
          <c:w val="0.18823004255032336"/>
          <c:h val="0.4314500433339856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tx1">
        <a:lumMod val="65000"/>
        <a:lumOff val="35000"/>
      </a:schemeClr>
    </a:solidFill>
    <a:ln w="6350" cap="flat" cmpd="sng" algn="ctr">
      <a:noFill/>
      <a:prstDash val="solid"/>
      <a:miter lim="800000"/>
    </a:ln>
    <a:effectLst/>
    <a:scene3d>
      <a:camera prst="orthographicFront"/>
      <a:lightRig rig="threePt" dir="t"/>
    </a:scene3d>
    <a:sp3d>
      <a:bevelT prst="angle"/>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b="1">
                <a:solidFill>
                  <a:schemeClr val="bg1"/>
                </a:solidFill>
              </a:rPr>
              <a:t>ANDAMAN</a:t>
            </a:r>
            <a:r>
              <a:rPr lang="en-IN" b="1" baseline="0">
                <a:solidFill>
                  <a:schemeClr val="bg1"/>
                </a:solidFill>
              </a:rPr>
              <a:t> VS OTHERS</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IN"/>
        </a:p>
      </c:txPr>
    </c:title>
    <c:autoTitleDeleted val="0"/>
    <c:plotArea>
      <c:layout/>
      <c:doughnutChart>
        <c:varyColors val="1"/>
        <c:ser>
          <c:idx val="0"/>
          <c:order val="0"/>
          <c:tx>
            <c:strRef>
              <c:f>'PIVOT ANALYSIS'!$F$18</c:f>
              <c:strCache>
                <c:ptCount val="1"/>
                <c:pt idx="0">
                  <c:v>PERCENTAGE</c:v>
                </c:pt>
              </c:strCache>
            </c:strRef>
          </c:tx>
          <c:spPr>
            <a:ln>
              <a:noFill/>
            </a:ln>
            <a:scene3d>
              <a:camera prst="orthographicFront"/>
              <a:lightRig rig="threePt" dir="t"/>
            </a:scene3d>
            <a:sp3d>
              <a:bevelT prst="angle"/>
            </a:sp3d>
          </c:spPr>
          <c:explosion val="23"/>
          <c:dPt>
            <c:idx val="0"/>
            <c:bubble3D val="0"/>
            <c:spPr>
              <a:solidFill>
                <a:srgbClr val="32969E"/>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28F8-4993-9806-796C6F33D446}"/>
              </c:ext>
            </c:extLst>
          </c:dPt>
          <c:dPt>
            <c:idx val="1"/>
            <c:bubble3D val="0"/>
            <c:spPr>
              <a:solidFill>
                <a:schemeClr val="bg1">
                  <a:lumMod val="8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28F8-4993-9806-796C6F33D446}"/>
              </c:ext>
            </c:extLst>
          </c:dPt>
          <c:dLbls>
            <c:dLbl>
              <c:idx val="0"/>
              <c:layout>
                <c:manualLayout>
                  <c:x val="0.17378818648364988"/>
                  <c:y val="-0.116386752868173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8F8-4993-9806-796C6F33D446}"/>
                </c:ext>
              </c:extLst>
            </c:dLbl>
            <c:dLbl>
              <c:idx val="1"/>
              <c:layout>
                <c:manualLayout>
                  <c:x val="-0.20778701508913608"/>
                  <c:y val="0.123281639903212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F8-4993-9806-796C6F33D446}"/>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ANALYSIS'!$D$19:$D$20</c:f>
              <c:strCache>
                <c:ptCount val="2"/>
                <c:pt idx="0">
                  <c:v>Andaman</c:v>
                </c:pt>
                <c:pt idx="1">
                  <c:v>Others</c:v>
                </c:pt>
              </c:strCache>
            </c:strRef>
          </c:cat>
          <c:val>
            <c:numRef>
              <c:f>'PIVOT ANALYSIS'!$F$19:$F$20</c:f>
              <c:numCache>
                <c:formatCode>0.00%</c:formatCode>
                <c:ptCount val="2"/>
                <c:pt idx="0">
                  <c:v>0.33795918367346939</c:v>
                </c:pt>
                <c:pt idx="1">
                  <c:v>0.66204081632653056</c:v>
                </c:pt>
              </c:numCache>
            </c:numRef>
          </c:val>
          <c:extLst>
            <c:ext xmlns:c16="http://schemas.microsoft.com/office/drawing/2014/chart" uri="{C3380CC4-5D6E-409C-BE32-E72D297353CC}">
              <c16:uniqueId val="{00000004-28F8-4993-9806-796C6F33D44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lumMod val="65000"/>
        <a:lumOff val="35000"/>
      </a:schemeClr>
    </a:solidFill>
    <a:ln w="9525" cap="flat" cmpd="sng" algn="ctr">
      <a:solidFill>
        <a:schemeClr val="tx1">
          <a:lumMod val="15000"/>
          <a:lumOff val="85000"/>
        </a:schemeClr>
      </a:solidFill>
      <a:round/>
    </a:ln>
    <a:effectLst/>
    <a:scene3d>
      <a:camera prst="orthographicFront"/>
      <a:lightRig rig="threePt" dir="t"/>
    </a:scene3d>
    <a:sp3d>
      <a:bevelT prst="angle"/>
    </a:sp3d>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lt1"/>
                </a:solidFill>
                <a:latin typeface="+mn-lt"/>
                <a:ea typeface="+mn-ea"/>
                <a:cs typeface="+mn-cs"/>
              </a:defRPr>
            </a:pPr>
            <a:r>
              <a:rPr lang="en-IN" b="1"/>
              <a:t>RAJASTHAN  VS OTHERS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lt1"/>
              </a:solidFill>
              <a:latin typeface="+mn-lt"/>
              <a:ea typeface="+mn-ea"/>
              <a:cs typeface="+mn-cs"/>
            </a:defRPr>
          </a:pPr>
          <a:endParaRPr lang="en-IN"/>
        </a:p>
      </c:txPr>
    </c:title>
    <c:autoTitleDeleted val="0"/>
    <c:plotArea>
      <c:layout/>
      <c:doughnutChart>
        <c:varyColors val="1"/>
        <c:ser>
          <c:idx val="0"/>
          <c:order val="0"/>
          <c:tx>
            <c:strRef>
              <c:f>'PIVOT ANALYSIS'!$J$18</c:f>
              <c:strCache>
                <c:ptCount val="1"/>
                <c:pt idx="0">
                  <c:v>PERCENTAGE</c:v>
                </c:pt>
              </c:strCache>
            </c:strRef>
          </c:tx>
          <c:spPr>
            <a:ln>
              <a:noFill/>
            </a:ln>
            <a:scene3d>
              <a:camera prst="orthographicFront"/>
              <a:lightRig rig="threePt" dir="t"/>
            </a:scene3d>
            <a:sp3d>
              <a:bevelT prst="angle"/>
            </a:sp3d>
          </c:spPr>
          <c:explosion val="27"/>
          <c:dPt>
            <c:idx val="0"/>
            <c:bubble3D val="0"/>
            <c:spPr>
              <a:solidFill>
                <a:srgbClr val="32969E"/>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46F7-4F4A-A673-44C129736391}"/>
              </c:ext>
            </c:extLst>
          </c:dPt>
          <c:dPt>
            <c:idx val="1"/>
            <c:bubble3D val="0"/>
            <c:spPr>
              <a:solidFill>
                <a:schemeClr val="bg1">
                  <a:lumMod val="8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46F7-4F4A-A673-44C129736391}"/>
              </c:ext>
            </c:extLst>
          </c:dPt>
          <c:dLbls>
            <c:dLbl>
              <c:idx val="0"/>
              <c:layout>
                <c:manualLayout>
                  <c:x val="0.13944476359701261"/>
                  <c:y val="-0.121637524688787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6F7-4F4A-A673-44C129736391}"/>
                </c:ext>
              </c:extLst>
            </c:dLbl>
            <c:dLbl>
              <c:idx val="1"/>
              <c:layout>
                <c:manualLayout>
                  <c:x val="-0.12929339621381147"/>
                  <c:y val="7.66017304104104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F7-4F4A-A673-44C129736391}"/>
                </c:ext>
              </c:extLst>
            </c:dLbl>
            <c:spPr>
              <a:noFill/>
              <a:ln>
                <a:noFill/>
              </a:ln>
              <a:effectLst/>
            </c:spPr>
            <c:txPr>
              <a:bodyPr rot="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ANALYSIS'!$H$19:$H$20</c:f>
              <c:strCache>
                <c:ptCount val="2"/>
                <c:pt idx="0">
                  <c:v>Rajasthan</c:v>
                </c:pt>
                <c:pt idx="1">
                  <c:v>Others</c:v>
                </c:pt>
              </c:strCache>
            </c:strRef>
          </c:cat>
          <c:val>
            <c:numRef>
              <c:f>'PIVOT ANALYSIS'!$J$19:$J$20</c:f>
              <c:numCache>
                <c:formatCode>0.00%</c:formatCode>
                <c:ptCount val="2"/>
                <c:pt idx="0">
                  <c:v>0.33795918367346939</c:v>
                </c:pt>
                <c:pt idx="1">
                  <c:v>0.66204081632653056</c:v>
                </c:pt>
              </c:numCache>
            </c:numRef>
          </c:val>
          <c:extLst>
            <c:ext xmlns:c16="http://schemas.microsoft.com/office/drawing/2014/chart" uri="{C3380CC4-5D6E-409C-BE32-E72D297353CC}">
              <c16:uniqueId val="{00000004-46F7-4F4A-A673-44C12973639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tx1">
        <a:lumMod val="65000"/>
        <a:lumOff val="35000"/>
      </a:schemeClr>
    </a:solidFill>
    <a:ln w="6350" cap="flat" cmpd="sng" algn="ctr">
      <a:noFill/>
      <a:prstDash val="solid"/>
      <a:miter lim="800000"/>
    </a:ln>
    <a:effectLst/>
    <a:scene3d>
      <a:camera prst="orthographicFront"/>
      <a:lightRig rig="threePt" dir="t"/>
    </a:scene3d>
    <a:sp3d>
      <a:bevelT prst="angle"/>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b="1">
                <a:solidFill>
                  <a:schemeClr val="bg1"/>
                </a:solidFill>
              </a:rPr>
              <a:t>HIMACHAL PRADESH</a:t>
            </a:r>
            <a:r>
              <a:rPr lang="en-IN" b="1" baseline="0">
                <a:solidFill>
                  <a:schemeClr val="bg1"/>
                </a:solidFill>
              </a:rPr>
              <a:t> VS OTHERS</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IN"/>
        </a:p>
      </c:txPr>
    </c:title>
    <c:autoTitleDeleted val="0"/>
    <c:plotArea>
      <c:layout/>
      <c:doughnutChart>
        <c:varyColors val="1"/>
        <c:ser>
          <c:idx val="0"/>
          <c:order val="0"/>
          <c:tx>
            <c:strRef>
              <c:f>'PIVOT ANALYSIS'!$N$18</c:f>
              <c:strCache>
                <c:ptCount val="1"/>
                <c:pt idx="0">
                  <c:v>PERCENTAGE</c:v>
                </c:pt>
              </c:strCache>
            </c:strRef>
          </c:tx>
          <c:spPr>
            <a:ln>
              <a:noFill/>
            </a:ln>
            <a:scene3d>
              <a:camera prst="orthographicFront"/>
              <a:lightRig rig="threePt" dir="t"/>
            </a:scene3d>
            <a:sp3d>
              <a:bevelT prst="angle"/>
            </a:sp3d>
          </c:spPr>
          <c:explosion val="29"/>
          <c:dPt>
            <c:idx val="0"/>
            <c:bubble3D val="0"/>
            <c:spPr>
              <a:solidFill>
                <a:srgbClr val="32969E"/>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90FC-40DA-88D7-B58D193191F6}"/>
              </c:ext>
            </c:extLst>
          </c:dPt>
          <c:dPt>
            <c:idx val="1"/>
            <c:bubble3D val="0"/>
            <c:spPr>
              <a:solidFill>
                <a:schemeClr val="bg1">
                  <a:lumMod val="8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90FC-40DA-88D7-B58D193191F6}"/>
              </c:ext>
            </c:extLst>
          </c:dPt>
          <c:dLbls>
            <c:dLbl>
              <c:idx val="0"/>
              <c:layout>
                <c:manualLayout>
                  <c:x val="0.15427616345293085"/>
                  <c:y val="-0.107654602997316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FC-40DA-88D7-B58D193191F6}"/>
                </c:ext>
              </c:extLst>
            </c:dLbl>
            <c:dLbl>
              <c:idx val="1"/>
              <c:layout>
                <c:manualLayout>
                  <c:x val="-0.18151475352327337"/>
                  <c:y val="5.1525361291912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FC-40DA-88D7-B58D193191F6}"/>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ANALYSIS'!$L$19:$L$20</c:f>
              <c:strCache>
                <c:ptCount val="2"/>
                <c:pt idx="0">
                  <c:v>Himachal Pradesh</c:v>
                </c:pt>
                <c:pt idx="1">
                  <c:v>Others</c:v>
                </c:pt>
              </c:strCache>
            </c:strRef>
          </c:cat>
          <c:val>
            <c:numRef>
              <c:f>'PIVOT ANALYSIS'!$N$19:$N$20</c:f>
              <c:numCache>
                <c:formatCode>0.00%</c:formatCode>
                <c:ptCount val="2"/>
                <c:pt idx="0">
                  <c:v>0.32408163265306122</c:v>
                </c:pt>
                <c:pt idx="1">
                  <c:v>0.67591836734693878</c:v>
                </c:pt>
              </c:numCache>
            </c:numRef>
          </c:val>
          <c:extLst>
            <c:ext xmlns:c16="http://schemas.microsoft.com/office/drawing/2014/chart" uri="{C3380CC4-5D6E-409C-BE32-E72D297353CC}">
              <c16:uniqueId val="{00000004-90FC-40DA-88D7-B58D193191F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lumMod val="65000"/>
        <a:lumOff val="35000"/>
      </a:schemeClr>
    </a:solidFill>
    <a:ln w="9525" cap="flat" cmpd="sng" algn="ctr">
      <a:noFill/>
      <a:round/>
    </a:ln>
    <a:effectLst/>
    <a:scene3d>
      <a:camera prst="orthographicFront"/>
      <a:lightRig rig="threePt" dir="t"/>
    </a:scene3d>
    <a:sp3d>
      <a:bevelT prst="angle"/>
    </a:sp3d>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IN" sz="1800" b="1">
                <a:solidFill>
                  <a:schemeClr val="bg1"/>
                </a:solidFill>
              </a:rPr>
              <a:t>TOP 3 DESTINATION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IN"/>
        </a:p>
      </c:txPr>
    </c:title>
    <c:autoTitleDeleted val="0"/>
    <c:plotArea>
      <c:layout/>
      <c:doughnutChart>
        <c:varyColors val="1"/>
        <c:ser>
          <c:idx val="0"/>
          <c:order val="0"/>
          <c:tx>
            <c:strRef>
              <c:f>'PIVOT ANALYSIS'!$R$18</c:f>
              <c:strCache>
                <c:ptCount val="1"/>
                <c:pt idx="0">
                  <c:v>PERCENTAGE</c:v>
                </c:pt>
              </c:strCache>
            </c:strRef>
          </c:tx>
          <c:spPr>
            <a:ln>
              <a:noFill/>
            </a:ln>
            <a:scene3d>
              <a:camera prst="orthographicFront"/>
              <a:lightRig rig="threePt" dir="t"/>
            </a:scene3d>
            <a:sp3d>
              <a:bevelT prst="angle"/>
            </a:sp3d>
          </c:spPr>
          <c:explosion val="32"/>
          <c:dPt>
            <c:idx val="0"/>
            <c:bubble3D val="0"/>
            <c:spPr>
              <a:solidFill>
                <a:schemeClr val="bg1">
                  <a:lumMod val="85000"/>
                </a:schemeClr>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1-8371-4F02-ADB7-CEC0391BD120}"/>
              </c:ext>
            </c:extLst>
          </c:dPt>
          <c:dPt>
            <c:idx val="1"/>
            <c:bubble3D val="0"/>
            <c:spPr>
              <a:solidFill>
                <a:srgbClr val="92D1E2"/>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3-8371-4F02-ADB7-CEC0391BD120}"/>
              </c:ext>
            </c:extLst>
          </c:dPt>
          <c:dPt>
            <c:idx val="2"/>
            <c:bubble3D val="0"/>
            <c:spPr>
              <a:solidFill>
                <a:srgbClr val="27757B"/>
              </a:solidFill>
              <a:ln w="19050">
                <a:noFill/>
              </a:ln>
              <a:effectLst/>
              <a:scene3d>
                <a:camera prst="orthographicFront"/>
                <a:lightRig rig="threePt" dir="t"/>
              </a:scene3d>
              <a:sp3d>
                <a:bevelT prst="angle"/>
              </a:sp3d>
            </c:spPr>
            <c:extLst>
              <c:ext xmlns:c16="http://schemas.microsoft.com/office/drawing/2014/chart" uri="{C3380CC4-5D6E-409C-BE32-E72D297353CC}">
                <c16:uniqueId val="{00000005-8371-4F02-ADB7-CEC0391BD120}"/>
              </c:ext>
            </c:extLst>
          </c:dPt>
          <c:dLbls>
            <c:dLbl>
              <c:idx val="0"/>
              <c:layout>
                <c:manualLayout>
                  <c:x val="0.14025523459246594"/>
                  <c:y val="-0.141298680256243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371-4F02-ADB7-CEC0391BD120}"/>
                </c:ext>
              </c:extLst>
            </c:dLbl>
            <c:dLbl>
              <c:idx val="1"/>
              <c:layout>
                <c:manualLayout>
                  <c:x val="-0.20128717337112947"/>
                  <c:y val="-4.92585139255698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71-4F02-ADB7-CEC0391BD120}"/>
                </c:ext>
              </c:extLst>
            </c:dLbl>
            <c:dLbl>
              <c:idx val="2"/>
              <c:layout>
                <c:manualLayout>
                  <c:x val="-0.18205042716007067"/>
                  <c:y val="-3.5807087988375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371-4F02-ADB7-CEC0391BD120}"/>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ANALYSIS'!$P$19:$P$21</c:f>
              <c:strCache>
                <c:ptCount val="3"/>
                <c:pt idx="0">
                  <c:v>Andaman</c:v>
                </c:pt>
                <c:pt idx="1">
                  <c:v>Rajasthan</c:v>
                </c:pt>
                <c:pt idx="2">
                  <c:v>Himachal Pradesh</c:v>
                </c:pt>
              </c:strCache>
            </c:strRef>
          </c:cat>
          <c:val>
            <c:numRef>
              <c:f>'PIVOT ANALYSIS'!$R$19:$R$21</c:f>
              <c:numCache>
                <c:formatCode>0.00%</c:formatCode>
                <c:ptCount val="3"/>
                <c:pt idx="0">
                  <c:v>0.33795918367346939</c:v>
                </c:pt>
                <c:pt idx="1">
                  <c:v>0.33795918367346939</c:v>
                </c:pt>
                <c:pt idx="2">
                  <c:v>0.32408163265306122</c:v>
                </c:pt>
              </c:numCache>
            </c:numRef>
          </c:val>
          <c:extLst>
            <c:ext xmlns:c16="http://schemas.microsoft.com/office/drawing/2014/chart" uri="{C3380CC4-5D6E-409C-BE32-E72D297353CC}">
              <c16:uniqueId val="{00000006-8371-4F02-ADB7-CEC0391BD12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4357384432890899"/>
          <c:y val="0.87622958515150151"/>
          <c:w val="0.677933721686652"/>
          <c:h val="9.1586161863158794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lumMod val="65000"/>
        <a:lumOff val="35000"/>
      </a:schemeClr>
    </a:solidFill>
    <a:ln w="9525" cap="flat" cmpd="sng" algn="ctr">
      <a:solidFill>
        <a:schemeClr val="tx1">
          <a:lumMod val="15000"/>
          <a:lumOff val="85000"/>
        </a:schemeClr>
      </a:solidFill>
      <a:round/>
    </a:ln>
    <a:effectLst/>
    <a:scene3d>
      <a:camera prst="orthographicFront"/>
      <a:lightRig rig="threePt" dir="t"/>
    </a:scene3d>
    <a:sp3d>
      <a:bevelT prst="angle"/>
    </a:sp3d>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DURATION - 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DURATION - CITY</a:t>
          </a:r>
        </a:p>
      </cx:txPr>
    </cx:title>
    <cx:plotArea>
      <cx:plotAreaRegion>
        <cx:series layoutId="funnel" uniqueId="{3BA60304-B118-4606-A537-0B9E89B50E29}">
          <cx:tx>
            <cx:txData>
              <cx:f>_xlchart.v2.1</cx:f>
              <cx:v>TOTAL DURATION</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STATE WISE BOOKINGS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STATE WISE BOOKINGS</a:t>
          </a:r>
        </a:p>
      </cx:txPr>
    </cx:title>
    <cx:plotArea>
      <cx:plotAreaRegion>
        <cx:series layoutId="regionMap" uniqueId="{B7B8D204-299B-4C52-AE39-E2DC309508CB}">
          <cx:tx>
            <cx:txData>
              <cx:f>_xlchart.v5.5</cx:f>
              <cx:v>TOTAL BOOKINGS</cx:v>
            </cx:txData>
          </cx:tx>
          <cx:dataId val="0"/>
          <cx:layoutPr>
            <cx:geography cultureLanguage="en-US" cultureRegion="IN" attribution="Powered by Bing">
              <cx:geoCache provider="{E9337A44-BEBE-4D9F-B70C-5C5E7DAFC167}">
                <cx:binary>1H1pcxy3suVfUejzlIx9ufH8Il51N4vUvtmy/KWCkqkq1F5AobZfP9mS7UviiuJcxJuJNwpHOMju
zkIn8hwkEgfJ//i8/uNzc3NtH61t07l/fF5/flxO0/CPn35yn8ub9to9ac1n27v+y/Tkc9/+1H/5
Yj7f/PSHvV5MV/xEEGY/fS6v7XSzPv7P/wBrxU3/vP98PZm+e+Nv7Pb2xvlmcj947bsvPbr+ozXd
0bjJms8T/vnxpWmv4UHNo9f2+o8bVz5+dNNNZtreb8PNz4/vvPvxo59Cm//y/EcNDHHyf8BnKX6i
CeVCKIK+/sOPHzV9V/z5spRPCBUEU6G+vSz+evTL6xY+/u8M7Ouwrv/4w944B9/w6/+/Z+HO14E3
vH786HPvu+nszgI8+/Pjq+4Pc/34kXH94dsLh/78Xa5efv3yP92diP/8j+AX4I7gN7fmKvTdQy/9
y1T9V/fHdXvd/eWm+2bo/+IIsh58898VH5g/oYISqonS3/7djQ/2BHEitCDk26v8r0d/i48HxvL9
kPj6oSAKsv/6/yoKnt3Y6+a/cxrQE8a0klKyu/4XTxhSRDAsvuGT3PX/w+P4/hT89blgFp49/x89
C9+nidtQuPOOf5MqCXlCOeGI/EWV4OvbVKnPSBESUf5tKuTdqfiTtO4fzfdn4s+P3Rn4/2wGfHtd
XbupfJgD7/L0j1YpIp5wxYCGlPwuC9EniiNMFJbfXB+w0P/RiL7v/lsfDbDw9un/Wyzcv2L87bnj
9XR9+poY3Fq2fvzq128NaUvw0R+tH98i+OqPnx9j8DmRDN0C0tnOnx/+tgIcb5rS/IWEux+6gTD5
+TGkGJRqjrlQArAD/3/8aLn5+op4ojCjWksMOYqC6X38qOvtVP78mKgnSknKtcAaMyQIzLjr/Z8v
MQQLlkaCYgwWyd+52eu+2Yq++9sjf/78qPPt6950k/v5sQZDw7e3nQcLX04RSTQDgqWMAwXDlx0+
X7+F/A/ejf+X6fjQwvDGzNhy39JxGaf3fi6W38p5ml/RdXnvE5u87ejk6rRsyuHZxnSR8gEX9ZEv
VfOxre18bcfeXOW19qeuEfyw79qnmE3ThWkMf7MKtL4F82XqqmV4XZi2uamE+LR4J47LrpPTWE31
UfSsfz3oJX8/kqIv0hG7D7Rn7XWvRH1MyDanLq/r11vP39Z9Mz9rMK3SlYrlV1oJdELVnqdFqf1R
11P/ru/1b2tSsQNeij7t6nE9iSRZMtStNl0JMUfnBpv6bXyHWlqeSrf2KR0m/XZYk/ro/TS+Yy1L
Tq6o2lOxOJIqO/FLk9djNiG9fCDbyi8dyZsvOh+65zMtyk9KtGOqNjd98p1y7ytP2qzKczGnTFB9
ZDOV5li1a4LTUeT497oqt4Ng3J/QqPTzBa/LdiC779uDG6f1d9pWZkgbzZlJRzajjz2WOkX5sFSp
KrDtUzvzF3yaK55usla/qqRxz8oRt92Bqn2Y0133fklv55Z3AulzP2zWFOWfef7fP/7n+76F/74m
m//85Xmb8M+fXvy1v/jhu7Kb/gwmF77pTAl/24Ko/pMizhi888O/cMI9qP+2XbnnxTuUcGc5uoNu
TH/EBncWwa9scH7/NyLQ8gnDGEDNKRNCaqH/IgKhnmBgCAAf14BHRP9JBFQ+QVIKIAIkNAVCgPzo
TyIQT6RAQB9KAkdhofW/RQRg5xYPJAQzySTnX/nhFv5dvuZ9bbS4LPFR81duhmXh7x3Yn3Fym2Du
s3v+/S27mphZuGaVp4kDa6T7vm0fSiLWb3ucb0vnv2EevHzbfCWTelvWTp5KO1r7dhE7Kt4X695/
+fHwgZy/6xbIhW7b1+1eK1/n4qQJd/ubAbcapSWtOE4RQy1JGR2n/OLHD7vPVzD9tx/mYO6rpejE
aXVU0VQhWti034T6/cf2IUP77pcJOF7qEQ2V3sTJ44G9wHhh7bsFVUg839TUrVkid2HTdhuHtz9+
4D1fSEGk3/5Cg0LDLM8PnBst16d96XN/YM6X5vTjB5wN/XP1+jtqlbr7AGX2BU2e8tNSO7k8FRvN
yWGoHSmf87qsyAvsa18fRjd2m0xRw/B4gbpytpc/fv49X1AEHm0sFXhbK5nZZFiyYsKsSQuqij9+
bB6f7Xzv+51n8hZ6Btm6mruNn3xRzOMBcodMUvxlqOm41OlYLHML65ZMnvdLgeuTJ32vujQpFGlh
ixOBX3UGxq0RNMXWzg1fwMOK8AO1/RfJFxPnPnVOSm4Z74EIFrVN/LRtTv6G+q1P89lXr+KGfp60
W9YbVRnhqOWnmhpzg6D+9bxLTO0PceYD6umThQ9jyfmpmeT8K15Glq75LuOITQXEY5ulGgYy8tPU
J/t+Qmsy26MY+l5GDj8gG7IWWG1NBWTTM18dNiFWlo4jIPX4Y//cQ50iwGar54VXvpBZ27gxfyvb
dvS/0nHX6OmUlFq+gRyWiqsfP+weIIbpK6m2pOvdkGRdv0nx2hlXTr+205R8ibIvAyZzCnm0rFxl
e4/b01awBFJHUzv7wGzcTcP/JjIZOEv3NWs82fKsT9TeXiwWD/OpWTZsjqMpmY58TMAnlPW5WoZE
ZtPkyXTZib5Dp73DzXoazLSscbiWAWmM/TzmdG1VNpB6f1/brXzVSaHf/3gu7vNVwBpLvSq8QAqV
kWQ1p8ZZSZ8XbOvHDzVX9fqAq+6JqHNB6jZ7lKoYaiUHldmGbVdJu6NXGtLs5lsC/e8mLpLeNd/n
ZkPgHJF5OZI1RdXKPoq9H04/9tF9ow/ow8+ylwoJkc0NzMDUFO2J+UQOkaMPyMMb2m3NVqmMubmG
OdjUmqQObWaPfECwsNY64aNewfsat2N3NWDeLSdbyX15HeWgcxJ+e3ol2ajDySoy7Urzq1TOvV5N
MW5x4xcB0ORmqUaIy2ygbDKX005XnZZ1u6A4iIkAYqvZRjERK7PaFQO7ci2ZVVp5Zh9am8/M853U
QwQo24qqQO0CUzzm22CPVUGlfN0m+yyeFlPe1qe1IFv3W9Mq+rvviqV7gMnvy3lEALxmLXLZ7wtQ
YaOa4WmZuFzCxqHWkDWqaanYlHZTtc8HU4qhvajXvZBHwRbav5vRJHykgwOAbrlIpKqTPGtl4o/U
LDJTsqEPxAc+I+V77iV344/P02pGMuqMot32px3n83Ti+b43l4OmcntVuLb/MiRsaS/Zrjr+cqWU
dC+IVKr6TdWE8weGcg9ViADLqqv40C+GZYPMHT2IXd8M67qMcTzKA6B5bIWqqoJlxbCqjxyWn5cO
JW0cz/Fz9N7K8UZadFWSSJ3xBnYyB49Vu6fe2M09EAb3wIAHQHZm3DhZrcqmbcnJlWLWok/rgAES
JSkR1JOMH9qU7GIoPg/t7kik3wKA06VrYJatyITKW58OI3FtunmWRFIsDwC+s70evbDy5EeOT2Kb
i+Mu+uQYxa88QLHINeqqcd0z54sp2ztZpcIO1QMkcU/M8gCcAqMyWSGXzCpi2gOZcHXMt55EBlWA
TdiW9Aqbfs8I7BtTVOIPXcEeyvTuG3oANyyGjq1NsWeF3KYXfusQrJ9jiavIuAlWzrLy00DttmdJ
3uorMq/1MaeKZVHTygI002Hmw1SD9Skn7LBQ6VLXYhM3dhagWXVkV7OEaU0mUh5q6udU1JLFER0L
oFyhxKIld3s2YtNcON0Vh5mz/eLHnjnD5juEzgK8djkv9x1DWXlJ+A3sC+v5gk310GXTIkXkNwgg
S2c5d1WdLxkF4L7VU1+dMOvruP0yCyA7dZCrLLtYsp5xcaU098dq6yLphgWQxVPb5GqvfFa4hj0z
TStfDGsTOfQAsbCSwnkAplM29lWOD5YTd5DlWpfHH0/uPaBlAWh5Xrg62aEOM3RmfVpPxfTc53kT
CaoAslAfTWbsq+nCejhdeEcXpJpX3CpRxsUNDVBbYzOPxUxWyNn8fqgH/nHTW/dA4N/jGxqAlldJ
zZTK59PYlDilzpN01HDsE+V5GoCWDhUjeaVm8Hzy0RJIwDq95nHTSgPM1sNuk8SJP4fOyEhSPovY
oYdo5Sr3qsTzSS9QNCZn6y7eMefpuJX51Gge8saB9bXS5cGr2qdCkCrS7QFaS8ZVjwgC64zcjIY1
F4UpIktPNEBrDTI1ZQowrnffZo3UFrZGYo3LDc6HKLcds05U5s1Wzyc+5Uu64pmkeMinuCWKBlht
y4F0PUVwvjnvXbqU5sZXO47zOglw6nY7DX25+FNblyyFw8CPyQynjVFIIgFOUc4t3cpkOskRdUe3
mmvndxdpPIDp6PRaQSbsT5XQZSoq06TeEhlpPcCppFVSmETD0LXHLxwcj7zOZdHEHVGdz9jvBIxn
pGNgOdvhFNWle6cEPyZTolxczJAAqmRcdeuHYs421nY2TejAs2Eh0+e4iQ2wik1ObL+2sLLmrnmq
K4ePrq62U5x1ctc73uYDLTbus0nT33FF3jhG38SZDpHqtqrdtmTKTJm8BHr8uBEZWV8jAU61Ma3E
nZyyainV0Zf8fV/nfdyE4gCnXe0Sq5X3WWImc2gq+VySEcUFOw5wCsfCy+BWlYCCYv3DbPgD4e2z
KIfjAKXKLEUC6/WWgVk3pTtxpUg3R4s46sUBTueC+7JmdspA3YR+YxPwQOrMjuMyDRwA1Y8NQU3e
+6zt7X7sV/mpNEMe6fYApLkyo5yN9Rnf7HZo2wGGXj908no28p3NwVkMcJtidCeYGZJ2ykD2o18o
V+AXTZIPH+KmNYAomchkQWIN4VjmZUrb5TepTOSUBhjdWa+rvKx9ZvlMU6zWj82oXseNO8AoW9i6
GAq2k8q9Z357wZl7EWUaBQjtlzwvJlpMJ5QnySGp8udmR5H1ARQgFONhkHtCkpNA+lW7yY/Kbk0c
taAAokkJebrtwSdN2b3pi/4ib8s4JkcBOtmwbHSFovep3+dLu5BnjMetoCgA5rDxSfQD7O1EWzxX
/Zp1No87B0UBLE0zraX3MOih/WWf/aGSv8ZFSADJRld22GuYRFbWn+yq36hdxPEUCvDox7let0VM
2eYq/H7fJpJVnrpj3MADRNIuX7vK6ClzCZz1k66+1Ln+Lc52gMi6MY5LjJITN5DdJkhcM03jFjam
A0xCYI9jg2BJLo1YU+5YcgRN5BwFHFAw3qVY5WY5MT6DhFC8s/1RgRIjxidMB4gsi3JkY7lNmVeg
tlioG1I8ivdxxgNMLnBAvm1d7k64HC6XBg7fR1pNUZHCQk2X9R7VSQPGVcNfUz98NmyzkV4JcKkZ
3846RXeyLX3Nwfbq51jbATTxYiSlK4ayMaHouVdF9XRkq4j0SoDO0rG5gXwWAoXvIt1R9UsjyqgE
i+kAm6v2bKk1IH+l21QdEMtFfySQAZkoamE6AOiwtCwHvdGUFWy4Tpb5Axw+/BIViqFYa6YUWUHB
L94X/Dj62qQgVpZReQQUhO7C05azhHr0CgNf19e+R0/XeYxEqAoQWrUSMVlSl6mavmhAcHiCGyYk
zuOhAMoXFjSXfp4yNDRvWNIcKltGJSkslD9ZnnRbQVuXEcLJYWmxPWBWfYmbzgCgG5woONVODhQA
4mPh1qdG8ndxpgN8rnbKa0USm224WdKml+NF11Zx0gUWKp96vnR6Bn1NBkdI+7Hb+5eSurhzeXaW
2t9OxP1AXF3ixWY96FOa1HmbPEtmtL2N80wAzyWhwIrMw4zO2x8OMrjVqU9RpkMF0gQLTzmI3mW1
KN6uw3CF2jYuDkPx0ZyrWlQNs9k+j+VpXgpyTJruc9y4A3CaneXOrrXLdDkcara9bNVDaec5vfzX
XRULZUZLAvXgeZA2K9uZ+9RKUb0YxbCmS0X8dogbf5Db8rpbu7rnNmsM/b0p2YdkqN/HmQ4guoIk
sREyt4D/2V3OzuIUzyzuqI6FCqOClNxYSmDgDH9o56RLWTL8GjfycA1dx6G2qHQZJ4Ytp536jaWd
aso6bpGWAU5ZWRTKqwZCck3emJa8N2PcXpzJAKNwD2WEDTOYzjf9ZkLmVU5F1DEUC0VFjdrydpw3
m9G8JVmiyPQGF4uJkuKyUFBJ5Iz4bCAScwQ3dDY7ZpRFKrpYKFhq1zyZVlfarJsHlKJZXoxLEVcd
hlsPd1l3ssx7psHlQI/P5o08a/gah6FQpqSXovHVWNhM5kWXyn17pq2JOzdjoRRJQ5SgldQ2w/38
muLxuUVT5LiDNdQaOJ0QSzJmTqgPBts3TT1GbeKYCMCZr6yti6GymQDPpBpU4um4tSqOD0O50ESr
Mal6PcK5TTkeLKnf+ETHpaChnB4h2Gd1HI1ZYeC6U7pAoeLkUSLiHBNKkapKg2ys2gA3emsPygvx
tjFoj5vRUIoE965EDmK4Mdu1JQfs2EtYSeNOz1koQ/JJp3q+9hAuvWaoBq7dalemSs91VA0HTvjv
YhT0s0gXawe+L8pFHjoonmV5zsa4cwQWyo222ntl23zIVOLq8TAvQ/vFa7lEbhpDwRFuCWKLTobM
lps7toWoUvAQv4ha8ELBkZTrqtCMhsw3ghyQAOE3hd1vGmc9QOzUwC0SR7shc0wWU4p3Ul/X29oV
kfaD1XQ1VthlBd/0ZdWnZmp/WRsct+bxcDkl/dIm0oPfOzVcbg65i6Xpy8soz4R6o5nOdBuaZYCr
k3z/gPq8uGRSDXWcY0LBEQWe5GSDadVdProL6RVlKc97MUY+IMh+4TCu7rthBs9Tt1xZq34pxyau
Ns9CyZGsWwIiYDtkkk3vTOHeLPX0Ls7vQdZb5NtCm6YYM9np37t+wWnJ2EPiV/b9vD0UGo1QMleJ
b4eM2kr9LuFQ4dLX7RwZMsHKOqFk3XbK+wyQqlMB0pc02RJ5inNMAFW7JXBG34B1Pm8+5Xh4WncP
qZi+pqDf2dCEMqPRrCCvU6TPZlEXeQqnxRWQjTRrfShaXdSX7bAt73zrmivqaCKyqSxH/h6uuMnx
NdT/nH2nZSsuaziX7C+rumMilY2BYnyxjgot6c6q0f6yjCTxB7SNXX3dl2UyHgQkluSIOdTaT3Lw
qz82GKpkBwGn1OuVHxNVZUSuJbvK+wruJWME1YTfElD2bhdw99rJI5Ur2FwaM+0XxahLB7ft4Pby
RUvIuh/d3NLu91Uylr+emEiqTw7zcczUTvSc2RW+73GYdn6q0MzVoZME1wexycJfFrgv9HOhOri4
hcadvIMOLks6E2GvBuPsnqFeq+1iaZuZHWfLCn6a5QK3tXlTzuxQNEPbQz6r9XZQ1lCZtr2x+NnS
5ZW+aiieWLaDt5cDp/V8te9J+9J2M2JHhuZ5T6vc5vu7Ble9jMtCQvXL2JkJ9O26zzQU21JOqufl
XsTdWmGh+AXBV+NMDX229UPeHnu0VNk6IhOZ/Z17Ityun7Qr86L2tM8EL3soWSUpKaiOI8tQpkZZ
vkEW3AxZKdqbnNXvcmkina7ujnuGY6S1ITBu7vPM6eZpznFcZTNUqPEZZDUYyl8ZtA5a0zzRdaob
3Ef6JEjLLCqoqOHEMStIBT0O6vGLqGxcxkoDkq/gbu7cSdRnfvPDS7j+ZS57OrVxPEzP7H9LoFYK
g3xHhMsKW7PnDJJvuFfgp49RPEwDlrdtMc/zMPdZrQr/q1XjDicRnZoi3R7EOe4M3hMKkyqKlq8n
4jq/pzLh9XiMGn8o9ZraccmTcuozOKj6sgzsKU9c3JULFiq9Br/Yedxkn5VIg45scnJtDlRX5Evc
2IOkZubjTmdPhqwZ9a5S2Y8UztgVIXFaDEaCoF+GrsFoLSBBgNZ0qZdLdTLGRCYIod5rkEte7QUs
4XBGYw+gKBOHIVlQFuecIOwXBHeZuel6uInaNE8FnfmUitGKOH0/I0Hgu6orQMjUA5N1Xj4tO4p+
hz3tFlcKJkF6I9d23FsH+SqUstarnOU+k2iSkUEf7EMIbbw2Z4KvTFsc3DIWqZ/aNg6zoeQLW7z6
FfbJWbJ19KYEtfnN3vo2TvnJQtEXJ7SryqoeMi7knFzVusMHlC8Lf+Ds8J6LbywUfsF9UGgP06gu
26GfjX0/1GbuD7nsyHBcXJ+8hxthL5NEN9URsrhaHwoNm9GLMuG8j5v9UB8GF2kF8hXkn8s2luqQ
tBU0oGjLbmjittGhQAwaI+2wZzkzUz7h/FlrCuidsI3bhA5R6AslYjvyFq6kki6jFJs6XZdqYWlV
szkyR8EBvIXbW9sReMDmCciWd/8B1Puf4wYfQLuZ2m3Sfu+ywXbusBb0yz7x2IEHyC7GHTtXyzaD
3PaiIfVTQlxcCeDrHcdbK32bJKhYoININrHZHeqEwVHDsr+Nc0qwEk9lYwu8zF2We6tOviRF2nIT
uVSGOrFFQiPODmYU2l6tyae2Wuhnm8ByEzX2UCjmKtb1rMNtBunKSznvz5qxeKCXyznevrNVDHVi
xQrnjML2XeZWUj7FjVUpNBVd4haxUCq21MKouaZtRmsFDbgqpcanpfRdGQfTUDDG9NpT0aE2k7yr
DqNWlzXDW9w6EErG7NAVRa5Nl2lWLs+dbdlBTtX85sdzek6Ov+f4AKR6qbd5wbC+NzsbIWtGrtCn
BuG+PwnYGHVRORY0jrubPUN7jjwfJttku5WfYKP+opXlhx9/g++HDj23krqdmEPvMDgahOtYcEOw
z6t0dH6+WegY1xuA6sBBBnLlrsy7JtODyqG649RVK6CtWdzgAxrrSeXX3cLg86KEPT4mQwo9H+Lo
gIb6HS12uXEHxQ68THg7dgYOfw9V11Vz1GYRegDc9b2aF2gQV5VNhkuxHVWB0OseLk9FcSUUoO9a
34SBHfkyJscCF2v/tEIYvSRk4D5q9NB+8K59tYlcCVr0GfJ0GlKIourM90j3x5jZZShIENvEuHHW
BgiTk3d+Qm8LnEcFDkOB56ElyaSQhbFDyZcfjYXzpd3jLopzoCvjXc90wJBJDVLVE5Y2fztvyfCu
K3ncFTto9XbXemM67BFxzTkxUG+GlvJsMlxFOZ2GAscBSl4ob8+ALaFU1o/qTcIKE+mYYCvnt6nb
/GYakK1AX7ED3IgdP+6N7ucH7H8tVvwrH9NQWCagneoqhAc2E563r0aMO39p6nm0F7AR8+QCeukJ
dxx5s/bPkw12Bc8HWY3tR+gGzi68IPuVZMnGU73nHtofbEldv2o7vpJDO46bOexFme+f+nwz/qIb
YM09eF6tn2nL2LN5qKanmynnC5pDb0W9Q5OKMkWtYfv7EsP9ljf1uZHE+86owR1hw8Z2eNUuhxKB
8vNlNZTJfoR3O/OCkryfP8fACLrJ3o0X0DWO5Hwh+VTkuHo561o/J4YUcQssDSVxfVLzHqqjdUZW
dCPI+Ebj4nXcyINlD/aaW5uIpc7oDjrbhrAr0ruHOl2cY+57oRIsfN4nbbG7tc7GAZppXFm3N8tR
b6B6OC6wQyiuoAF4U36M+ybBMohHzQWbeZ0lQyJOrF6ai31oil/irAdMXG65hz0irbO5Z+UxyfcP
U0Ue8tPZ2d/zU8DCGBXG19bXmWi8eQeqavZKlcV6vVY4eaA4eN8jAjZGuZYFGcb65FZai2M5jXY0
6Wyh2H5lFrjR9sCm+p4pD1VzIE8o/Cya4gR/CaCuLzxfMajDkuZk2l2RAyi646pKNBTRFSXUTnLb
gNM6koDQTXwAIorMqWQA6AQajkAhoKszDMdxE10uJorf/jiS7pmJUEQnKWg5d7iDe6yLUU5XunH8
olcazv1FMTcoSl1A5fnpt7aIHGwLY2QCbTqg0x/cdS9+06OMu9pKw15dbtOjMZutMin5dAGaa5Xm
JY7brNBQSDcbKEVSj8vMMMUuhnlrj0qbqH0clQGQkRhw08gmP+LZPEU5TVkvIn0ewHijqHH9BKb3
nZ1yPV60hkTtD2moodugU5lxus6PtSHPJE+ejSKuikdDDR3ICs+NcE1+HKplfFo5N2UJp+9+HOxn
pv8Os4USupzLct5oAsGOC3caBsvSTTfsIs56gFKka5tzlJhMGjc8A9Xrh7HY4prD0lBDVwhZJDPx
Jms20lx4PXWXaGzipKg0lNEl2wrnhq01mamq8TiU6nkirTvF+SVYd9cKjd7RXh+nlpn1gpDll8HW
dVxREf44wV1uKXs9jQ3r9LGbx5d102eV7eMW8VBKt5XrWrQFJFLN5E3a+Q4d9oY/wLz3BWOAzxnU
+Tvc8AMQubmH7tz2MAjoKBzn82CB3aFJj5unwcCtpXY7dMXQj2luOx0nSIOG1HedrtsN7lzUXMNF
q36HhuhNbp/1a23i7kHSUE3nRZd3coRG6e2yw7HnG1ABPOCZr6Xa75BAqKVjYsfQnKooM7wldH6G
TMvhglEBzTbfQ6ekPjNc7zSV49zyk4Dq2nIYp5rP0MJyENvF6DUaTzv0vSfXreRkznJFjYyqwEMr
/rtubfREd6q4Oxm52gueT9D0N6njztVoKLyhC6F7U0/uRJe2BJXF9B6uVK4P+PWecA4b/PhlhDY5
cnOnTeI9rVFtD7KO5CdG7vqF114kdJzdaW+hRcMybV+QLePuD9FQdpPsQzvmDfWnAhTzR72U5QER
uL4VhcRQMrGD9Dk3M5CpHMgn19J3bUnirlTC35e465ayhR17PzB/MsiidB1IfspzkM5EjTyUhK7J
iKEJzHQuJ9mpuDIUKQ9/HaF23THuAUG0d8ZMQuFSHldbClgtt8p3h5ILTD/HPSBYeexU+33OB3/y
fTmcWsWW46BZ1LEHDTWhsH/gdKCtP+FzE7qFj9A2gMkosf/5r3vcSZgHOTOXT2B89tDpu3FsTPuG
xAlO4a+R3LXOSg+tGXznT6TCw4HWuEqhYvspzunB0tPXCv7IGs2n00zKNlVJArcJV4bikqxQEVqA
8BmxhE6nHmReaV/b4mUj6fRr1NhDQShbhoHi/83Zl3VJiqNn/xWfuTZjQGjz8cwFEJERuVdWVdZy
w6klm1UgJIEQv/57oj3+7E53T/vk6b6pykqCAOnVuzwLm90hkhjBZf1eH9pA3/ZgXgvQtcYnE1AB
7gBF0/RxVFv/ncU7f1tO/hoNutMGni0LQuQ4sqGAzjnkibLqzyR4Llvydw7N1ypfQ9LPaT8RcWTV
QNfHZlGtOgaWDuaYGY1T8E3P/zWYqlpJlSUdAhpNRVSuKa2LcVveBqYir/W+dFNx5xiuXtdjWwog
qQo5hZ9vu/VXwazv8AaAZzQHvelQtGruSquqt8Wa12AqqbPYKUrNYe2X9agakeZQGN7fFmxeg6mC
QrmxG28OrtmHY2L7j3vS0Te+0leRbG9Utk/o9Ry0aHihhq0rAEl9G+wfU/3fRrKRB+64qPQhUpEp
ul2PsO4Jb1NuAgP6t1evsmwwScf0oXVzU+xUDYWAtPzbjr/XGLAlCWg5m1ocu27cP+yx3p67ePwz
rffLGfc7O/Y1Cqwi3icLwMoHahLwUS4xXqfJn/UI/+jqr2pdONygXR2kPGYRWudr9GMaxg9v2kiv
0V99kiYVDC74ETpf1ZCvOwB+rtns57dd/tU+TYaJTHts5JFqNQLD2m2suWXJMIq37dXXcl/aigWJ
k5ZHaZO8k+n1EL/x8HsN/oIQ1+xCikurDKnwBQ8xvg2QSF4jv2Cg0FYNn+Vxv0gf9T7JiqwRPn/b
Q3+1Tbt4aNwepqyECtdpNPoxZm9TEySvYV8xBaiIKJXBNsxfdWN0m43tuzfd9f+CfEFGqDFkzMqU
LSq5yvQA3nXj1fLxbdd/NdcbdTJ3wzLxYzYlGzTOM5tdX6h6f6YneNmMvxMCXuO52qjXmfAVOyod
2ZOr1lXdWx7X9QE8VV6da7X75s7t1f+huP61Ovi9D7204v9Hq5eHtBrXbh4uPmp+3IpkaIdUH/oe
u244NtXWD/k8KfjJ5COZcbZvXTAjP0+DZo06orDuepUPe7+Gc1OFqPpGiAfsbowBae1z0oXd+xwF
j55ve5YIfbfayifsvEUZn/vc7EMdtXlMZEvq3DiuURRNDK8up3Ke6m/aNGpJ8qznrTqTvYfccxlQ
0PO6DPPqTdEH0m3vISHn1zanPTx4IPMd2s2OeSKXiGW5DNBu70+J7hm06RV6lk7l4BUMC27Q8mn8
qFOF3LHjnfhFaYW/Ngtc20oGuC/JFzyhvlhXn7ZXe1g2ZlAvEzt+m9C05Uu+GVgS+pwKVjdfxjbr
5Q9VL3DiAZFzn4zKofbVhc8XkN5J7yps+QjRKFt439qkLzmIk9Vhx8gmPURptdmiElhpsliZD1SV
6brT+CYRK5PHli67Ai9snsIJMv5jwZle2V0XL60o45Z4UjSczcjChBKlUBDAzbe5ZvMI/GY3NXXp
JEosXqBDssFez5l5NDwXKePgjaztVZVxpI2IJUwt13hbU9PmRiCzy2USDapc1Jh+nZ2CAWDYN/5j
afdAjtpMtL/fTSrYczOnnN8TVxFyu1eNWOpy2MFRyY7SLwkUEXbGl+EODA2B96XbVuPm6niX9XKM
oWqMbEzF096fAoOP4fdZqHaqi2lFM/jMwUCSH5KNbzYUw5jBSawW0UUGcliG0UdgsewAbUFBhy/r
cgh4l9N0TikaaemZ9aNo8p718sj6ZiwmtnllUMCGyK6XzHK1N/Fi+4M3iFH3bKqX7sO2pfUosBym
dDl2hNqtmOomS6ES24ShRI+jEV+EI+N0I7cdTaCGxguMCr12aObnUlCeIoNyjhBSSEpI9y7phWFH
CKz0282Y+gRd7dhBW23HmNmtNbhbcbDMAcnJILIWD8v3dIjAmTErz/R7TlUiyqaytPuOPogYsGlU
Nq2l7ehk7/slrtkHwLNmdewCB01ITvFEr3capf1t0vh+/9mOw7SAMWOiKbufsWmbw6ibkJ7hKdnN
n5pIiThFeOtrRnOuMqnvY+f65HsGR0QR8qqWqr7yfl3pdWzabPrceRZoAc37GGz02pNEQtqZsuFH
5Xzd13k/9+I7JWzWn8Au35sC0yWcXaBKTOEOqD4r8MtTlP2YOrPuZ5XqED70e5wkhW6wk350GZb5
qe7T/d7JuD7G6Sy6B2EWzg6xaHXzNPfNtj96cCTSCJNo6AaI8qJEzM7Wu3H8pcfkprnp2EzC1TR1
Q3U1pzIxN8sseVp0GcnSL4KlmfyZ+L66B4U8usYYaf8BdojKO0/rsoZAUFRu7S78NUwe1v0E8SDy
eZBtJks9gOn4jodmGO+TumqTs5/aJRyiuem2kwwmZlecbX38KWZVXz01s6x1oYOLoInYxRI+nVIx
GPmtu6Xmzsa7i89EMz18hLNGNT0sVPLmGDf9xEu3dStip6fCNEfgpxNzN8uV/RigCTAWFbo0/qHZ
YoNQ0kybPzA6OVOXMaZV603fQeD4WNWLBkMl4mv9oRFWZmeltWa5qyLDvjeN7HRRj7Z38KsckyqG
OVBGtrMdlHWl82kclc6OaZKPw+71F+Ik7qCkcZ1AznDDXbRRbU3ebZEdD+NFkieHoN3e388exLQD
1cZ/TePgGfzParjHFrCCYHdIl+qXCluYF93QpKpgytPpU5jhzwiBI6UgeZaTft/bs3dgyX4I8Kcz
Vd7Mjm+I97v205R3Dse0z9HxXu0Pv6yEPsMjw+BA6KFWI58GXOXyIrVbzAEmjph0HkafKpqD+znS
q0Emsj+sa02GkNeJE/uN32yNDuYG6yd5iquAHBFMtqY5W9igRflu2jZ6z2hv0rLJ2BKVNl4TWfKw
792ziXfSnVa3e3m1qCmqytmnVbglcNd6jBPbte/RRU5Dn7fD4OQRqvG1u5Y9Kpj7gC6EOGZ9i/PO
VRWdgfPOmu1W1XHXF9NuEldk2vAIvAVjq9aDPbfb5MnFvQIZY4Sb62O7xTw9TRgZd/cTlO7aOV9D
Bocb6IrDO9bI5JwQad0DtXM0fkvbTQy3bCAWa2xs1ND8JIPYsRIUJNvsYapFux7xzbbuQFWf2Y+s
X5vq2tZtR84g0bLhbjEpTLEOCEcDK+FlRKqXHVLJ0DS3TQf31amta2CbQWLCGoHfbnfddC7ok+4U
AWY4BYY4PlgN18N8dWFM3+MzxfOaNPBWHSAaD066TJspK2bIL9ZFhPhUFVult/ddyhw5CanBdaHj
CLCqWo2IiqAXB883M/kNBJKVJwUGCqJ5xO1S+gD71ro9RWOaYXIEq9ho+aDUPo3XgO42O7Kicd9+
4NSwYw+N1DhO3l0mNSQuSDPz/W6PZaYsIvEeqrPo8OohNMvgCHbrEZDnB7hfWHOOXSPdaXNM0svJ
vTXQBKjxGK3NncQuj6FXV+9LXcytD+EdkdsgcziNCXbkmUJ8y3viO/MQu0TM33Zjddblg1s3eg4Z
ibf7DKu/+dzZDR4x+JJkqh56tMb9k+jxEK/3tDNbOZKFuhPO/0jXeLipWg9+59zDHhj+uztepqnX
4+r7SH3kSXDqccUzW6/nDgi8h25tm7bIumaynzfNU/pFpTwIlUMhLB41nhQZ6p8jNFPjR6jWZ/Lb
BOWV/us8zH2K+gqCiKRQXdrxk+LOBuRvTSzYlM/REnAUDhuOD2R7kIxlEV15aSHSMAXARnn0Hary
IStiHOrdeV/m/gNfsL4PfewHVrTbjvmL4mP2iabARRQkiKorUItmHJaFE1+u0oFTWPqSLVbzvW7m
BpTjBPKdRy27YbojSvtoyBkYWN+6CTa+R5q02fqQjLGB/i7mrPJDJkbfHNcBTjmPc9qQz8LC5aW0
WYVWgGgjx+7DqCt+jE3n0wfMn8j4NPTc7jdJN84TAmaGvQFYPIBq4qqHiKq5q9Qg9VaILKsfA5Av
UbGxVq1PdvczCNHgvaa+gIxh1RdcJq1+6C16THmj6mE+kABe7XAERS05iIqMY2niKsWbaJshucsW
fXFyZfaS/AigfZu6kGKlaamWOU6WvN+38KkTA1ST8l2B+PdBg9xGnmvLplszLsi4iqbuoiLpoAoX
CkT3NeeeEfcpXSB7cKqZ1zjv+RYjTScg8GqXB5JF7tziFuJ3yzQ6XqSUzWUfmmW86jds9S80Nn49
prwfEjiTGEieJVlLREkGIDFzS5L9KHEYeZcbWnX2fgF0So6FYooPt72twoMIFwPU3ezkxgrRxwcB
B5sNxyhSjtLsGcK+H9aoPvdspPDHHqpkfRrNkhRoS8/p1zBUfi0q32QnpGuwtezBopkwdcvN1jWn
xmkIa2TgVeOwJcW+O6nzCWZIrHQmTk818oFPXnFyU0NKSeVMdrMtmiRlNTRbdZpPU9axa+Hr8DMD
+6e7S7F11NXe2V3ezVFqHmMPiVeUQMTd1kykO3KnJDOPa6SBJHcbLxho5HdooYOsDXdRAjVyMHnv
ghHpx8lH9aFPO9bnSm3uZu0H+VB7KOiXPZZxQbfFF2lTtacsy+TtwupwXSfb8DXUa/deksEUbcze
DdSoj7STo8zrWFvATpah7+d8i1vpbQ5D7yYcA+zdwomtaf3Mkk1fuy4IWWI5s0Lty74dR9PR6wD4
YvbRR4K/rwcP1EKZupFHp0rx1Q95hZUrQJMPTfyzdVVwHyllLORrqzYBKGey+lC2Fz2A8xC2HbIp
wiRBw1l3nm2KOqYlU1fWbE2i6zXJQGgGfdrH16ZJKnlvo8264wqef/y8syFlhQzZ6m6WTNP6KzJX
NR+oS6P0pFvdZrfdtg5wY63Hdch9oo14Jsug44eZLEQfINMQRkgSWNacp2iVw5eogZdwV9DQ0raM
bde4fKEtUlHpFt4WZkCO4vOKRIQMeaBhaX9sgpL5dt2mdf8OUyqPdKhxgmJ1D9hbVOcdCEPdASo6
VXplxNB277YEtf9hGjOijo4j7pSoaGp+ni/wu8PMVUoeQKrp6A3wsyQpE7lReU5Am9p+acEPUA+L
dULHRZD12lzb2ZKY5RAUEZhI7V06hHcojXmKKhiQzf3G2sEiLjQj98mdVtiS73sUq/5LT3t5ziZM
JYhVnn9JLOmjrwozLZTJ20ThUogmdFNgdSBZyqtlRXS3ZtnKVdVGfGLg9Ltn4RHbP1s7y7QrKZ8j
nFfVSKP1PfN7t9V5lKac5M5VRhWyIkN6b3exhV8y0P2Hn6YFm+0gOlj9PYWh2SQEB+hkHuHxTPvt
MK5Qd72SbZROjwy7DBExJmYWCE/NxtEsbEbQ908diRt/In3Tx6rMdoMUIB8YYzVk4CfUH8j4urkI
q77kIrBxcf5d54yp/ZXs6948Dzaa1uPURU6erZULxRvbpTflnA7b+rWXFFwk1vTSfnW+n9ejrmMV
FbJfkpt2ritWzJg9utvQdVmNV8JbkAEtuuyF0euMpHRmkJN5Xnao5EIIYK5upzqdr3y1iaeZpMEh
O6D7rh/CMAy5gZ9mDlJYvRD4i4luOgYvaChqWJAu551YFGiNXHhunZ8inbvFefuOJ543v6ywNhGH
vY/jpmT+cq7mtYXHxKlCmn3bQpoLq44kilxXHTxNb3Qdpk9S4CGUxLksGfK4xZT52Q57FyFLDXF0
te1Y11fIAxJ+7XAEdN+8J+0VSoBEfpkgcc6bgso6bp/0SpsGktCJYu2SY5FRUghE1YBqLgJxbudN
0t6Lzsd7YbDhP/YJVYehatmIrVYt11OMDsYd+hWEPopxY/21X438jk7MZ6QeLmWwVGGAgE/wiEmf
xrSuvkLPomvLWiEotp3p75yLkZntEBjx54GLptB7gOEIEPTxqeWGDHezI3a4M9Vibxatp+4bHJzd
SzT31pbbEuE1Zht/7pfsMtzpBc72LfPPDLmEK+t9Rq4OXJPb8sFzdQRZWbK8075GbgDYwgqzO7Gh
X4tIaNHfcd29B6AfFoni0ukB8ds890jG8pQCgX5GK13aWzKLOXokHCA+gIL4WK/nldW1G/BSlhBb
MLqrrj1sMREdP3SCte/qGd7whwREgfmXbU37tYgadK6+Qu4ADrKGCpsdxiYNKZZmm743LeqRqzB2
Nk87BFCdr4uBi12dLs0PQZVNn4lfmrUIyiaodng2rFverWKIvrRtUn0Xl9TkJDawzD8Gpl9cP7gM
6a6cEySzKuuXk4QniCgkM+plotiyuYBlRwFbkDg7DDITvzb/erLjIQRxgL5llaGUgan6cUu55591
HUnwj1tZoTMYSQVlJKshxVEiKVH+mrJp+jEMG0kQ57KmG5+h1Ca7IjWNJ6fOZeEnSud6vzFDWr2o
ZtglhUF3WNNb1fhs/hhVMaMvCSwz6E+Ulg06I11Nb+VkesSOuAlFWiezfzSy4hpUI8yWsprV8WMb
MYZuNlKP+IZ6CIoe5WpYWm5uj8lhZatd80Et23toIifZJ23k+i6KMvtJVDz5iHG726+mCnyLUzSh
MN4Gta0HlgkI+u7dqj/hmfc3Y9ID1sY6OGRD4ySbzlMj5VxQPSqf66jqP4Opu+UzBU9G68yzG7Pp
6JEzv90xuTfiOFWQGDkMNGxXM2wlrhI9xOcMPsaIeSOxz42saXjQ9QT28LpC7yen81K5936BxOtX
aHCgOLPBZ81ntIYJz9ka8BxS33UIC5IkZELGwcE/FrH72GwMSSJBK6GukWV0NII8LN+j0gAGTw9U
1OibePifw6eEm729SnWsnyG/3vVPqZhAAt/gwPDU4kZy0q6JXgqE7eB8btAbIw+6b3hWEI3b+ThN
lZ+O3Vx1TZFmXPvvF6zreRoHpW42zvcBn9FH9qlPMj88kJp7JGyhJUchdDSdAKHk/h1a0eMBYWIc
j4bSzpZpsw4J4HJwbj1MPkYQgQ7MNd4F2hGVppNGue0BWl5DcE82arq1GOmSDNdRtKr9CvJj+8+I
wjYpH2ANeVPv04btUwk8jt7Hh15mSzHPzl+TKUHC2bTjTdANfQJ6eQZDAPqO6HNAqIFkvPoc7YCT
HwUYMuEj+kzbioPIxslPJ0ydcnjg9DvaA3ZY9HgeMaFovzb7bFWBNwXCu+gbZOaImMOqimauNPTL
IV4k7yCRJnghPdPLeZuyGXb18M2Gd2m1MtHmEYXs4dFLctmEUbfWNdwVZ1RMCD592e1W+rMDKUPm
6bS5AdsY866XBWdnddbGxXW5QlE7BhJTpVnyPGXI0MrVS9MUPFsZuD6Ohf65ZVB6KWPozbefBzQ0
slyNS9N8jLcd0aOOIpZcM54oWiiZDmk5oRu2FtO4orWVg5e31WUHHlf8kOnZiHcwBGnXPEAFWh+W
UNEpD+meIYOROnE/IgNXhZyC6iHfwctm5VdN0J7/YPhS/pNFgspuqU0GXmQD79PHofYxRJM1ioKm
tUo9BRD4+2Pa2ViFnIJsv6KB2Yx7jULdoeWARb0hKYSveTXDjFra6q6Z4nY/J1m8jXdSo0+bM008
9NJ1Y15iStrmPt2rEVCQKu7H0yLWKH0ERY0z7ClDdo/5zxj0Ef6N3hwBLtKqwFSFLt9Hr2wEg8Td
iXM0oJ3yOR7U5Q0xFD5lYqTuwPtDAabuF/QP+wL8CmeXHJpDSXoTs5SiuKQuGk8tcBbrd58GacuK
scpdecRrXxqqdX8YCBFzmcKRxvX5bFRojqgGB3lTZZBfA/hyuNiDwS1tKrumldt15WIuCvBEaklL
KDHE2FBtpTDPxih0qq/ZupEdOYvT2QlNggnT+hm5XY4+bNLn4ObtXTljGQzHbFuS+YW3tB8i1A5J
5kheE4iY/KJ7NYDP1WNC5nCYKuSJWRENRl6xVKdhO/eJIOIZmtHK3XqU9pvGF2+zLkMOspHpgfJ2
2D5F+DYyypvEkWk5XtSsUZCuYl+z++VSQd9U0dRvSL6Al4XAVKjq+iGoxKJYMQth2OBZj54VLzBr
oahWY6vk+KMNqK4BpwpcxS/GrdGMZIBTFEyTA912hVvNZK6tnBbxQBE8aqSKott/9g2mEV+7zk/9
MauzMfJ4upqMMEtmpn2XId3HXk4lz+hRIzWaXxqdUS9yl0ioNXueLeJDgv5cC/sX9P/dd2mypX/W
0TJFj1ONgc+79VKoQrEgiCEt+DpD1xi0OW2Gc6Mw98IiyTQ5Go7Chx3go7jMNyCl1tQXO2ZIEyrd
1vCWlzFlTtx4jUnSLbJrwW6RFmX2/Th0vbnmNfHTOVpgZv6VxHEVF+ySsx2XSUVLPvDUR7dTDIGn
d9FilxYxDjL0hURmPB7CooS5b60D0UXRmK8f9gEoskLEFkOelgwjJGZMHbkfglldfSDeIviP8Dfo
1v062uGvjZQVuobD2euaBORT8KAuEr655RSmUZKTQZfdXw092+NndBUpvW57TAILHSsAAA6gbsZG
lFibO3pbl45adJxNmi4FYaqLcuy5O6ZtyDBrpJDHOMYJoNXzsY0SzHvYiBFPyAdYrIk8zJumpWk4
zU5uW+R+0tkWxSMk3VK/SPT0anilTYtMuluaGGufqYWq+guvs0XdIrFt+XGgzSLfe4/RTDnUoqvB
TgQ49bEdx4HdVPUw9u+9wIO5Cano7XW8wFLnbsW9prAcDzt97Bau6uutM7L/iEKvrdYiXpAtz2U3
CYW2dQaNtjYuFmxmHRXQ/mBBl5gDciGPPaDBFwlj/gUKhrFNCikhgKkOCqMgu5yRgBk8WMc7bR5x
To9oPAOMg1EacjcZ3hM8dpCrJG36/SOmJ9V2XLGTj3Lf+S2KaBbdpFElkdixGOp16WWMJ9KruGNM
X/Udn+ntPkwguSZpmNwX3y4SohX9AumQo6v1Fpo88YxyzDhTgK7i2Yq1YGhs2K9qhWT94wTZBZse
L1KvCXoaG4X7ujC7XLtCKu/7MihzcZRzlt1TU2XjOQO53J/mUS+krNegx9vUQqcGLdIY89YpGL4c
WzTxkzyySRIdMaN0bTmIWqLs1LPVyJCIasm3jcPm/aba6257giRD5tB7byqz/yQjJfV33U/xcI4J
qI7nGF3f+Q4EbeM+DJCkRm4z0my7TbLIhl/CTDt9G0IdWTT4tlQUu0Q6kqO/vGC20loLsN/ssrsl
VtYXLsA49GxwC1257GnaF8DGM8zMs+yCaFzFUQJMej+scAb+GPu+tnfG7cl4zWF7t1/eNq/AdZAu
wLrd8qz7jjZfRMqOikhbiLWininsiNWuDsisexyQCKSXMt8b7R9kZFZShChKDDaLmA3oEppenqDU
aFchkzBUPli+DhGY3S1vfy6X8/EnX8BUh7wBrc/zJEOSx4h3w3tiTOqw92qqZpdrYUH0R4sJRlG8
idu4JCmNAK8h9Vzdpw13/ogwCi3EdRjb9cV1m95up50r+slsC8tQvMzdch0C37dPgiu9Plw0HMnJ
qqXKFcRu5hzZaH1pluttxZmLAeajCEHya9uAaXCPQYmCBgNy4x2trblH14rCuDKj7huIq7PIQSxK
/WFjukfXzszNE2ASCTKiFabMTx2QjTgX4bEB7Ua5iko+cx1LgHvHGPOs9WqszDy5vAXfL8snARwB
KTD7NssLGkk1mrdo2MTuG7oVexvlzCF97XKKKOvQQxwmsD1yiNSj7jxuoIfCHGjcMtZ8AcM6LCZf
PExs5iu1Otp2hZ+hH448NGYbTUpDGkA5yn+1xkGeN6LiCpMq4ooYiCCbR8LNVQGhZPKR4Lejm9U3
tT7L5tL7rVF+b/oSM7PqYUqtOaBbsC/AtUZVdP7XatniLdhsOEGoe9vKmHXTku+hoQ8YWI1LySqQ
v9+GYHqtLMRCNqpptMMhlp+77ANb34Znfi0oRAeyYlyD65L2SaBp0dI3Umhem85NEDyUVcv5Ecdk
jCaSXOM7i2ht/4TD+weCVRgZ/Bbpg1ZY6oBIw2Qiwv6bm6l1N8pHE2QErdFoOKVrB1sALuf0cbNo
3aLA6qK4mKIN7+mfQ6guqKLfQxu9ApbVGNFsbWT4cYKb6VC24BHcATw4F8jXMH7ELE6c//kn/RGY
6hUW1MwWSw2Y4iMEAWb+3oWpWkpdI88tPU4mqJNCkWRAVrqF8U+e8B+ALF+rE3XAh+E0SemRCXhy
OMjOHGb0mv/kC/3R1V+hzzQc/SxvJAVyRH3vTfLsha7eRh2JX8FDkabPStcVPQbYfuSNCed2Gcgb
L/4KYeaSxI3TwugRPegDBqltXiXoPP7z1/xHT+UVPLTa1tZR2bJjHUcWZ/pa5UmD0/9tV7986v8A
x6W9JkAH4bmku4I2r5Nwmdyn9//84n+wQmPy24szkyivtw7LpeEy/WnRU/JFzEIKXyGRKp3rBWjs
E3glVL/Jno+8VoRpRO05ZIToEXao9FM2G3vfJWiv/vMv9Gtw/Z3d/VoPhneBoC1UZ0clZIMOtByD
x3AF/72ExLHnDJk3/mbMkpFdtbr70O3thwQrjZ4q2y4NapW6OcCd8ee2Elg3544jJfvPu/u3H9u/
1y/T43/eh/37f+DPPyaNYr9u3Ks//v3DpPD/f1x+5///m9/+xt+vXqb7b+rFvv5Hv/kdXPcfn1t+
c99+84cD8nIX3i0vJjy92GVwv14fd3j5l//XH/7Ly69X+RD0y9/+8u2nascSRY9pf7i//ONH559/
+wuXSMZTBLh/+5+f8Y9/cPkSf/vL1fTtd3/j5Zt1uED211QyCjgVwC6MywuL27/8+hPyV0YBfeJJ
Cv0gkl2IJCNcT5u//SWhfwUug0mZcJSb4PFi/dpp+fVH2V8FDr8EvKEsweWg8vJfd/ab9/Pf7+tf
xkU9Tu3o7N/+8tuzgmeXG0MrQkARG20eaIj+dp+g+7uOdPD+0NVALG6+2Y9V54CRT5oph+jh9icE
/EvI+O/V+1+fhw+kNIvxPF6x9Iaa2J4NMXxyMovcNKt/WXdApYKP/ox7Cf+7//1ZVMTY3hLTaE5f
S84hKqaENI0/pEl8UQ2n9P9Rd2a7kSPJtv2V+wMscHBOj5dkzIrQmJpeiJSU4uCcRye//q7IKvTp
rotG4wDn5bwUqpCVkiLEcDfbtva2JmyT1DjkptmcZZxM5xF2aFdwHUdJ2/lfTsFyk75S8lAiIZZg
E9I4wlE12rUhEjKQftK9CLYcQ92yGvvCoMs4XvOIPpZ5teOwN9yYmYQiIyQo10K5lNv1L400ncDx
pPFE5z0QkONmrXEaRIfAfR36hSwGjqMhd8UvxPF603sziqeH5Pg9Ki39lVwzAGTlWlEdF+sdNYTD
XK9dkl07jXkox2G6z52V6AHd16c9W7ckHVzq86OMNBovmNDWLDDTluFHlhRuEqDRugI4THN3zWox
s0PtIft8ZIeMCnoYijqw3Kn7phtHbOidg5vwPBgk3W40t7qpFuepsjPZRDK34uOaaOspgwS9I1n6
RqXmsBGxPoVJ1rxqZZojLZj3uSDNsbLdm0VRJWcARkHbdC1hvFp3A9mH0XQcIQZYKBEUhl8Q5ULS
eZAxjdwYmpJHbelfMyb9AcnbNJVtVgeOq3mwMe5lqPKcRgKYIpWY+Aw1bGzN30xxtexkYt4bHZeL
qT0ANUcM0/qASXu681ANoqL0D2ZrTCH3Ed++6/JAN5Lv617RwB5z/iVdAlef630PPhZOhVsFddrr
kSP45qZT6tHk6ffgt30w1td1J1XyMzFJqSOdNoJX+JhjHnWjL7wIyWmXzfo9Vj0Cz3hHpZX6USzS
x8HIk5DG8wvN5saQDKXBKEPoyJ3eMJNkW3UTmr11H1sSSLY0vnKn3DI6gckZh52l59+66ciNjLtX
m/9gj9kFHPZb+tlNOSTHpJFGKCc6ryltH5POIUiCG32ZTmksd4Ol3ZAtmW0an4bUU1dYoo3bNrnJ
LTHrUc7estt2sC+ZVr8CtDcwJbR51lycdF/9coAdI6ngbiWQJXyHByeS+BX80+zTNxI+uno0p5nf
5sEovIu5pMnFitUHpO2LSkwHixs4hLRkFjqxhvU8YaDrEjBADnpQa30cmi5guoyrQDnJKYklqeud
+Sp1nxcQ0xDGfLtizj5iW1yNDwNDaMsNmSoEokHQLnW+NQn+GkjhMEXoU3PIL/Y+LRc/jOt5CbSi
6IO45IOKu48BPNhyEPfu06zzSiu3vJnAvgOhNx9+Qr7h7/vif/raPGef4Nb19/D3e/Nfrtr/RZcr
svz11P73V+s+K39+pj+L/3PX/fz61af/fM/+9Zf/umX9P3Qd5IPr0hSeztX5j1vW/oPO1hP/uDD5
k79uWcv6w7Rtbj0Xoc00zWuQyF+3rKX/YZGt4vmWY0CRX//ov3HLmr/tlP9878GAGtzZNlnJJt3h
3331pltAz3qDh/gQU4e4/YII4ms188Wl/UR378AvUv+Z5ABv52hziZYfD9gX8vhgEmH2pXdrtQe5
ZURjDrdj6Zc7UQ75e9FJGr7VoaBTg2w/24EJsw+bgoSzJBct7tUDBaO2BTdJkPKyoftiw8uyA5B0
H9AgsnmT6o34jIsappU1GQB4Gn5WfzxnuShOXONGNAK2HtqVWDAnIycGdmabNf4tzoh232AueHVY
dPElr9xMkILc7DruvK1VGdgdirxQX0km4vffoMHa52ZkO6w/XXt249jCX3aLqV/TW9sxSszi7C+Z
d2vBj20WM6/3daobUbuMTjC3ApJg7EHRMRls/BwOAtbGWXYxovUarHHW/JjWuv6VtRm8s65Zx9Yb
n9Ze91/MtfcY9LcChd+eMt7VmoghL6uv4WqM1dxNnCLmBkuZTzvUKBUOtSlfeyiAo+Wp4VhJ87OL
y+kcyyy7obvut5nr9Y+4adIDnKAbkj3GmCXBTPNBBJb2YsaJd2qzXtwkXh9/IHYBhare1r6nxRnO
5eJNr3Vulmd+4bxOe+DIufo1bF1cZjsmW8D17DpcSE/fxLr3zb1XRY6TQtEW+JeOrWxgVgrrcy7n
MgnWwkM3JTyPPSmO4I3SqkdRmlyMa+xHmEX01wlKGSSmaPe+PdVRM0rjTInU7xsTsXq22EBCe+0G
eTLYARaEqbk6DvKTrcXPaLpzZGdG+ST0YghQwGBn1tR6U0sj9yOj5XASbnkLZp27YeelM3PsAQeF
OUNfsHp5lq7JUNvpNqWd/jJ5S+Igqxr7YhhTjkPGA3CM9Ztm0MsbbDv+l92I5IeajASZyyqfF2UW
Ry+Nnae5qloyHpTf3jDPY9dKQ4HRtxa6v+ZrV/ubwBkkurH56kV/6+PGCI0xabbcVOZltRb8G7Oj
LqkqRvBNk6c20/3iB9lfZhsph8UtWsl7hoqrRxqc5juG5vqkMdR+YFmPe1qzxoMN0jtw1/yrFdeC
AlKnWVzwlUZxsZf2FHRacrK7JY9mW6Y7FWfVD8Nb/EvKqxtCSK11Q2q6QSGU5sllqPXkzloNEQ0p
dSufMmw7QYVhZtdb88QuJn0JxyU3QqTW6tNb4VRxvWjtXrM7se0UIq3q5N061p+9oY6eBNDV9Dky
9UHbgmafS/TRPXIxkKruPKW/w1ErnCkVnCM0o6NF/3RW/9Vs/HNz8dtx/LdTz9QFh7xhGz6H8N+q
/dilUK57jgPmSdR7k43vDYSCUFwex6q5UUV9XfZrbq6YUaEKK93UqNkXwZZoJpFxNZ6GdZq/4zId
oyqtipM/WUkZZqYmAbms6rVucd337pxZG8dKRbkZBgDdYFhW+cDmHT7P8vdn20p7SxwqPhd4Vq7n
wgxFuITzZDERgzGW/yHDzP0dIPPPr92w6Du4eWg9hMPl87fOivm30D2Z6DvDTh59cEi3lNaj5ql3
XejUg5DRoe0m7Y2L0QbInt/x1ptUw9NAbLNLcY5ZeWOvaQ3yuMZqBzzDyDgvpl/SGvGVlLCcbjvv
hSoOrbW2KjTH7t0D1KxTFmLaVX9kou+FUmafbavqkGervFOsnjsYut9GxVKMR9/o06PZ4hkNe4JC
N7KT1qGaOssJdakPG95HE4pX5hGwTbazfVXesYTCf689Wb0vE2Lq7BTVh1la48VGAb0UCbaZdKZy
rQfQoloDWHBKK75bymx64D/dbbcykswNK2Xz9bxGvj8AzhGMvJvHBl7Hma0b05uXQ5LCMaFwD/E2
GczkcWGeMQXzmvQhP/YcWrlMt5LV47tutqk+uWQ3hUU7xB00ZhscG93zADwXJZbfPOdWzkp5jG3f
Duv9omsI4mmcwbKYIOYMYYvECcfetJ+1wTZv2eahPVrMvPYEaLO7cPX0+leb1+rZ0Wrn2WaceZfG
LbyktKejvpbG3oKbvYlbvdubE44fJpzDlHqRS8sPCtarIXBHQ92b8zzfq7mULEWsxjZgDJ7tUjFV
/EZAPFnK2D2OZuGHurmyHaA2zA9GxvFTDZpEsVr8SDEdWCErooiDGgjhfy/1Zj6vljncrKgLO5bR
Yn5LGBmXbAHfek6R3bj2AiHbuR6zZ4M5e5CUAHp6NzU3UD3xba/Nzb0DC9bulJEse7t0isgWVrXp
unnc+NMq78Y5rc8OKnOU9gzZy8RqjgrF4z41OEWKNqZccQ8aiRuEsd8uZvpY+CMWmKLcaclyVr2j
7XLPnTGEuUAWHFX99cxKHE6v+HqOWYmR3perpn171xNuup51IAdg450ZCMTIgKGDvVt/H4zj70OS
k0JE4/Xk7K5nKJYtzpkiM1cOAhx/oXk9b5fryauuZ3BnCnWs5poztzHb5bW6zurMeeFEN+r2YXLb
+oQzbny3Z0eP6sJ1I8lq5W35+2LIr3eEe70tjMIYsDte75A2kZm2d821ysLh9xWk+w3tv6+BVBGu
17pPCybB2x4TWxyp672Wdak1BF4Nd7brda87alPTbPvrPTl2+Rrlv2/Qqkm8j7nJba4KnmkUBDNr
Tk1RTpyhLM3ZA7bNO0ygQJjd7yt91Xt+sQzn0ojufNoaOJth+Ht+Re7vqmG5FhAalcR6LSmQmSgu
pDPnIXG8doS7Ulx0ysfYZ52pU6ZDFcSF521ibVSnsjCaqPA1VqHYFbbbqix3mNpSut8yP+TjaAJt
e6kgvdEXeGRr0rR8aPezbfb5wcKxec6T0nxJa0dcht72HqrFiMug69N+a6ad/6uF679TxWx/4gCZ
7rJ+yX5o5GM+xlamehyCo3sYGCxAcHWaikpdZLeO4cNnZFlqXUjFGvcdMOmZmm7JODcYugfU9vZd
Cf11bOKmvAwjmdoBUFL3obrpVXeaJvI9bUlDaen2FobMAK+d0ic34YXndA2HDivPHKS5Mz0lvtcv
QdPb1saSQruz19o6uI4SjyCTzp3CkRoybuX5wFf71NQjY/Vah/2wtCwfSDdOqypIJw/S3gC7K3yV
95AOVbJxQLf2FJb6h/LX8ZPw/Ib3eJVZQkGaWNsZeUkPkJvcFtMcbyP4ic34nnc8LPCzHPEqy9OM
F+vot9O8R7lTx9zV0J9F1uGgbJ3kPks0/c1Q3t2aDOoJk0IZqlordlkVZ8d0NXrWhQvPuceuKt9z
yyEuU9dtK7C6cvhI7Cl5byCcNjqI6gavXrzjf/lgz1oMDWvam6GsnBOJDDz8mguyVrNs7V7DmxRU
4CI981yqQIyKjrjLeBmxzKvQZhmQV2ONrPP1F6gyMuBQo+xwJlpa1AAlbz0CRzY2YQevdS/FcVr6
8QzXNfM+uONmzhjO1rlLdLWZSl5A5bUb0CS1IUXXCQrfOfq6+C5n/2Nh08KOC6ygQYrrCsOz7fFp
B2IJqrxNHtIS+yonD4V1LPVnyPjIkXX5bIjGfBWtMe4nXAwvMwjjS9zr3S/J5z3ytZyF5cP6Xvn6
s+VgTAty9t8ebFGfTWe+zdF3KfrVGI5KORuJFlfysUr7eqNPyrcQ3WpHP3WNaA7w8dy7sbSPWEis
/To0+cbo7OUt03hO9VWYJzVrjNpSJ/40cQfvEvYOziHEFmX9SjxQMKtxDVUqvsYxjVn70GpbNqqa
N6S8Z6cGB+hyGiutfnBI0HxK6V9UmAEY/ppkQ7logR7cAPZz2mDQzB+rZkbRgULnRZWy3Lp4hXdd
bdmUxgxR+STaTha5fufwVafsZ5FNAoy66Y5mBsKSez2vfSriwwxND2g7D6Daolkg1AkeFrQjt9Lp
U2Iw3HUzE7i7a2KoARN/+1V8XQ7K981dZvP9lV64ryWVYLaJ18U/A4ItW7ux6q1ljO572mbGzpwy
PBCkBI4Imguf2m7RHdrQNIdrqPtDXvRvfjyeV1f/vg4HNpMRGz8ByNxbv425Hpsn9sIILJKMPR7M
pFvK3Zxl61dOrkZgpd5zidIYaqxfiVazMiIY+Rkcte2DJbXUDugnjzJV6M9Dolo7IOE3jdpu6jiS
JhB2YTb3DWACnmjd5/kmaGV4Qp5Yn6BEmyaUpMqFkGw3ukybKah5zXdFVZtnLERxoMWJc7YEcuY4
kxYXiaFjQ5Lv+tojart1ZxnV/C3kR9yvUTU3ymEh4Zo6txoD+32XScoirTqD8iFjtQ4iWEEkFjzZ
DstAyyli0mMovLul/bU4CMKAlhVUsLYUVTj7rhE1U3wzzPl6oSA8DeZ0wY7/6sn3en1A0QMQHoyg
rcz8O7eTi5QlVG3X6PeuHbdvPF9cXs4y3ILgJ6cCuPOVrZIYIzOQKDvUuGd3jEPGt9Xu5x9O6Vtv
EJv2C1x2G8JFiUOv6fmRm4CImiLWQi/NDVCootxUGkxOnieHocuzwAefC8hESO+zvHEeFgzF73ba
rPAVSXnoVhGHa+6wCKWSdrH3vM5euU9dRRQzVW9TgQyHZP2l+0TY5aG4MsrkcK3hqvnq0RxZ22xr
9bpbCldslVvne1HbNLIplSymt2UzZYbaU0PisRK1R0JGZ+nxnV1UzUG0o9omxSjwlhnpjw4P324y
BzsEkGr3nuj8fVIUTPfqDDoni/Vxy89gRi3pJJupGfLXdlrsJBgU6DcjzYek4hAN+lpbt9P1wvXw
SuwMQ/4otIV1rPi3dzJuKMgkg53Rzen5hSOe/A4gdh0b9mJwZsBLLgXZSFmNWX8otBnjWS/5BMpK
58AmDQvga+STxY9Sh4Nf8jemAY58iSvreamyPtTE6n42SWXtU8kJEVtlH/WDs/BRyco9S6L4mauq
CwxP5jjya06zeW7nMJF2tIwyPpFzFJ8rdlBUfvphI8zkUj8kNX8jjU/sypaBKZV1zS58HcguJIgD
zruw1+WIwldFlA8P9OWh6Rcz7y1xcoGjxeU5xaEbljNOV3SCdZMpO6VNylx6c08Wp5QECd6CmDyB
rja+1nHKKRj66juNZ4Ve7GUHz1q0sNViowG5H+ojC1Dkl1nU8hpG0l3pJDN+ELjYzhWF9h29ynAS
JIkc9AV6MrAxFTznmpjCgWnIWwm3FppNUZ9yqHb6vybfN7Pu7XWLvRBi6tqbyqr6fZ/NYQOGpavc
LQKCE9bt6ubE7gyG9WOgXbsbtDwNqsmFAyrRPlJfDwirZyyUy1Nt2kfV7xeP93Os/Le+xRlEQMqD
WU3+Lp/d/NnRC3FoZVHcuAREjMiQ9iGe87vEcub/xKOY/8oPuOLaCtsCFtBwdd/U/76zY84r1rkx
/mQbHZmoNsbNT1zQToalovL8wO/of61CJU+JQ7A7Lix/rqM0bbT7ghVDH467Nt2mEJg0lixfYaGu
eiWaDp5AEmixnBrpKrSATGIUTt0ZwdI9hUC41I53zFjQ0OCem23tT3Dhf1q1/9+kxzMMNpxrFPi/
l+T/bzdW/16T/8cX+FOW990/hGGbvu5Z9NlEsKCC/Dn89o0/kHaF79uG4RpM2v6hypv+H+gmFO62
ybMiXBOm4y9V3nSYmCPz+3w517EcIuL/G6r8n1TWP2k0GJx8H1O6EJbJRNo1/qbRcKw2S4YZ5UDC
RJLvx7WXty4c3xCxw2RYUBjHIt+XHN1jQFGDLTXzaNmj2k3Ng+aJfOMYZndY08p2zgyZqb8mlfHP
3uqzN0RCn2ody2VHJF+XHNealKHK7kxsYrNuJZfatkuCEcTSvDEUT6uoNjJOybUyEieQSdl7Gzbp
us/9DPdhDJx5gddMGybSJiNUT3zgsJNyE7P/DHyQ27qIcOZ53FWzP7OKZMyzvapJfQlNBRC9b0GU
d+QoTFagTdWEHm62QD2iARsNF9tIzhXUwT3rb8lNwW3JjBj7a0P6jNb2RIR4pf6dZgQIbdrE84dI
CE08sOFKsDAnLpPXVhTmuGOJ0/JpOdpw1xAFE/UKr0HoYdQb6STE9DOF+D7YV+tbUDZO9iY0p98D
Bnskx9a6jjbisIWkNJ3DlW4KLJBHJ/A4RJzAMub4aXDM5dWYEw89YDXjITB1ODvTc5mFW2snHawM
OYHVTe9aZ7M05vOsGI5bZeHu2lVk68XKSL16JCeKNIROLG2yJYfH8l+moWoPREn1Bn4bktrDtbq6
RUmE11DhCgD/7ADdb+u33vV9kRu2v/b+Ni/c1Hvq00UvCH1igBzTVr4yrmWnx4LIC3RwgO2oQhKY
5g1fRpxYRcaFL4m5uDWUqhKiFdLJuE1cL5mu3RP1zEz6vBFXbSBGXT0Mmf6NNLRsKnDgcO7NGO80
83ISbkwQWMPc4qpccEzF68V33asHObMRDsWwzaSxVEFiK1JeyBMQkYWF9XHyFfy+BhYLteQftWIs
Nzi5H/vcYzhbTC9mY8EWONVNx/MRer79ZZTlVRs8zCqpdlrBzjq7981QMSvfWOtQnRMWg2I/ccVD
aTXaAZ+aDBkh89a1+J9KURqBXzfH0Wlv0kQTIc5pZsOxd2Z6159h/AlwmMr2pkhnbJq6SL/ExKon
D970BRStukyWtPfjhAsAFpyhrZ+yeH7qk1vpNe7GIpnmwe1Ezdpykr6EtNfN6ruorSrV4x9JoR7l
0LQBKRDJYRmRz1rX7Y5krV2H06TPu8rCB1PnH7WRW4/kSchtgiUUJ6UZX9NexUZURBAbSI7BFPth
ZgzjuS2clW42JQo9X+zxqUibu6npdpPSVy4omwzqDkf7bZwWfUjFwqJdO7Oiq5uwts3d1HZhskwP
bADDAuxqj1XV/BrH7I7cwQHR38AhNAwD4+revR0GPmWkco2INeDxrZLVKyPHhsPIehIQ94w2WKRe
xl8FSzoMLv87bV0xyeQZT3p9rcDJVIPnx0pznT52Un27FUb+MtXDltCDyzXGOdRKuWqQhNeZEmoq
8GJHTYdHyGJh+5bwwv4mTzWahx6nJkWhCmfXZSi12Ourxs9Nime8btJCtCwfzeezRx2mk96OAd6u
H50hzo+FXeKO0wtSKmZmb55QFMWWqu67PsNC5xK9xQqA9UJ6P3FaS6nsPVEE1KSTNkEz5+BAoRAV
zH3RahMAgLk8o7FgSLPi+eL7stk4OCs2fmrbn6zU+W5ay4r0ke2NyomtbWrAJgykYoTk65R3tr84
AVYn88gUQn7UzCi2uo0tnfkXXIu4Gu7wgHl7ngROwkHTKWSW1nuZfTP5auQ0/6ctYaBg/8ovecQ1
6g7zA93VTeH6fw+6rWvI9jzV04Nn9nSPsTFf0zGyerntq9L6MdeD4IyrM8ngjlXFQdVN1VPVasuG
PHjja2Qkm98s9WwYG4nJfa+ZTqwH3fW3H9YeG4ID7HduQy0do5mwT6PU8Uob6cHGITTfKuyrHanS
64zd15IPi6uj44BAOZN9agjqOq/rKO9SL+WIahs6BT23gNkHc+g/NMvUHCx8zgsOGQaDFUGCgevi
7wv0lq+OSODMZz+W/WGe3YXVDHl1giNS2yItyEeDBN9jefWPECkz0SqsHEdDwrHox8Ozn2sNHnvM
DR1LlPkZJ/I2BuoQzOZ2vnUV99bgsfmmFmsTOrO/LnvPIZGtDCZjnoodRB7Vp8JHusfzapc3rsi8
DSoG1olx0n55rrsc+56VW0VStzjmha49SEn4raoH+7bEJnvXW2ny2M7LBn5Kbknaw6JQreBJU27U
t8znsUCPmndrD479UmmNFU34/Oiv2maLsopTRl+GTQP6v7US7zG1PWIE7XeM/6fJH37Wg7EbU9A4
ct/Epck/pql78DXDu0G8NhgeriBEed4/pDr7j3FrMuXNsDiMV9KlxhWwr5jO/zRa29yUBQzL6E5H
zIgP2KKyS4qOElzJxzsSh/auiO0D14oM9cEpnpFB6jhA5GwPqzuiZy1NP21AmDXiX7rqNV9QY3Wz
+QAXpHXtCLuyV7/aGzybt63bGo9ZYn+6WFIfCFPsvrG3j5d+sPtkSyZUT+cOKrcevNEgsqGaIIW+
ikU0r4VwYOHJIvIFwtVkX5q1mUwOZdtWL/6qDOwcjDp+LpBOb0NMlvKjHWtmxc/nEjhPnEv7ZlhJ
evGawbqgtTof4BNuIAlvsFhoYGkfUyr7jJibCfzHGOydr2E+dlN3Cs0ydx4tC9cbQRn4xky/fDRp
jtONm8h1Zxdwz0U72mdXpd15xFEGLJZVybtdesmDLgZxZuxNRdDO3PPjnMCHqWzjOJr31BIZiAxr
OT+paqXLdaISYz+zs+aYsaLS5LdppHrA9mT5MFftPIcMmq1so3cIwqEs4DxCJIiZfRI8Pe1WKpwg
CSdWEyhmaW1IYE9ygfPyeTvJLwmw3qwbo9Lah6XOyxeuFvFrrJ1xT+k1mByRZHtZDdOsQIIf8EEY
q32zkON4VCSBqc3MNshnx87lWS7SutSCuKQk9/1XdtcYT1kprn69OHlYNUnJY+ld9fg7McpYV367
bcbVtAoWZjneDGHWCuYMxCK4N6kspgqxo2WbSFz3G7Mz37B/IT67xgx3t8j8rcCS97rE8/fUjBgk
YAOmvaFXW5NoFU4smzBuSTLSe2ctXRrEamzTgPyl8mevp9MjznvxGivUcH6jrDsggwNnLV4fAgUZ
VFjvq2xxNFm59kZUW/5AwIL/k2Qe9WQIVd3kkLisyq5MvF9U4fZe5PqEUKkXKBi/w6wya3U+cTnR
t2sjwrSlVlNt7FGO3KsEr82hUMPyzlRHu8x6U1pBFecWLu4qliciWlpCo9wZLdecvlh/uGZ85nrv
BaKmG64JyZp1qqWZ0GmYevJq4iaKcUgrtio0WtcRIchl8eZ1XfmIMVUecCJaZCW0Cbjof0VlkQmC
ZWye/P7IodePkb5MqoAeba++ajWb74PbLHJPukb6seQ1yEgZF9O5ITQnaM247II/U7U8amydaNfk
RGhQ1mxxVrtfMOHGDfbYkVg5s5M71zLX54HJW7MxBqPf24nSflS9nd4NeDU/amUMj9eYgUBdH0ma
J6lQpMjQmcOyZvcCGUQ8I2GXVM7NOjXGIbMMkj2kKlEHhyEpi8AThHfhRQDMIyXldskVh72rp4JT
fC2072EUVR7gTPWLoO91+7JiW6BdwFF0RhdHVGRa+IG7b+m3PPLtr2VI5OHP0C+SP5LXihgcrJip
mxzwEYpvk3iE6M8IsHLIUHpbttAwCJsk0lEu22ejzNc51CpFigoTNXzasTdvfOnhlwQeVDJCchvY
fJX7tzketAfen+oyDwZVp9N3b/9fopjKWvQhxmRtUHpkJ4axltkbg9CpQye0eWeRHzrjELSNPMzd
mucxBzS5FaLJbsfMTPatRj4NAxycdh1uaQAw95okwpAcnjvNyJ6NKnxnz5hECN20a/eHoRnLB32M
RaqjyoRAvF3Q7Mo46y7dohYjzAZf3S3d/Grq+uOkDe1TObVtthlVRWgmXt76bpIq3U+raf+EQHb5
o6UYLlliqkNrz5INAGb/OrZW/60S3SsjSCfvsdZV+biKPHlemA4zSJ3Iny27Mp3CleCYU4ISKLcU
wto5qX1MP2OjVYc/g9IyC+GUgIMjfsehO7JmSc93RBET5ZZ03nxBQOxu3WuOWgHw/EDUG5EEruiZ
003em2vo6pEpsKsiQ2nxgVbJSbY41osDC03LbgtWXUbryNMZmhhiXbaoMpaP4DvAUb1p2entbP2c
lqqDWNLri25ch06+u1x5I0FcA90SFVjadz0z4FZTd1oHzZcV9vzpWsnwlTRos8GY4wuOsnG6Vqyc
Ez9pZwmw+a80t6nSTAQIe2Y0neTLczLnhRHwFjO+9IkeoJdu0rmPyklS/rZ8sIkpmlYr0lyvPeTr
ODwJu8iNSMSqpjQrrCrZJRqkq2GI9uxpQu2KFo589Eb12tTsPrwtiV/jGcbngz8m0xeLdXmcR+2g
yClsZEcVQD5Yne1UKxbqC7derwO2ZsN41axx7TUAKnrBYq2mHZLPfxMeBxjRnfq8gOCy5nhZjn/m
yHlMkdINjMPy3viUbaQdlT9U67e/bDl7B510nRfSIdJnv5pGgs1Mfd7NumYcamILdpgjx8NSkTG3
atX4LY15oSO2RJ6zfqIqVNhiW44YOPfbAbv5jiupjXyJyj6R7BwRs0ibnyCmgDW49qdwE5IcHL+x
n1bfKDaVSROZMEt0GXBtyYqyNlXvr4+TWvRLgToTQSTVjBV7xb4LldcPvePHn7+T6jK7ax8L3Jnc
2X0/4tEfNPrFAZPjiii17VVavAhfmy6FFOqpbtzqQOt4Zca1Wr/N3NmLfFIPz32h28eJD/zTMlD6
d1qx7BNXZSF53NV37bnVrW12NmAXW8hIizsaWW8dlBEPr8kwiVPpGOvJXZlOpLY1HsYkrbDjWtXO
lMCorv1ITd7dz65qT7hBxE3KDve9dDLnTSf27yO2QNTpgTDJoXxH8WrIm2assrue4EJkKiITyfBI
Akx6wPaxmXx7JMjESiv2wmbjEKDijtpuBucgXG+x7O5maIY30JJqRwIUiWCp323SupWsI/EpT1fv
xefAOldpMx/sPvs0XPf/MXcmS5IyaZZ9lX4BUhgV2JqBzeZmPnvEBvGYmGdQFJ6+Dv53lWT+klLV
tetNZkpGhI+g+g33nhut04o8tDrYG4PlUA+Y4+kLxCeANp0jD3HpUAHR/KLxZdZUXRe7XSE6tAjc
Dj2kVns4DHBpAm3wsh3fT79zUxtvhb9n4fU/RU78zRHq0sXBV9JRJNsGSRDG3yP5NI7fauIgObKc
BDRZrVWaZ9XxQzNV9rR1eITgPmLOwZJmNbt8RuUwoZdSf02r/8WZ9c9iPOPvGmS+ElcYtrPOVvkv
y/u7a3OMWlWCaTjO6P8z2Q8/Et+alsdG2n5/8yARiztZZa4VFks5Pcm5pv9jvzwYISinOkSj9DYp
02FOho8u3pUAR4FSJtjGP4WzuFCve815bwezuPt+xE9eWMWH12oLY4l1IMcixvjhkiNfoctJ2nfG
H9pODYP1bMpJ+9klEYX36MWvrm4BWUvaOP0YUsvecMTZV19PGQp4Un8HzMODkibqsa1F5gVMYn2U
anp+tpMBNsVcQ0dHKHibaiKq4fgMT65bzmdNKesKM4PrENPTzlLFh2nV+iPashOMPm9rrkNLIlTm
n83XJFOCk2VUquVmEjJydZ6Q5DD2jL9GoK5j6n+ar8GoabfuL9cT3h2VUfe0xIvxLiy9bVkPUeVv
irVgV4MzmkEMaxdpbqFe/cTiOS2+qnvjq9L3v6p+9dUBpDKffzpVB3hTl94t++oTjKG2DpHiRhtW
7N/e+monmCaJz3RJCwAKPqyayHyNUTceG9zsbOj5wecLBnot82tkhWvPwq6Q9gWMXHct155GrN0N
KLoFOZEaktBbuJ+zevY3GSt78r3pjby1S8JNhdioKZ292XbMKNeJKJB3Oqviq8lSa7+VrZ2Xv/Zg
5tqNzawiv7XAjWYiz0fatcZPzOVZOH3+DZZs8+m4i468cx4s9V6Ilh+SUxfOw7DQX+4nWzALZ5De
fHRRI6pfGuT2NExgpvwZrLFu7/+0zPg3mlXza+j/L0sBF8+YY5gOazUbM+jfvMBjJTIMklwnKbXW
tcHPfakn1NE9GdPHqtS9Y+t1uEmjsY4Q3NY3r6ijS6JW2Qp53eokhrhlmrZoccAEoGpANOXTE11P
XQU2c9KPrpRs9+PUap/tCW5dY4LNiWeU+MJVt7KIblMxoZwoJ0NeDK8cBhYKKvqJr8XaibQRR9a8
+SNLN8VIX2QnTAzPjZXc2LPd/UIZlxgCORPgaMdO8Jl33HrQy+VKY+ZvhWYj2nRT3dFAaS4jV3br
iUOSto7cDIIClbtDP8jGLe5CZPodhpa0w9p24hfDFdU+lpkfxmrU4g3xMQiTadsgyOIXuntdr3Y9
lcwAqaLRMMnZSMpDRxX5aQHZg8PMQKpGA96sNIq+XQvmkULSGe6mL/u3JZ6ioLZwv9kOFna/VbJE
bOdG3xK2Ct+UM5doEcq620UDcj6SpTTQ7uQqsLPIhl3mzvGh8hxeOVtMgu+vE+pL0f8LObfP9TXq
0Z5OmMgr1fsosxOzKyt0mdI/CL2LHiPJ/rk07Gg/uDFKk6jSnhSTESYFKVazFK1nkXmwX/XUeGC0
uPBUUnQWma/OOTaL737FKp0PN2wNDYBhnqIhY87btK/6HPEGxBaEyWlgZsYmJ9mJceRKWxyQ3247
fJOmkb5oCUzANiurQ6QvekI8Q8vRpKbscemHOCCRwDo7nFJb23Vh27BrCCcyt+8gHrNXGBc5p2ji
A3X1+MmcUktHrlUOIrrMUP/3pHTovNd+Zl2asn72/amBuMyAAmwUN9GS9Paj0Lr4Oi3g8hjv6FA7
MqsavHuVr0ZGbNXd3vjaJxkgd5Zt9LVn0teVU8dUF/RUs26ioh7E68ZP5ywPCQL/YXxtrXz2V+bX
JqsnRnA3mpP7BsWITRdZ4ZqD8oHciE3K6Y37QeTNt5jpXnqw0FjHD0vTGHq43mO/7HFSHd236bUU
AmzbslpO7LE7xX/SGVjimk5jd+zAaYbT5BjH1myHNpCtTXMNKIhR0+BneXYA6oiob2aAAUgoNeoz
kFrAvu3XTFet493cMT5ar3EAQcUvWOo+0m59QcyMzZCbohZblqOSvrtrjHpcv+p+57BoPauEFRGA
U+fQEEH7+d8fVH9z0mJsNSgsOKRsXVgGNuJ/de7qTOZzRqLuEbbgQ+zf2ry7NPLx65P8r1bc/2+u
s3/v+l4/0X+ZwP//MHQbzuoN+2/229WvpPv8P//OcPb1L/9abHv2P1xBKITDlprfw5d3+/+6ugV/
giqSBbbl2fwlTGX/6er2/7Fu1139v1be/+npNv8Bhw+GGx9O2Gy9/zdr7b9XnPb6KQzh47jAguw5
fw+wFswRJa/ksOvGeOqfk9HzXhaXi4h71Rc3m2VlH2jonXeVruodcXoZK6bY+R/cHytN+F83GDZf
huuxoOZNtoXlfX2l/4R40B1EHtrsm2FtQN5iNjLCv/Ojo0QI/DLmqX9RTGkWRKplxBIJwezBQ2Ic
Gsx3Dvxf6U4zsHrWeVKuEi7WEwlyLLydaRqUbKXu+kAkwGLiiiN/bXxIshRWeNZiGUb4aD7ShUM0
a83q6EFf22qUotAv4yIKtS6fAstx2acyfyYcZpw+sO25MK+EUyFcnP2zgIQ8b3xzXWLy9+fNNCrj
2EVCfdaEGWzHzH4AAaWxW8icAp31YH2y0ylQpxIBjUG7YGuh9PaMoWibwlL8wXpk+WXk9GirTGZP
xBEz+XzqsYHndUbhlFNDxFP9Y0CYeRyF7G4Jkp+TjgkgEDi4dsK3h3ssrAgvsTmHbFxORd0c4L7g
iwZD/jrbPoLbzCb3zwY/8WGM3PkITM3XZPI1Bin4O7LKijYUyOalZQ2746/oe4VxPainpDv0OP4u
MeKao/RWZtFc7Cpa46BFvXYmUiUF3WfHYTO1TeiORGFux7ayuL8mJ4xgwTJpF8OL0+ooq9PaCvC4
4ASoJufDXbwo7DAi0L/p+qHprYVvrb0v+TxvSkxw17jMsxdOdu19ojDaZU4XHdYTkN2lmYZt3Xxt
+OWvtsy8UJR59WiXRE6zcNfG69SU3SmNLSTo8C9J3LraCUv2SjszYARiojSSgXT35lqrpVvPY2O7
6OneLCsTHCfoVDev/H1uzZRbvVj5bHNxEOjNq2jJtz0srl7092JcZcVYP6gacOhxW3E7STsJGvB/
D02eDx8pdfG+6oca8l+MTK7StB8uBp3Qk9X8UDoIZ32ETasIlsjQNRWpsfpy/V/iV0zHu0d/Eb8v
8NSrjWbI+RrbE/ZmrCCPOhDe+1hKddMb+qoWPmAwLaTUIYddnXdQ0Mtx2TfxMDwWhSP2RWEvj6jS
QKEvGqsPC+6lBGx1z+e0uiGZiUPLZNBIFoE4Jq1pbx36rqCrdHMr3aE51FPTMDNkeeqnqLarAmFV
5ZdsdZI4ZIlavlB+AVKEaRbwMertmLTigLJ5gQSg7CO2Rlyv6ChCq5r9elOXqL1KzffDjoHgVpEr
EnSxlR66ATNIHs+62rtOreMHR5q5Gy1HAmEFA/yAKFEEWqPQU1flXB6ysbBOM9vLzWgpcSN2xnqS
CsxL1T+oZln2vqydq1fb8z4rKhmARTWusZfcfA6ZECYG/tVyi9ZAEZGF1UwaVvqTpjf5U1Lebv0C
SpPhL9RNkPBvi2u1HzGn/gGWvTh1UjbXCm/Scamks9OYI956vuwt/VSELtO2Ps3GS08iG5zDwAbs
Z2cX7RMnswccu+6+my1yFcPNIrCMeC22DTzDCnhqLPKjZztb4DXdiqQex3nvLG05Bcw/Gd/3TTvu
oiSfdogvvOahgkxa4RuJs+uIlB0ppJbtshhAXFJ7ANCjKE5gEnTuEJitbpHaOUrcJ4Y1iUCm0Ztl
a9HNxq+ASMjxa3NDpAW/Zx+gFfEjhjc+aiaRccgx+u6tb5tlmxtRfBNDV564/LDDWoQYcKbN+34e
q9M0l8m3xqjk2lF2vNcJc+ONsvx8hwUapQtGaWVdKI2ckwvMzA6txv+NDQVNBlv3luXTUJ08MkY+
7JRElyVbfclyQOxXea7YV8xuF7K//OZPWudzgxq8G/64vYd9X9JcleTSHRpR36pEe2/V1B8qTUd3
YpC35aGZZTgJXqJcIbYD7/9if4NFK/yNSOL6w2ZKRcgOtkGf1TiKSLDac1kyezajqQj+SpCD0lbc
SfuSxr6MJlsdRTZLn2oarcZvAVhhfDKy0n6Omaqq3dBozSczPvUZRWb1VheJdiU0rmJ3VXNBh0bH
Zyv9ZXptMjSNXFKR/RZL+ZGXvnaePUdFZ90mykWA9RdbByHQ9q8wOrE+/3HTWU9/JdJlFTnNKp3F
HwT/zhNXYe8dEXsW2ePQ9/WRzIP0eexaSgKDoL0AnLfpPMjSb/9QgFs6IxVXvFetsn6CvZ+PA1DB
/ZxKcRaz9H77JRXpJmISetA8w7lEmU1Qo9ZO7bOZoH+rFD/VPEdkJY3W3jALasVTHon2W2mL9snm
tH6ey7Y9wGeQu7iPmevDmvbEBueoulpLZB1sJ41Dt6d2+cprHiTdQZ/ohXfrDdykJ5k/aSD9zkTc
9BubELVQz+uo2WaotfT32u/Sb2wIRxRRCBSQl6G1ssK0Hp3vggFEdcsg4dYhC52FbRGZQGFhaB0S
Z9LKHo2KPYhmaPFjMjnTR9E1xqulTdYzq/hyNUpCqrLYuESFFr9WTCiZPPc5WE3Jh6DWmjJgvJ0M
CpVOJLSZw9lwbaCr2Isendms90Y79ttqWurfbqpMzJ6atoLPI/nasRkDoZG12OpElauHOS+BqCzw
863Nkki0BHFZqwPTmDGY4vgY9TX0DFebgrqbk/fYLPsr2wWUOwnigIoOcYsqytwSR3hgs02ula+8
Y1Kq5TYOhEZ1rd/DSSFKgVrM2ytFINg6pihB1+ZRPahzQ+drkz0JSPzg9gQRnPo6w7Cpt4A4TADF
L5QN4gWFOYpqr+F+3/uZa9zztlg2eHx4FJA79tuss7on/tXOyeZ0341qYsGEYhu9o3ue4p5VST3H
ZVCxMPloIrFsosyZSd0wh12UY1V2EgvRZMu0okYVtI/qJb5J5lm7weYZtZPOuwhy4ADbwHgBTtDY
vxP9qNApwDv9jBzmUVZ+Mt2PTk6WyQA7AtFMcNoP6st6h2qkAUSpZvmuJXN7h4KS4e2KijxAjuA9
rJhetP5fxg4a6z3eEsxbuV/sM1AjB+bkYu/o5ENC3ZLtAwvgZOuBKt8YY4laJNKNGZejbtanul4Y
tPklgeFOonUbaRXZOc39/EWOUbIxWabtkbIVx6x3srtMEgvgblPPv6WJcHEb11P27g1+FFRoXFL8
N71rYSOx2HRPAOLLsC49NtGq6nUk9o4E6lPLNdcRi0+6zdjNEFiHSBNZzWQfic5sdqLtYPmAJX9A
E96a1Lf5m6oTyzzJWGpBNkEzOvhR1BY0yVl1YVYGadZYnAPf8rRdw2IO0mKmO/axdbcns6eu7mf9
mdMmIfAoAUwbJAp4UTdEIet4ecpj/9LlHgikHMxjXzZ7XN7xBU8V8QhjoX0uUzT0eykG7YS85bO1
NFpby00YVi1m8XusXMR+nIrc/mjhNh3oTUTujFaC3Narq1vgEu01qb81ZOygbonac61P9tn3NTjC
tomjAm4u+846+uNg1gpzw3JvSCNNCmh3JOBicg1O0UZ708TCGTKriFm831T6Pm/KPnQLp31aJgGZ
Rg2m9dBFOkJA5CmfDmrXx5lTfG9itGO1wh6kNKpiOxb9b9aCBO7Fehu4jtFwc8YYepzFAEc0PUQd
RUE6WWeL3xAqwtwNpdDr18Z07VBw0WyKps3CMo3c64pKejPG7gEK1LCDdN3vcdFj3etpbi6dE+dn
QsZwOBBIPx5qeozAj5Er67Yzr4hrohWK6lzUxaswy99a5N0Gyfo6N5J8i54QsEdSTUemXdxMWb+t
XXeFGwzLDQ1niSe3G2811RdM7Ci+JETGHiAyTifX+JEjjUSpaO8A+UCAVPPB0uyEXgpuxJzAXDC4
kEhFi2esD0TUHfAdzdvInOApHRmtnZJZEIoVn/MFekfsxsa58pB3wZia8u3SOPhPDUl8lyp/eVMb
G5teTi8NL9MOIWC9Fd7M2rDNU+ACMn+MZyraqIvtM+t0+9E2Su8kdcZPsJYID9Q8All528/jvKYb
WnVnUIJW+voYOlt35tHQVIdogiFrRKTNnuwemAoD9uopMDxs1q7kmYYhwC4hoOpITzDYs21nZurc
mY4ezLgH6bPqejwabokoUsuAGtgOuN4y72yWq+pgA1BpQQwdF1t6W8dkYhaLrDhGS8n5JyW/6qip
tS2gIqKLyJM5J8j6PnTQGHtUP8Z751Gy+21cnBq1jAEr/fhaaA4hkJMvD4vMzO+4Ia331UTxRAWc
HYcolW95FdVHiwX7kyFH5ylf2pyz0iGuyK665NINWXJNyhZABUXbT/ZatNAGguCNPdS/rARvm2YP
F9Vm576M8PDoGEEVd5/FBFHLne2Yai9QgGFPz5Lx/eT3B3xk7lGZo3+dkOQ9Ex83BBU8km1tUMBK
t7JC1EVegCnmghYeV0daBwKYQwI6L3D18imTKqdOqLpPuIp2UBJ8uLVp8Y+9ZR4AyGsnbDTYwdhZ
kGQ69CfXz58c+Pdo6zDD2d1Dbb63urqO5JktFs7vQXzLk+lWTbpxIOP0mVSTXayVT3PZ4cY11msJ
TWBEYOmW0vC9i/2PsvQDVnmfHYMN3Ol5G8ReBYFYjeXBH3Acc81UFzufTJ7jrj76Xn72nKQk7NBe
zqJLtNB1vOJQ5t7envN6mwP7Z9JbpaRuFvHekuOzbgHy9OYKDQISjmCRuJp5OGpx1B2aK8iV+U8L
Ng5MeBdnWjpVIshGzkhT1w5JnaEuHgp9T5RstKtzNzor5LYhGS/9wSfgN9pUbeZeEGlEGGXcYGE3
zqA0xwnsHo0xOWPnPSwWoV6NkTqvTeMOF912rVeAQJhlOzn4ELtmLsa8LGF35tGMb9HLRme39Gnz
puHkDDyLFmURGlXY4jdnchrkc+OW9xwf86qT3hIfG8K0Pg1l+7tSDquofNZK/BI6jHqP9NvGwztp
YDql1j9m4Ey2rYWuxsy7+bqYpA7hD9F/Wnx/JKmN+YCjT9kfaC7boyThAdRF5ezg0BkAnf1NHzOY
l63Sd0IOW0a8Omde/WEJTX+SZODR4Sh/fizZopKfowmkIA6c9Cmt6s006fzokRNvXYlseNKIVWXU
7FxKtEKBaMR0cefIu0irvsYpZJrF+E3oLcK0xT35/rPSc3C81n1OiyNyoh9TPP6eobBZG72pKcTN
VrG8E3F76I2u3nFtatvJKYBBmJoe1lo5PYw50tWNq6UYOqJDjjQNjF0wkaM9gRlBgVJiZUThE7tl
yG37G9jZg1Y5/r53lwP6wrNDpu6GWmvXSvmNsXvcbRVityOejeq5M/QZIlvybUTLBb5Be7NSH6Fr
poZPzYEaw59vqpyyxaWBOFot3RglivaMgflaW23QZErHhtyIS2sSGZs55gcHeLwReuu8WWiXAvZ2
c+DNxlvpCuLthNdtF0gh1NDbrsmBHJFuovcm8lnwOb5LiCOr4I7ljfiTuwRMJ+mxhH2XTOVLi6hn
k4NwS1sJbJkLHON+Q/KltS+q+UNrPJu3R8vDdIpISCkID3mmye53hZ1eswiOiW8M96krKPUICLnD
hnnNAKJv0f+T7FHo1IsGEyNkwshs+nSn2pRYztQsGOUZ9gM+7j7wkDIGeZdFgVOJEJVuKDok21vH
kCc7v2i+fm7wDvM6Vs9IWTajrE6R3/uHtB8fxOKrLujH0QdeAVEpbmv14VfDieCXHBwVAq2yUQfR
Fmo/NKlZhYWa62M6oB/RcmEcEYyah7w35L1d8OXHudGxDrI+aflfrK7YTnez2RDu8ctlzvUCwL4+
GpS+x4TJUFgpeQHTQUNNzNxOV653sM0CCsQ03uKSccs41s2bhen1kGfziEUXe0FoNKiRq0GSzdbM
zcXEPk+UVBLtpLuIZwJoU+CNi7rWi62YZUItgxaWjQGshjSofHXRXFZt/pQpflF6vG/MKA1d02XL
3KJ2fZWOsh94zlCiz5dZRHgMInvB268z9TqSr+eF/Nv+o+9t7WjSKYa1pc8BnxPr6RJhwvenZz/K
njEkJHuMuTjV/SZ/09CRBa3T3UeyUjZZqqdhTqQWm3FtDGPueepkopCyBAGcWTRPpI7IDcpjFAWr
FVzX2uq4NGAlEeZ+c2okdTOn+FGkMZJf3cyJMEg0RsRFjrWE8Q3V8qQs7+LGJBmheReNGzgZf4/4
UDSFVcKEqnV+uYy6CCqZzTsLZ/WY9XFrQFFkHu7rLqk0BKTm+Gbf88XJL71HWm5lQYAP+zSLiA+C
DpbjL1fZfiIe5HuXkXkz5Jazq6k0KajyMShtbuR0ISt1dbabGufCTGip77gyvkgxn8nm095IMyV5
paH1YFVlGC8+W28yPbw8h8NZl9lF9ZRkbtQYBzkZOqlPMfiPsiqXZKNm4T64lkhJyejbA//ECnUz
hUMTWeZb6hfO0RhE+6dPGkrHyO4vU0fDVGmW/mhWTow1vbb2bdJle7L6KIAM0RphnI7cvBKVwUVn
k9xR/CEIxfGWMaW4+J1jPo8lko1iNs0XDv7qNsJ+2su4xS2md227Nwk6bncE0ZoO1iPCX2n+G64+
dpOz3UrGbO3IJKyGUfPpCc6LTYpW8dU0vOvoEyHpzlN1zxCXbA1l/44Qyv/QLaNOSOmxol9RkZYv
lCHfMt8hsSfvHs2xfzH9XAZyHXiNhFsMC5lCObXzWSmdx9Vh8OWJSh6UtlSfjZO6B6+xsy2qej2U
NZFPMePBAAXacseCoLbsEYi4n12PsdlqYo50mwEd0odNWQP8w9r+ANyH5NJWufshGV7lnBAWYXbv
qQHynXRHsmBNR2CgiVOClfr2u41xCH9s5CImdUabZbwNZqxxaGzi6IVUcv/o+Wu5M0JW9cazIr2L
A09lp9l0/6SU/4hJyyHIGUFxEihwunIktdcoSKXc9kuugnEwqotYIhhRyx3hBmwgpJhbQxbNrh7M
nwj0eBgRrFxVSW0M7IZ42WzWPiWhe2FU+9/9wfAOoknImXTwec8EiXJ44CZjRVRkrFlN48CtS2ts
njDIV6/IIp0H0+DxIw41Po3K0w40dsRDdMXjkAoNebuh79iuXwwK9d4b5N5amEqG0lz6Y95X2oOc
1ZohaL8kaECDKi9Zr3RwRRJNyGDEbYbck2++aLb4r28aUoYLVudl40VOdjK8mKY4z30mQwIuQqWe
MIXycnZQvNxpMk5m5D/PCtcf+JdnnZdoozvTrpOuHxLt9VIX2cNMoN02EQ0h2oQqIp/PEbttnXHR
DwLV7s6kwuEsZDRqh4MvOZMnN6/Pfm0NCVOAzuZhnmLm1YID2fC75nX2NfEL5ApTS/LsIBN3WC58
pz+ifkAJ6TU1iLklb3YNx+J1SPro3i3LcpoH4V1RORUAcbNXJxaPos/83UjYtMiMMzbti8e0GwUl
Atduth596qJzmpAi16ZBWnZv85h9QBdk0No3ybZdRUf5Y9TLJFhYsDx3zuqBx1D5ZOl1d24hsgYy
FsmbY2bikEMbCCbV1wF0C0IfDTdok8YOXa/R9uVAkO74qNg1XeMpyU4Z79pnCVkvQu3cUHYPHbOX
0eENiCvnYowme7HWLlFRNcMpJq8mUAb8M8F5ukFiku7JOaYaTKkWNqhHuE6Q3+C7h17NyBG1i9WW
Pr9GrzTf9Dax1wKI6BdPwTwzmDXw/oxmfeGDZqfKm18HjxFVoZm7mvMNkuWKQtRIA/+55BRm3IfT
Yzot8ohEIkfiSJDbh5N2IG+jEs0aj/Kbqgq5VczYkyAfk/7GudAjbR7t4rtQvvxJAAt9HUMDH3wY
81ZnOfcri5nprT2+OUOf3qSmeI1nwGQ1O6YpeYjIlpo3ywCahEmC5b8UhuiPSJYWjqtOl98m3XVe
x8RIyOVFjXKtYgexEumbNkGqtVncYsfTyKwolI89OS4Rsbteajdb6Obp61hM3ZF1FGVcNZrpjo7a
PrhjmSJ1rxtgwi5eDDJbJ/mRudXPpCR6b5iHn7Tlq3Y5JXlYb82fBQUfC7eFgRViNUYi/ah7Z/gY
KScFSr4uIIKvv86iTigpdecDFAPvEn+MeVSzRP8D605KUJEZ1btmlM4vhFz1jrAxcfRWdgpbVvUw
dtjAHMlOuBPTsGtQZj/i5+BEQ/zPg9K6/PbGRFgHDc4U+yfSKTOPtQ+TLuBNvSV/89MZd9WgCPgy
cFjrqnuCAcUakhDsCroZpIEsyorroAn1zGQt2bV1uV0W6a8myLYcYB8JDGgzGZQxehGVBK4ROT/q
uh1kiHGmPfVaUb6aA+hVk6nsgfBS61ZMWt5vV58Bq2jT2lotfG9pG1us5C4Xn0p3bBT37cQDHC/e
Z5WQoOyR3XjnwW9DpOPjsTZr86bL5NPvmegBzjKLzTjJb3ZDAlCPkSTM7eVOHCnpHU3pb0adjJko
MbFXDeUChvWjSYO819uNZdYPbATxRY+t8Ro3SGvmHIRL6i1vxAfqgYrrLhwzBGZKGS7Io+5kYX7f
KnfpDnSBya63tOhpbHTO+lF8V9GQzGG28pt0Uj6voOJI7GQE9mTnUQ6AiLwm0NCATJIkix6nakrR
cmvqWzQYv4uFoUOO3ulW4Y15qzDHb2tYSxvX91N4Ob61l45Y9Ux+m6Qbtihi2WZwUc8pY0m6jjzL
XpJRRylqsvAJzTLFAVAi8zpjDaUkiD175QhyJzs4uKLFUs9qzo1D6oxybyufBo1MITaIR2LLWJ1a
0g3Xm9ql8QhdH9lagyBg0xit/qbGptso7NpMU3AXsZg1giydZIhO7IXOjCplsLs9XCzrig1c7sq5
SMFfm9/Zv0VnCpHsUlBNbsuWhmZOS3F2ILFtZZYV4czuDyta4ry7EE/KWJ92WWrNh34Y3AMQnu7c
LEa6y8def0qIpdmzZGDMOTRTw+xmJqsGvXL0nEglHhhX8q3gD9q4bWWfWU0bd36q5LIJmAVXIxqd
Ldu1Sm3IfzKRUTTecqkW5f6Z56os9mxf6AHZuqnT1JEN7NkLTw+z1Jd4scebNTZ3LQZWxDTv2qK1
PdqFm/kgPJwaD0jMMK7VSWfGtyLHHREw+Rbd1p92EoBNJsFKxa2t8VeBdGA3aEV0sOKCz1f3jbk3
KBRgF6tDUc7DZy6R8YS+1PCVx06VvvH7/T6bbbYHYEjuXMdeHSSiQdumItzF/YduZwlUxpSkWAit
TrexGdMx3GF/pwe2bRGzt1ijAGqLSxlTrTzPixKY3zAbDbM137OZ+7Fp3WwzkFkGBKg+u5XT99ia
HS4bdubU/+2cpE8DEV6MizOyV62YExoQ7J1dwy6deH5LUkmNwsl/LVqZvvSwUn6xgfMvzmicUohF
zYZ+e9X6YaOuOAsNrFUKTLvGQvZWG223caoKAXdmaIGeW833yc9WskW0Zoor4p/P3AXJT2agdB5m
a91ik2RdhEGYA72qvLH4VwTiVj4MFWXr57gkEUxlAwsmzWnDatC+RZ3qviPe18RW1FI/M33mtpGZ
k/2MGFbSJtiT2FuTkcHSxJpGGdO+Mxj6libLj0n5Bde46F4tk0TBtHXIR+M6TT+IC17eh1lnrTPq
+nyYOup0eo2ebgrXIY5/R+KCTGWY56p69OYSKSIQnttQlm4IZGc6kN0K+4JJ37Az+ri2d1VDziJc
sCya6EQHbTuTxPPV4OSMJWDsdCBnqCC6tDaYYsS9OngadtAl0aDXtMp8rFHPXlyNzevAefSEyEPb
Lkz6A4p2dS+c2D6YeNY+sPhar20+5GgdUK2w7dERcwAC2vfo9nJ4V53xkJkrWU3vSo+FFzmbU5cH
NbLjYuPi2AjTambQLtMcDSyG0oH4w4s+QuMaKnOl6i3CbEhsdbNAtIIsd7f/kwH4DgaMfjBIMuQM
XQ4TFSL5i8tsf5vqBgGenKYh+93yohXm3ZHVsutF7WxMJPwP5BDW9PtK/ZCFhTS59ybv0Wb5jSYT
k+8DstfyiSWt/2ziILqzwBY/0PJXZ20W7NUqXZ6yzp3RgIK52lp14j3bIAmOpJx99MyhofuM3XIF
6JjvUNJ0e65S9C4ket5Gs3xCvJdfFDXXIfN7K7An760tuyToszallPRU9tqi17lPUjlqo/8HeWe2
XDeyJdkfKqRhRuCxzzyRh5M4vcAoUgIQmIcAEPj6WlBm3Zt5raussh/auqyflRKT5AFih2/35cqV
z1MzsyMwxIy5KR3qde3MN2ANyjVuVTgnhQ6OXZLtk2JMTtBWkCMjIU7k6G7rKAO46RTiUFa6BA63
xM/SuuCJmMaTVWOcmWWLvtmSHlhHQpuvUdni+nAc58XwnQfRRt/CqR7vErKLIK65xRGSijfF6CWb
YpL3CXvCFDfUwRUBz08Y6rOWNcprPpW3WTW067LNjg7j7H1JX+ph5BJ1CXWhwVdh8rqpg7A6oPt9
iq5+ck19jmMWRsLwTiUh+mplilgdZDSZrwn9kbuOLou957rFN0sFvLiIIctjKcuTRfb3jCaAJ8T1
pk1q2c1zTh/4DQxuAp6FDXu7ZVFtsnzollc6XSANNbc7gqXyYJMZOI3ALJcaBZpyCbSQGVbahkMa
s5dNiMfe85oecF272bTl5Kh27CTNs7KHH3VrofV0MTVE6Yi0l7OKvOW95a3xf+kTfgKKZcN4ehpg
5t2KMhoPoRLzAxbLfDunEZJUaJUPDcPFw9hrexsnRf2m8wH+VaKm4TwVZrdOQkv89Ccneh46AnnA
LDnrhYyajCd/bq6sl8KXMs31pk4rVIOkMmhUsbOtR8PoUY5edSySgKKQ1E9vIXAhlM8JkaFwdPo7
tIHkM4cIq1ZpXRKdRojE7mD5Zxhf7quVjRPvs7lDNZy8s4JO2MJVnXJ8Wyn7BDhIn00UuhT3WvEn
IiEzhFykKKeR9ymX8IKLgPJOon9dpKAXM8KVBSjF7N/myLefUTfSN/xp8xVtgyB7GBnbuQ3lj8Rw
rQcN/fM4RlX+FMko2bIW4HpfEjGEeRw8LvU/+wRrM4kbP3kYYtbn69pV+alPZPYT1t0AcKQdWMzo
6ErazvPwTuTFgcy5uzVkFJ1U4Ti7puOs4fJcmnd5rsc3ZBb/hpUVFNlKqIyPPJx1NgaQUBUXcKPS
2WNWGd9l14qd33J+qjw6JfHUsc7x2mvcTNaHVw7IihnPzKqsepMzMaWIpAZL2hNhO3YZXbDIM8MD
VaYMgPaoWpCJQb2bW4SMWpIlq0Pb+mkTsD3j0KnJlsBm5F4bqeTOZzjYsYyLTkXFczi2YNOAUWri
mgFqAdso+wE6efRAsL3axhgBnuCgPnK6MvN43KU5fonSFkHALi3Jzl1GaMenIemge8rhXCPv2Vkz
1hLmVtlLKGuNGG1EySsYfDS3MJcjsgP6NhWc7IWM1Mh2AXylc2f780dZp/5eJGzvur5wQKF47PEk
sAm2O/oRNaw/eB4x1XFetPfaVN1PzDUaWmrsPc5U5B4HrfI1vzd6Z+w0PNXZ6KNpsInhUcUU75JR
0UNHjQp7VcMiTuUTFczYYBfTLTBlSMtWjzOOQiIVRmKHm4yZM06Nfcnq5rGDRc6NufMOptvQwNwJ
a4QswO7952xQfaQppPiWJfwMfLdzdmnuV0cs+NFtK1V7pTEmOyWEzbjCYxRcQdUU/MitH7xwjJsB
MGa/9XNDAKvJc95B/4ZXTEpp53qXDKMH91lUP7xmSdh4Uf6W95oynRTL8Dc6mqKDh/vqbiBZ/56F
3XALDtbEiVRihoUPk/NGkuX/gRP+f+9x/7PF/X9Ss5nlk2/6r5zw5x/tR04q4cevnrSlDO2Pv/K7
BT4IfnN4q9JRZgohCCj+s3JlqShzaJXyLW/pNQv+CXez7N8CU1ggPAIHtx5EuH/A3cRviPYMIKFF
I1oY2H+zcsX/1/ovbna+Z3km0XTM546/UAn/ZD6nKcoYswx8EtzGBTdRAWPCyEheDVf+pZS83QFs
2mffmauDWTj9sSoYl9aiCGvAkUb/4o6uiS0K0OirX7ejtzbNsjpyyffZUAHvCihu6Ete8AT04LhQ
rzlg0ksxYTTVpzt7CmWGVPNJwSRs16oi7r2LeTLYJcFlzbY9SyLonZT1sekj5gFwII+/yhoqHLxK
4TssUWU7rnqKEaBWMWCWZzSAgCiRJFRTWsl08WYzOs9d0yqqMUz/pZlH+yUKbAGPzBivFQxhihfm
jiLb0oxP2E+Z09IsARUgchVyZGXzbVeO3OHgGGCeGdzSHU5cKhJzO7aQtk8+1cOPJsshb4fKmeao
ADPSA/7pUBLANQNibSzPo2sSUDy69ZJZlXRUuWxWOujv49UfiqC72L7LiGtHUDNx+mcuAU9pEdOn
/aA116ksam52U3WxlQEBykx1e6m0ND0KYOhuWPuO5+FOQMh6HGcbrkaU2Wmy6/spB46V9ng6MLib
lI4AZvvMQLTWR03/IXa1LuMLsJkRr2bayWsG7+zAb8Z9MoUcDjqK9G1E2PHOpgwP8EYo22nbdfhv
bMdBcJ8lCuPej9vsVLdU/q7doZ2ezToL7oGJ+J/mhAV9q3zlsRdREz8aAYOvWI0SD4nyOjwHKlUv
gkGAtoTc7cRamIWplvwWUetCUdOC1wL8h2iA99S9ZYxHKCIIT/i1JtwsfAU2+uZQbJVynAfMpRWU
jSa97wr8GKvBkv6nZSYcMg1STYAQYo+3NEUk5zB28k2sLP+HWyZcSKPZw1NHym3iRxDN4dEdDIm3
H/9TtAFMwt6aGPB7EyiHACFF5dl6nMNiWvuFW7u7kU4C76BZYkQrrRDeNkhnMxr5oKgvB7/ZrnCk
daeOBGm2cWvBvYLkFCQ6s27VTwLoE1H52Ssj7iIIkeuCU2tg27R4msnZyB3Wh+gefzsMZgglI6wb
vrHVSDTcWulS43SP7b69AF3LvpYcgnkUBZiYMvIYDvxcVjg9RjdhJc4TXRBvw5vXBQru7IpVApb6
pd5OPtfcZfJATfje2zFgBibrfzbtBsUr8A85E7k8mDjpnkt7NPduqectIfH5QiV7ftYJ3ehcBqNm
nWYjWrRmdYuBlFvjczvitxo652B55NHWoQPD++Si/zzGidz2OUBArIPMpMeCEYrtkfRuoJJxhekZ
rka+ADUmLGmMtP6OP26+2IM1hGu0+EKd8B9n+pnAeQOTVuvBjFcO81+2G5S5wLpaopksiGRGERqe
yIeRMOv3LCepsTHjvkmOIyzn+ZpmuaXXFo+M2oVeTdPBKEhHkHUJe0cc/XBWM1KE0vONYRjyGa02
YNHl9MieanI1qB4vsVUA5VjzmqcnLeEgp/cIWLvRNB/VVJ9L9MVtiu+BvXWzMnmS1rWnoC57Ht/t
6t88uuZMVSsEx2Kq7zp76PdsmLPd3w+w/TeO7f9exu1/Fsl1yWP9l0m3mx8x1Wof+q9HvGn98Rd/
P+VDDmzOUIej1LKJiv6zWE2EdJR6vk/kQQR//MkfQTc4rabPVyf6xSm1HPP/OOVt7zdOZI99LcE0
Nq5h8Heybrbz14Jf8Aq+6QrHMylCdfnH3H9Na0dJD0mUZ7YNWzc+2E1G4lc48wQ6OkyTrwnG8an3
CeAfyeypR9fSIsZTibi04yaFRiMlVMve97NNDQpwWhWpMUZrb+wnWtyNxPkW4rS9ifAAXQsSqv2d
g+HDwSsSChQP15W8SSvqcPamFg3WNaOCsNAh+HpeTERGRIRGO6oPzBWjKbsmZRlPoaWas1CBeq2p
76F+QIRby8xxYJbiwZzbFFiceat1NawgGTbsebqh/aRKAf1K8lpgwevG8cWUXdhDnLHmi5dQMIIf
KMF0pHKsZTOXOMw6xbWxU/sQeYJR3Judg041sFS3Cbnm64k7fa79+xGT9ZOoQrEfuc3e1ARk1lIX
A5dIcgFOS2EywwLYhsRf24Nr189DJUb1QGqvZgrqqgeLQntBEVeqcSKzJjcvNv6O+IRMP9w3Qw5X
KC4rN740HNXUlogBcWYa85j8NpGDeIPBf6GaGU4pVlDLuJXElkYizweod/cz7br62lJqU95TDEj2
fDabiD0CEarF1SK4D6Hek4WPcGgB8+AdO3BawqXYOUOSvw653Xj3omh7e2fNDLTkqWyX2itlk8Ry
5g6FOfK7YR/0ZvJlVnUccDihp5RsFJ+9aAxbGkjieFfJ7mdI2lsZY3Nnl8K+YMGvs5WD9c6YxPDK
XQ8BAuT7OHEW+c1IB1o/FeGN046bQnNqWyk2WwjcxarKIzmtGg+WTeeW3ZeD++ZQ2UaS7tNhTq1N
XuEYBjwonjyiQpiggwobVZH24pHogr6MUTqvAc15S7dx/thnukHSgoIFyiRhr+9UJ+YzsEtdSFYi
FSfV6oWVYc1PERyo3dBU3om1JLV9rI4AXZnXmBskruLuUbuSYZlN4dWIrQjdZ4yx/TqKbEfeIlFV
VRLQkQvcIN5XxphfPMZOxHOn3egiLy5t41rAUqWbPvFpRYDCQyFpNWJTvdJhKo/c6Ua8KnTHg+Ml
VFfH6hgPY0ZAKxreen63i7OPw3Id2xOXaz1ipljNxgizoF3gNUXwPKVpcd9oQqIjy48mNOfnQg7p
l2cb47ZFdkOQiLt9kCjJz13qvS/j5i0Ie9iOxqxu6l7/qDDcFSvKMYqtYAt1yAzaZP02MLJXIAb+
41hpVg8YpIP3WvcWw2nhu8cFW7SbpkltUlC5W9+w1dYbGGTMhvotuLMjSjx268Jy0DonyQjaxvmB
fOvJJI7PG6aYbsBdq1f2l6OzGBTvOP3Z/dVIdmwGwmvsNNGHOw5R/zsM5m/luv9/PBbtwHa5cf7n
6e+HD/nR9clH+edr7x9/649rL/fUwOcC6zqOF/662/4e/PbhlgsKSJdKbWg/IOn+EfymTZTTEwE1
9G2Xw3T5Iy6ZS5237fxmuq5H9JuVNUYUz/s756Hwl9j/n+glrkV8LjBJgC+xa07ff4H8VGY9GXBC
uh2fUTZwRjR10Y2de9xjuhADcSlibq/dNHT+PpSSS3Hj0121KYysuO3akDcr3ipxJvVM65BDUs9v
Qnp5qVDi3hawhFno4l7ZrCUmLHXhbrDDhOwMq6wJ8KDp1uEORjhy3saIwyPeCje6YchuwZ1REHRM
SB6xF1YF2Q8fNgSY9GnCUe9ME4flKOl8oHRn6IhxEjDghep/d5oGpx7oqD2UBdqLMguWCdrRtqgJ
5oZsXreEIrOHwa6bT8BgxocuYVd8M/PI/14gV7/aKsaipO3FiFl4UZJwD+/iL9LA8iUHsAKox7QH
D6N6gC07GIrpsTNNtU8hiLBzCRr1pnUdbeCtT2/E/qdxNZZmfZsSZjY3RWnRS+eX/czVy7ZZEOa9
4cy8CmNWvkNBQ9JqaK0ab3/p1NeitZqMekcVvtUIsPGHWQrS34B9sayOWYO5p3Hb9tZ3Le9NkFZg
rzcmwJjdsDTA0jpL+2YxqBnWWzg4Z0ElEvWpZVUtMLQSI2hfqheleolm2sM0pk4mxxSIT6HYNSjP
351eZZcZM/ddnrbuV2JZ4IiUR/UXSZqZ3erUlOiJRC9XTj3CPczH+rnoynw/zAJXXOFxaV+VukHK
Rvz0nhMV989NAyhy04BexNE5u8wEfiybLf8H0zPIk/yurJvkPrM6Cb5F9yHMGaI+jjnFrzKeAm8p
Zk0DsUlLNSF9BGp+UX09tCffGi1jzc7IsHaKmJZ9YI8mPzzObKTzilOOqF0NON9r6ZGlOgU7Z2Ga
5lPXDLLdRsLXOLRgbw4ID12/1EMyGa1DLTrEdZIRJHTG6U36vbhQ+x1maABtpLYDkNmaD6yGj0n2
GLgfV7zS2S8AmmZPXYZTb/umQJk0yYntmQTVhRu5fa+6UXzLCHIxvSV8VQNQdrEOh2K+I/Xg5A8T
hl8gJFwTUxh8hElBRU6DmbT7HDMP6z5LlG+lrbJzAO/M2FhV63/WvRmQMysEbZ7K6bG/UaW1ZnOd
YqkrAfeVlf8WxtISxI5wAaIDG3FNaw+17uBe7ZzAl93SaDL1EptowklVmarngm8Q26iYUx5ckpBU
9iWSiAnMoxcWreK7Pwj3HIzA8Vfw9sRKjjpbU23zooZU4KJ0RiqBe8v9CLzUZ35w48qHOcxstwop
WL025TwSz1LKPbUDZyBQcQz3O6et1SvpjO57ImNB1DDQmKda3gNyZ2ezcg6YY+FWxb65FNGZA4pE
5GdBcm4oZPPWVRooetnQKPFLcX1P1hNQKHObZgzIuIpq7uXIDThoapsGxlBgqWLYEDzmCdwIsaI9
PGtZ0c/hR+Ua6Udm1AZxyTDJv3SjyOsgnlB137UYmMwu+Wx9v7oNAkKxk8mYkYQKDw9VVe5nqwp5
FTrw3fM0+9AzY1UN7zg96bEpXdoqzSq8UBkQf+MTJdFSAN2xSpyrHYeJfstgZtIjKEwmBrNBGGvo
rN97lB+QswiGT9kCa4RI2KyXGNW2TKbFaikt1Z2L3hr8SwyC/pGXjVeApxHRh5AGLeuALfgCQdOe
urjOXlPI6LBWexFgFsoLwtHmpG4zTEk/FVsN6uBljccQSE6OAzzgdsGo9tU7Tbh0oqe2uUfXzcQz
4UnqtBSKKRvXodNYAcuWx2xE3e1YTc+OfcMKuD8EUeU9iYiuxA251cUYy5Pidl1fbjtZJWfHS99j
rO4Hh8LGVW/X6iPHGvOIH8ld2+QIQdV6xqPL64xmCBBrw3rM2AQBYsztLerE8OERJfcP6eSUd2Fm
YBEmGTocrbL3jkHezK89Gg9U2mokzQbmtDy0ECrSR9OFJ89/G6XPTefTSasSkSOFhM4xm8jLrjBB
1byOiAV9UfgUXCui1u+GASje1haNY82koBYBS76jJbHghWLHHrhZbyzfZV5MhzL3J5rduA59+cpP
wK+2ldhiHA2n9TDkY/AUG2r4CT3ILjZeUTTvVPgGaEBd1ybrSMaIg0ZRgQ2ZIrBccYV5MB8amuu8
gVsmtbBYbNthNlGlonjYiJ6o08o1LP+lA5XAwZ1FB+BR5s4uQhJ/YQR6PwymMwIYjaaKgsOqoPq4
tgRk74i0TZT16g087sjIXVSs11gjz7gseA5ZwuVBeSFS6lx7Mt0qZ63j+PD7YhxxUVyxApY9tPXU
i86pQ38MfXfu15RIKpySEHYV+Kt1P9R64+r0PWPdQM918MOb0u997Bp7K0Wl7aO4oCOvSy3UJbJS
L32WNmJb1byJV4nXhSzbKnd0jq7vscjGxy3rIylxaqY9o1qA1mylMITk2sH8GcBe2U2t4Co2JeIL
Zx12Vxs88TN3RQNrqtmn3mHMcjHdznx8viKiENV6HBh13AQm38ZkTYCfVOrdHBJ5z2JpbO2hwYyS
5MNZTT3NrjwQHZk3rjJVn5Ofhyr5ACwq33lDBABrCLPPQqT2T5FG/VsunG4zzRo4fuMQ+5p9NyW8
IwFRuV7k3wZ+5VN/NeLWyUqoVfhCysy/gGc2jG9ukuL4iMYhrdYiA7gCzIEb4m2DuQrAOx8YbAc1
XJNtDFnU2g5tPB3r1HBuG4uL5DqfnLgCw6OcVztIMnkMaS75gTnQRuWlZWnlkuE+FkVHISFvhCHY
OZMprvNMog8Sdktob67Di9nbMMJ6MmLfC9b3J7KMeJmiIem/14TpGFSo5Xg37aCXG+32CLzEsWBK
qziag33p04u56k3WMMfYz+d9ob1oIrjbyxuLICMw2gw1iSCWf8qKNlrXNirDqvLt7pkhak4pH7Ds
z67R7SsU1eSUFyQWN6UtMEBxKE23cRvi7szD1jTwZi4VGUQK5VUFFroIGlePxmMk88bK+ta/DHFa
HL3WwpOOw8jejSM9bIwuQZNzrJp8PTsHm+flPKZr5B6xKXCW34+Y0J4ddC8M2vTHHxc79CuARiUP
rGSa+0HWcbURsd3qLRYXhgKa1XR6bUnM3kxsxDHG2B3zix8297gs/YeoI6ABWgGoxmqB+Na8K20+
J4OHnJs5UOt2Qyc34I2jzdAndF8aDKb3XuyNZ1L4NsnuxCKPwWvce+ZOjYUqrhJd71OzzKjDTFxR
vMSerH6Au7PTh6zXvC7icZmOJNV4NLapPv9gUIgeWDNpLN513Zkr/KjAKbhxxAUybRqA2m+kzQJ9
cDWFFLSaPGeRa1Fbzxl9VZWOzqUaAP5ZefujUJ71MGZD0m2sOszvkxksOAiS8NnGvbO3hzD8oZzB
/KYNMRKR9Iw3YqQ4T6JGzvdjJRW2ZItxwW16tuSF6OQe5z+ooHGBMJplrF/oyQM3oDhjXrDw1jQS
ZS6BgRgmdLavIMlTbgT6FQEBHT5nUjYz92gaOVNMR+tpC25KgDEJIFaQAkqcY8puPt81Zoajy084
3VYoao2m/SSJ09PcY/D3FI1BR+VaFCqnYIyNjQrz8OdAc80nbgc6HrCQlfa24y717EqdJGsfxkxr
kRyu0kW4b5MFy5e3A+8sWcudN48japhVVqHxUbVdcNBswknzhXPuyWNSgmWfYDlw3dmwJqzEK1wT
SxBtZS7Zh3zSyA2wKFlYB5HCVkEYXBMj3uFwA5M75cE2tt3K2E8lVmiH54kP5myI4pL4PekY5biD
A1wvZmB1qkDgK/KeqGZp5hPRzug+C5kJAB9Z1CFxIgCXvwBHMKLFVKVgC+JC2uIahFOHNWYYuKnk
GH11Cq6raZqbZCZGdK1Zf7L7serCve0lW56TZ5EJuIoxUP7VTyOMP7LDvTYNXnnPwqExLsJjJnnS
pKyA+TQaXiAkCoKAMNBT+ZrCPikOIKK0BiQidPdezNr8QFmiAqrWcHjeMz+mODOgbiFgSOqdKOb3
PtKcuhq6jjGznZp0bdk6xW0fa9t8d3y4uOu2b9ndNFFtb6LU0yHtqRVN65mw1Ak7m9Vuba+zDrRE
ZvueLl3Mc1DBHpMS6+FRp1Azd0lbsxkpXQWXp3KDMVhTEV712z6zu11jJPAV+hhbpC6cMDo5bTWp
XS0FZxdVn0GEwUtpkAxpb+P+4GQosq1BZq97mzLGbVI/urjJqTUjXtAkHttGzOyiPpUmkKVDJEII
Vz26ePLMIYXXn3UiblpljuNlGEEDu1i/u6H4RijTld8tnuHqPla93pR+nWKsaiJwsmbnD8SgwvBN
MtxRZInxJdh0fDsu3JFUzwcrFsFwxoc0YwSCteGizgX9LrCX3dYsWuOcFtlbiJDHRG7V8V2SsZwt
3Kh+N5wJa2huzndE34h2NzBgKSllR5mH4+8VMHJPHo6GaUxgzdnuC44poD7Rzzll1iNTjyC6QWIY
IO7nif4kUes4x260qEHMzKE7Nc2gHglB0uvux0SdbE8Xx8FpDJcVYf6ALsi7qQy77AzvCQgYUgmc
V4x+nr+OjXj43gUCiw3+B5OCYh8rEM4i7jVEOImxrbtBx8+QL2J+H2KmdiNPY+uqgR7bwIopNgH/
mpM/dUE0GRvAM2EJ/SqZrHXfArmiRCv4anj1p9upsbtvneVyY8pk3X4U9DYfDTh+69wPIhra806t
8d8vImnsASWYC8+50ljvPJCecPc4CIqjtLU5f3csfhz+6LdnPpf9Ez/58OCGMdvmvgqsajuSeapx
bH/EnQl+X6f9C/1nvdxb0oL74VgBBQgh6H8lrPwthsxPLS0G1SXda5nFZhy82tyQHzfy21CphveS
g2NiZ/CNPdOFHp6FP+NanbLFcFGKaCQczGUffC4ooA1OWXbEc0qtxmZU7EY2bCL87f/dpd//g9RK
23LZfP3nuuX/6rqP4i+a5a+/8McOj3Wc5dj4Nx3gkEH4lx0eCEv+U991Tdf+9Sf/scMLfgt9RJcQ
mqUFd2HBif+HZun+hppJC6Nvsa51AhDKf6OG0bf+qlkKNzRNSJoWO0EWeHytBXX6J6cOa4TRTAzE
kIijYkSnMhJrq2j7knsTbb7E8zbndwzRHKUh1M1yDUOkJ1LSS6AqSR8MHQqIGbSbGVbTrhTmzEGG
SFURt1RRCmiRPiQRtsPWtqjC0dZCEzOw3J7oSFA56Sp0DDcc0qNPF7v0yu7OTUv7PiQCdhtDOiAJ
YpSXyQ7TYxdHACRs91G4dbfmJ0glRG21mwri0w1Qnl0natw8o9x6vnMK0H2CWqnN3I7zGo5WiSSH
e3BuRbULSHsysSjQeB4klKoJb6LYsG4Ho4tZ4CXvpZWmZ80osJFwiKCVUTZYec4XrkePu0r3CbJJ
7LMaNHHfeQxCU6SPQIP6+xmuL90YrLLCxqe5SFvdicajj2AyxMEMzHYnVe3imOFritT/EQ2BddvD
1Z0VNh9z0nh5pXHrN8HSzP6d0MzRiJ0Nd92XqXHOzAMXF995r9WpcK19mpgAzYLG+EQXGnfR5Hzl
ec1OC10z8/VB5ZSA2aPzFIckO0mvYhPK4AIVcVVxMCDCJt607ZmjOTsvkpF8JYLN2I3tOsVRs6Xa
SSww7eFsjYxddmOdiqLS0MncPVhHLmV5f5e19SIuTR1FhgBGD2PtftejAZyl9c372fHtK0MBCKjW
Ve9FZwPTq/wh/uTsBjIC6uAu47K7Bx+CotMqY5+rRlwLCiHOzuTrn23Y41aix4lZkTnkDA5ovLRJ
dqUhJ/3ptiOXOl0zx3F2rIqOa7GX5j3lcAq7v4C00oSnDGrR2oot7KyzwX0aZ32EL1LcZVWAgcmf
H0RS3WeBuTfiMbibi5TqgyFPz2nTo9ubWWTfgTVsNowlnwyHE46L/L1w1HDTBf7RsHPUjIH6oocg
UBAtwQaduciRsvOBLknqJ8vJmdcVjpZznwVXy3C9h55eCutCuYIMSUqXVrMptZHCU3CzQu36AqP+
2qDlAnJJCKB9JVHxxk1euzx30l/URZ/yOGqS5qggTJxKn2/YkPYD0zCrSEkbNNHo1CmBaqG2mGvF
aY/RCUE63nLG6hgWTpL6XNmqKNhEeTSi90uLvA389GRalXFLZN1w06I/KOoO+3ViZ4h8MnPT+gUk
V5sSiadMfd5khVjiE2aF7DCIEm8o2gT1byXUkHPUJPm4E2zlKBEmKCZgBTRYvykCN6qfdZbOkM0l
se4deh8r8Jj4KBRxKOAulwwG7a0OY6J8Ma0R1T5xfL2wvckjbRnTMKNFhSG6r8oekmJdYZ0EJlFp
hIeyCT1uxVxYqIJQp7CXhG1pq9Eb1tRps4INm1QHSEg5+KHBwDuADxxtGw4+WF68z/ywgszA3+Nu
Ff8baMsmTwjNBis75d5HCXhBcWfc/xijpnJhjYxjA1gmtbI7nwYwuZuVWwoo4FDhbpOs5LdPgCuB
5T7BmcNVxG6HpdLsbHRMXGWPNhRYR/hgff7ZtJR470IGcrblhaDnzx0s/Mv0rAOMUslDWKJDcTHm
C6o626DoDXyjdRLQyBJNLQ4wXBV5NZ9YkdqM5GlyU4Kx/RjLil1ynkwNfWodqlHCFHUsJszRgggl
jgaMUH73JPvgKemnV1Hik+zKRr8Jb2yIxSf5vSMtXntp7FPUWfaPOOqq3TB04i2moIArf+/O75Y5
f42+gkJmqvI5MtpNHZZsxNnZFLBszj7/LkUXvWl5KBDTOBSXvmX9BfM94icK8mohd43UZebYm666
za2tgd9R7eOx7u0NhVbtuLXLMh/PvLWfh96dgh2I/v5RFkHuPEQ5Lbu7PGC3QerPx/9dunKlCf9O
D14OO+xAU2a8GTCAJI85WsUXk75FuUladMlGtMsCnWag4R33PpVHs0WEEpt02uEfo/EaO4E+kEH4
juIWiRW26srCguiHwAXreUfnDVSqqRvu+h4VwjVAEQyo7DfCUfeads1jlPjynlWiIkGCqduYzYAg
XD69dWT872vDRIUYACw/dXOu73XUFvndEFbV9xJP5kHREHmMsHgaKya64sOPUusevwFRaQKs16kv
qGZiiyW+x5jTX/IUziF8WXYFhOJUlK0RrMRPkc/NhUvb+DPCAK4gqlVB/gRDEud5YIC/xKKUUMZX
mTL/mdLmGANlTkz068F/YPPlvxSjIXFNpHawC12wHhcLXwlvBZ1sjTJsn6qYvQF7nLH8YQei+jmA
T3wdGxtGXeMm4cb3Cph55LBIzqQTmRGajpybOO8MbloZcADwXU1xKetJZAB4KteHVGEMchuaiXgN
qtgRa/w4017WUWWztMrcr8poh3s/w41rVmV+waaaWsQoo+Bb3lre+6w4QVLNW3VFP0n86g8GYIzJ
iqH96hyUioZHI1hHH/CfEJWIPQv+l90fseBQRMampdx4auR2AQyAFkpB9rUBwKVde2WEc/dtSizj
lk0DEcWJ/QGVRnE+Q1oyYGIuOe6SJgNkZb1qTdw9hH11Tm0rNfcdZH97NztO5923cshfiy7mQ1fF
sbNQz4bI2UA1gMgZlq0DWAD9KAIaZxstcYHFnsM6A6sOsUtDXz2fBPG9YS52numXtccgvYoE4wSU
ItXkHeLN+MsKxBYaJ0QqMCHt0fK8+JKWBtahYXERWb8MRW49e+ZllHIGd/HLdFRjPwp/GZFmaWhM
SU3q1c8R0MwJ0iRgFklIcvExlRmPfAjoAmIi4NossPA79U34RKWKfy+ZXLBDRbz3fWQBdoy4pcLF
N1UvDirOs+LqLK4qcnZiD/GZ/L4mD7oxZDdfushd+qiJNCOBLwat+nez1uLbmoSPhQsjJOMDtq5O
U6LCTvjBXBxfbZdG2x43EEDSenhFYmjOhUzjb7Jr+nXWjaAEzdqPnyjgwE7GdFPyG8ZjNv+ymxEn
wnqG4wAbGnwALGlz3XsOOwTI4Xc2WMkrzYsOTDicbO4vU1v+y+BW/W52+934tnjgDIEbjt1pyq9Z
6yDehlqpx4n+3vqIaY44hz3/O3vnsVzHsWbdV+n458XIslk16MnxFt5PKgCCKO+z7NP3KvBeNUnp
p1rzO1EoQgIOjsv8zN5rB+9ccxyWPmr4AdJZaAa7NBL+Wqf/eC31zDuOuMGu2P5eVVIftg0sFxr6
Ml3U+WQjlQLqlbf2sZpsXKaGugucKNEXzOJQttvTKxdGfBtII30v27IjF6rSK7YZWgJIpvbzBa1M
9R4EpGIXhe3vGfT1u7TLuKDKIWQ+aUV1rK8FgvFNZcrZsAVcq94ClAj8sx3C1m6KHkMnSqLpMrGa
esmIs/haNuNXRZaIyWw7ygCmC8Ou8P6n8DZxksXx4ofm7C9SZmbvwf+qNP7c8dBb/djxmIwbRAFm
dW8VKcJv027qQ55q8d0/fxjXMj3HMhwpDfsXMUg3ZXnh+6jJ5VADi4BWGjN+rNgw/v5xZpHlz09n
fn91FDGCjpB+7ueng/bPULBF2j3K//Y1nm94R010BAErXfayWhJ9SzuMTQtLZYb7N49uzK/Wrw8v
TVNaCFHpbn99mlEfsLqtMXBYdUS47lwIGG7mbADgT3xIm/TareABJZDAn5OxQAhJNdEJ726iurA+
ywydeOe58Mgd6v5puBpkUewd9nzlQSCdLheMYBnRa32UXjZ1jWqxkGjg2bigV7G90+9fzz8/ITph
QW6mJ3QXQdEvotYJdJxMi7bcT1FDDhxIy6DEeh71hJ84SGDmY9w19//0QZnQCgtpAZWpg4bo5zex
BhRuddipeNBgOpnSpJZWGP2CQyTHChHxH9OJv/gCzC39z28ZD6YLjyfIb7J+TS9B52bks/Bm30+R
tkZkg1BX22RiUH/zrP78TcOARBlCkh5DDtOe//sPswXAyHpZVFG+j5ArqUtLL30uTqJd293vn5H+
5zcNPZhFF0mZiMJZ/vKmBUlkxfZkp3tl4QwNW0oKvx3CeY/ume0qMVj6bD28gB5XXt9cJj1z9ysk
1ksuovAdBT/VX6kzNgRi40+74bM+rD9rxd//qX96TRCj8dHyGOzwstjmr3+pRgQO++hon4ShkPvS
bdXVUAw0S//4cUy+9iTOzZMkc3ab/fjaO1XYVEHQhvvcpxlY1SAiolXgI8j+fJz/qBnvxvLbf/+/
1/csymf9bh19VT/O+MgQEpKT4od3ZfWqXv9l2Lt4zfjhO468tv5V4v+vH/tD4m+ahqMzxzY9rovZ
rvdd0ujpX3Sk9YblcArplEN8Uv49HrS+2Ij/CRPkRxD5zzFp/x4PGl+Y5CHL55NlMBsX7j8ZDxLk
9NNZMUv8Me+Z/ELHwTTAifHzxwhSEqB0S293hAWMS0CfFLe9u8s6goHJEnhyHZgSHSmaSyLlxi0z
wG+DYTyCAH2i/RLUg7NiourfaX/kIlFZu1aD0640YO8wnKv8NilFc4SKR3I61FV4qzpM+Cq+dkot
WfW087u80dxFEJQXskywEEU0FWNhPxUecdxOO96AhfiWlcQCjPOQIyB9N/ditiGJ9k4g7wXLPoNu
XqtewqIKFsQmDDs1jjjFbNPnUYPuJWrSnTYVJ6iU80KjZ9mQOcFVwAAfgbGtrUWFBFo34XCX+DGO
KramQ6lB3AxZGA0MCDD8IuwZH3wvuBNR8tqH9VMiVIoEkTXuWZMWwMYBvokqUL+F7dhCabTam2xk
0VIn1ql09GFvJLh8Jn8sVrA7WO5XECU8AD0jmsfY1tsPdIuUsFBt9NqU1yhhBXTscB1WTbIdGzvD
V1AB4mbdsdTYqKDeDLSdY9XyQK4ZWR+I0BCbeXIPAYPbNYUgoZzxpWYdxPpwonJmsrkkq5N/Qy75
1jqedvadTuyJKnPYiAHaZy9qnaekbjd2VnyLddVvNa+SlzVolE0fwClGHkUI6jwGgsJnrZMwJzzc
QwtVZYNx4zbTe1n60L6TobrsidJ6MovxCRFEiMaIzWXjxbBXGnGyqqRdlwX5LhPyzGXS0X3mNIDy
k1UHJt7p+N8nlY4hzAPy2LpMHArp8AFwk3SH7S08RnSyxFHfSdXEB1cADcPWB8zFr5sVbFMywhB8
nWMgzhAOiLBlgALvOqHj66MQSVVp3ZNZ469loNnnNq4e+bx63waRq7XQ8uxiMmBjZQr+X1c2d74G
zG8c1k4xZKgzm4d4shKGCx21b24CmNOs5zQfxC5WDcCNclgnc2mDbr/ZZMgqHsQs67Ed94ae/24a
4qvcpKHDdWYvu9ByFuwNCTT3KKC2w2ddHX/W2NmEph4HPYHewViXV5YDrVK3NY1IkiS99BojJUUw
6PdZpMOe5zN4GaimO1B2RLsgYWGZhiHHmddsMa2eWzD2sPTT2jzaeRHfNLHlbo2SUGQSNh500Cy3
GbG0h95xxU5X+PWV5dzruPeZQHbZQ4oLbslb1a17e+wUMzI1LMiJ9p/rArgn7tHqhP40OExjz0yT
AbjF6JZKZNX69TdkR/kqwEOxcAasgrgfh2s0qlzdg5WsyZijU2gclAOueSlqHxysz/zd8froutfJ
Uhi5VC8FPWpLJuT0Fb3FLlITk75eFjtXMGRYgGG6RnWFkk+L8DZAY9so4UEwb3xJRE8A/0315HJi
/sCwE9o5m/YUguqo4RT2eq19HBvPuW8DjHiVO/qPJCr4Sw1JM/IjwSiEoK99LKvxWCHMvPeisjoF
BXJT1FSTcZNOjAY8Eui3KMTiRxL6HtGfqg3+kgXhHDnxTMNVqTrjW0dRchMB7V5hzG2mhdk5kgkJ
Az031ABsNeUbFKz+W0ffeylLsz94owMCExbekk2vvdRkCoZjCh5dKy0vtNo9+lpmAD5bqAB4vkeo
JvpyNFGM15DB+gbf3MiMQagkSK67UB4RdcRX/eSXJx/b4mUoPJ0erT2hwOy2eGCrx1y0LQKxrGaL
MbYgD9Blt5GONgqFIgyrKb7vPP6MtB+nG/ZM14ONLcYg9HaFHyXak6h9zT2k7Un1JKxC2MEboDg2
3Kl2FwzVzAufMVdGri4hYNkr1wVlxRCD4FIjQqYeJjdVYBXXsIkIEoisdlHrkiEmbdnCHFx/hedm
hITINm6v2VoLzYe8QT9ys62oie4bNIy8Wsa+BQKhWHXS5BSO7G86TL6VxziQ/ZR3zSbja2S4GINj
5iSWR77PgI92nXQxEt+2mdafYRKZn7Chz/0HQX/5/W/AAgA6JOrpbZVnPGIvt5cpvHn0YpN3ThJI
3IyCbIvYJTPo37QASSvi1b6+M0r3w27iM1oPTl9956JFX7uGe9lR/AHUSEyiItywvzF6JMWdy5za
1uIbOejlmS4Dry2LxHVl2CiUmY7iAdiytE9X6BRrBt2a9zxNYIgrr3wvBj5QTpPedRWQtXgY+1We
ioupm86k1IxLbrv4njrJ2Lea5gGc5J12k9HH4hUA7c44epSXv+fG9NbK4qWTkAAX2mSG6xTV21oS
YQK+LY8Ogx9cRWFVn10BDSowjetIR70y+jBoi7wz2DUxfIZwwUQhluau6ZL6jk2/gpUeVFtHKVSr
Q/EqNE4htBkr3/DXjrLfxpy9k2W/Y+q2GWyCA4xM+/0/5e4nYuJvyl3TM9gc/9Fl/qnUXUTha/1j
ffz9B74Xua77xRT0gVS+gknFpzvne5Hrml+YW8y8CYOcQlv/IbDRkF9sQ+BfnXfTjvGTj9X6wk84
LnNDSESSVvafFLkUzD8XuRaFsmuSo2DZ8/xE2DzTH3ulqkPbQ6yauS3xwd/FgTWt2jHMD4NEYtqx
Ddp2VfYcYpaGEOu6zxGb5RNAjZbZOv+wtrmnO+ewsJLHOAwjYsEm56x7ufT3w6RC+PcGiv9FVDvO
ozH1KAR7RMonPyEugJoYxnXCqb0lu3d69Eyn+JgKqR7DCdrzwjLpnB2pDVcAp7AWNqgrrapIwAG4
xmGoO+MGx0N1tPCgHNg0U01giMfKNyIU1g1tpmVNhnUsqX+OceqZDSNeK79jAzyJPX2zdhQxD7S0
rbiDIuiw6w7tzL9nWIwH19bso+MhqEfTD38x1lxu9gpF5YM/uOLet8cePq0Z8LvNAgw9wTqkDjDo
Nt69udtcOGFWHOpmCLgYnYRyCUH9Im7a6CSyWFoQThEXA2tk8Bc6Zn2tgafwkGBG47VHU79ht5Gf
c9di5C5gsibs6OwMLhXb7w8gsNqNT+AjK67I75mB2hmsHQ2+3qLRxuoCsT4pkpVws3LjSwtIXhCS
TtJM47h34E5t2hEGPStC1g4kqJiQS2VxYiJo72Ndh46YWcLcZHARd0ZrwxUezI8QXTu1RAi/m0A+
q97FGrahReGJlkQ9JXh3w9YzEiRYcA4bSE9QKXO5HpUoN43U5a1dCLnpTLN+H1XK8jRuWGe1bDi+
loneP+uqcw4sAoMjW7jimmQV475H5n9ObIAF3K5CahuEQGiiB8D20PgtYHlLGTv2ASTcuIO06oGr
yss1YZwsnOzCyg6oH+TJyuP+YCvFRt4u2axDaVnrDgldIJnTuyy32eIJK+yxwUJ+jyaNyCGX0aZB
9wFmE1BDeAmyAIgnZgR1tmvXPNkVCQFC1ygOfZ+4FS5CI1vkPS+pWzvwU3XNA7UVtFyaidcNJ59c
1ExM/ouHxvqgJZb1LGswmmya0l1g1AYvU6F7F3XLC7WwZU66XNmxKl7CNcDHlSBpozQsCFdgvwY2
ZEFHgfaM9SpmYqcx1tHY1TdawcXmjvEaMw1StbJ6KUmJIwO1yFaV6rSHyqqHJZrlgxhabSNbv1jZ
o3WpEsp0hDubzKNZ8Gvr0Q+j9awJ3hSFrJHWyfBkCbeHfVl9JcKsusic+raqyw8vavylbybr1GvV
AhXvUk1Wf5mxX5R2aS1BheDqNhwQ4k6bXfqYD9h3SPCPm94wknxVEdKziKwB/WDRTFhdRvAYVgyf
jM5t2QuTQbKVhVAuJpWdYLQ6a76G3T0r3fysiZBJP3FU29RSbXtN6jSSSxgktYthW0OrH+CRfmlJ
80Ar7ioN644Kwq9woYVYcZqQYFWISXkHACJhuDVbXhxI4Kk2IOvp+SP5IRthMlcx+Utm32pkRyk8
E70rk3ckBhAq9FjbuE5s87FQw1bPbGsrOksgCqn0vV5j9+p6wraygNTDRTD5/r3kpV22qnMXfWmz
RiM4pV4RDIOsnP4UymWs2g3MnemMfk3cunE9vbjoCk3W73V3zAyDMB3pJ1e+4fobJP3RR0n2hAJ8
TcI93aEYN7M+fU1abD8QNyf5wptd+1xaqSBp2ukZYExJBIsmYu2Ao40aspH4aByUh2biRTsifuon
y2Cb7tcjEQx+H2wylD7rFHnhrUj1+kmjjUVwxIB/ZcQQupuW1QKvf3MVx6JFbAz37S2ALw0kzttN
gX2EvTaeFO7Ap9oIGuiCw65lZHHL6iUhJdZNbsaoCi6dRkyXBgbRrZvn5lXFBCJSe7aAIwG8RPEC
oujuEWZ1m4aER4PCTVZ70OLahWhwSR5NPk2XPf7RE0spst2T1tMPVp8+k8munrFZJw9V1BZnXubk
Oksm60WBWEhIfxEDsQu4xS4DxhWnsEOsujCCqSHthmC/3lWAzUlpIapoyqdV77fR2vLaYzpO1jKc
OrtaaN10rLUO5IjHoup2wvKxSadsuvUnZUCAwr336OIiWo/loC6z0EKzhegfsnI6lcvGieP3Kgnb
vd61vEmZZke3KWb2TTs/towi80rhwNgQXDvuEDfD4elDTOZ+wNHnZnCTzTxl9JDqA+2nBZjvJCGR
zkERmCl7rvuyrjZoL50NMPb+BnesDS5AC4otjIIEm8YYbH0rLJcIpNNHLW+ne2UBHZhMxMcLndi2
Q2mB+1zmoanvA2G+Y5zCkKj3yZsdulWynoq4vB9A8KOkp/Sgm6hqeRpKNz4bboMPruFsJaDo1WzI
ICKYLb6Iceldmhg8ZmCQj5w2673kpec8jZdJKExtPQJzuIbGoTPBr6LprjAo3ljuAqkRTe08MNHo
7odYf69bgu+2kQ+ASgZArGkXg2+yVcEmd4BnLUYD8u7YWIRvWL3H1AJR80Ncy/4OVF7/6mOR4tA1
ulgu3ESgw5GxXd7LMU6/pSbr09ZkA5uFEQqZTOnPYWwYsEBiQLYKWAb0OG8zBATLQiKKDxPI2CfP
D97mJCS+Wu6xIvFpnRlE43RasMsr/VZMvM+YbvrDWPkXyFqqhYhJqXLbfgKmCSXgNqn5kuxaL7KP
Qx47tx2o0YXWtMY2zj21hxdG0QHHtnlDl3vBEp83ajTqvVFq9rYiW9pYIKqJVyn2gVVuG/01TVhD
vSe4WpmtbErulHuUQyldc01bnOv1VSqt4T4pJ23lJJ69SNLcWZZNChm/sLU7YpzWg8UkqhaGe90z
hruoSRli/RnFj/o4GvuuZu5Zd3n5jlsvITWkydE6dflukLn35JjZeDmDzd67xhg2gEiB/PSOM96i
Pql2pIlTmBjNDuBSeAqLlsTXLqxevLyZjgN40Q8JxHpZ+vZlibr+mGlc9zkyPRoiduT4JFw8tJjO
UWGPnRYd04yxD5VkMnz4PtijCWx1tBoQPl+QrsJBAgnsLetqY91rjXsMfE1t+6yPrpyROkoPfG8j
lU42RiwZFfkesr0Il6DuM5+qmuE9cyZStcvqonVNtdNF2axGXaMcUFGyINwtOREWggm77U8UndEq
9nLrMu0MkrhKjvVCaBbBCDBdZHQaVfiGouS91L1LMo2YkhUKmaoVRPKmKEuCh6pS6Juw0o6ciUx8
yNIJ7zJMJETLjEMeLUXfMk60vWo6Skf1GyKmtRtXjKZ4xqzjykPnNzg8ndLjvS9S64Miq2i3BCXo
D1xS1XboYZxLuw+qw8SMAJy0m3jvpG/oOjBMbqPG6vpbL7XlygLedBaNdk702L6hmBwPsQcr1RQN
OTKM16jmZhu8i8gAzWmgN/6iJ5PhLk30YJc1ChjnvPbuVYxDs3QuOBEU4/MgOzmB0dXMLs3oqeQn
TkamETNOnTld1ModGWmJSj6nVNa3RW3UJ76vrNl0KFEbWvXuOtEqrEujJGACqyLAz9LJJ2PtU+HS
cCeIaAfiEm8n3TGIHiPM+JmQhOxkNgnhGGSS2RdmQYWSJBV8VIrVzFiE0AyuEkOh2G+yxmc4afcQ
UZKqDgAQTPiySScrw0eRhAhvylKB+ReWdggkJYbVkoaRpNkFcj4nXakmOxvMtq7dQDALHKRJmEBM
0s27O0b6W1C2LgGeiXwmKKHdI23U0NMgXyiWWRAm2DZz9n2kK7JlQeMwIDErwL2TT9y7dw2mH0g9
iBDXA0vshVSFu7Eqe+slZKWRkgD5WQNiuxxjv95yar1C6FSEz7cF/Dcr3KYuUuchUtvQCK4QLX7g
6wt2fl5o+yH2SW0FsizKcGfZ0QUiam/ROWW2StEE3oq+1iB61+Qd2qm/SoRvLlMr2WpziyElghar
nZZ9scE/3hFrlhwcO/8QSKhWEaN7wwG6whuBG87hyokAmKy8Inz06p6cqTC4UyExEnoa3GuUHQva
QbJNYnVJdw4GsHfP7D2rVQYex4wINaIZeUP+c0rseJVHtruEF8DdIIIXVRjHgCiTBWoIY6Va6aym
vhrBQYRqL5MMmn2P1ww10cTgLDMZv5HklgCzXUUd0cdMX3FwpvUmS42VSIdXhGcr8ml3CvnyCsnr
5QQW+ao3s2LthGIiMH6ytqXJgoWrR1/0PfAKXPmGeYhzPCl+ibLmc4AZYCRZY1Bp8UlGUPY0FhOb
iTxyilINoNuA1RBdnK37DKyT0QRo3LoExKeQ6hziUKIZMAAcrSYcORk08sxNq9tZmvQfWt1on5o4
hxEehikNS6yIUxoYWparyei6a6xsWbh2gtJ7SLEtv4LU94+YlnsbM3O5oKCxn9AhkiStGC4SKT7R
4BCEqEc3ThkMhI6Y5rQrBzEsuDjEY5A3cIJEUKKAry0HoXGSNgcpJZiizm1qjryufLQsdWui9NsK
5d4pldhHDhiYelHp7oa0eiVy3kRTPCtfh3jpYc9dl7rovhljGxpUp8LFA28iNZ98kIqhKNPnEYjo
jKsFcVjUfvfCN4sBvV2if82ycJs5g7Md8AKubcRpeyP0AtLQDPZkLlOChRvq3joy6vKoB5z5nEKi
fwjsJH0uUg9akqPafA1mUt67FC4W1IAsHcgSJuHuP9O3/8v0TTdtF8nD/3/8tnutx9f8503z95/5
PoGDF2ujahESqwdbwR8mcNL6YjFbFwhs2dWC7+Jx/rVmhpzjMnpzEBBIiZJj3k3/e80svzhshWde
LNO3+b/8AxOKLUHj/aBIwXeCpYUYMZtHES7snF8GcIluoClnTbiNO829RJ3Tkyo45dmGrPD4KeDz
9WzPHun80y7tzc5pe7DMtUiqbscIzMN4UatbDxTqnGYaew8FtceT0efyYpqEdY87vjn3+CT3eP7i
N6ygJmE0wbAHQUkWbmZDanaR2o7LSlfWezJMpA+i2VQXDgbIO+wWfFMixOGEa5S0hq6T3hmp3q9c
TxiHufy/aiozoYwkmFCFTkbIEHG7TunHD4jim0ONwu+BOyI+I/fbRAyDyLn0OuLCK75asDwWcazE
ypHwmu3ENZZmTEtRpC40vMCuSuICi4DMFxPGSkM2qwVbb2UC3lmb7pDdRqqWrOFjddEiMFqBlF65
oV0u8EOyRrWs8mySGHkYUmGxtQ27CwuS3KaTSXLbKaHOheLKjqWTk2xsNUj7Gp2JfdXdpDnnf6c8
AOEpir6ktS/8tk4xpwwoBAcwOnptmYgi84573QBbDgXwMk3NemfPlYOqS3aLrZpevcxKF1TEhJEh
r1oZIXFtQHvStV8r5huWMO79pPxAQFbaq1zVmEMH8GbPQg3Bg+qC/mkM/ebO81v/mz5Zk8Q2P5Xd
Iqp0VJkjvnccRKLNmk1khuI582wL+x+FFiOsSQ4v8Vj1xCP7VnTFYtI/sf0Zjh5a8nVdkshA7Ta5
0apoPW+Fyny0lnxGNHepEQ1XLIBzEMEN8uZDHwdo+p0OgF8UJIHWTZGfzMzSmMTY1W068r5YFUu1
JiKJZYCFPYVoekmFMs8JCSnAnnL1OMQO7gvXax9lF0cPlLxA+CrtxnDi8hh3vfFBcKMNSGd2fMdt
RSpcHIzDtWHE72HovkAn989lPQHdIFL2aKSmvWp7Uv0WKi50fZZ1c1/OvJRz17XxTVi4OnGEzXgg
skFeZqUHNS5BooxpHiR70J26yshfaxjCu9Gw+l0QueFpZuvtbdBuRjD4uwJdOcxTvDy48N3islf9
uBkdZzgghLefQ7N23HUyddqTjOzoISjTZJ8nff+SIYZ67X2MCCEd1qpoXPfYm1Wzirwevp59HQ16
dWN2A5ieNu1ekXpXD/ZArGBdtOZz2ZUB4sYOGAIUFaljYUIbbmVMblf8r+VF0KCUob+3gqMZkhZM
kkh5CeCCJgQr/aPv2Q7ke6C/ECoxlSwF4NtN7KfsnYE5M4aA5B9omR5gIcqwBZk2Fx+mkJkkiFUJ
S4/ePzhY8A/00+OKbqs4+xJulaNi4zIiM+tc5q2+ViEGgaaT0HLJBbEjtselc04wr7PyTmkisHro
31xnJG3VsauzoSMNXfUkPesEDBNG1JGWif+naRhM9o7o7yNIe9VWZ8ueLinnE7nCHeoBMoznrbkZ
o+U15/qqzTv7bJAmvy5SU2xavDY51ggl7FWJ98Rd5pAG1sqUXUTOCnwaxQSN5ByO4mdpGcAWfExW
VPf2rFYfJ4Qvqy5luLeoIwdASQ1H/kSCWfGEOjLIKJSD9nrQuvwdSq4zUH0HxotVg4xZ5GUTPg+F
i9iBAxGurcxjyTw+NVr5POaWAhukmS5iAVoKFMb9U4XDPD9EzIGgB2vFuNd6YedblbkmTlgK1Leg
GIyCVUspn1p2E+7aS936Ssw9AcqR+dDu/ZGDkfEaZilCADetAaB/6xpiLp8NT3t2wgFfc1KQWQX9
q8GB4TgyE7soMsp6aRI0etGncRWuh0GZA5Z9nRyVRuvjejsyi2NjY9jFbeTMkOrenWhtKNCaN1FP
cLhbQFYoTRDcq9syFNpR1lO2abNS1WvZhoyl44pcARFAEia1LWmfIzzM9hKDGVEUfdtbxKI2Y8hw
TnPgITe2D9gjBcYSIK8E0Ux7eGDq4ux1XTEBb8BxfdT4lB8JVGu2BZOkdMk+iuEJkpr0Jkqk/9iS
+31OPeujGrX61Y68GwuCY7GYiMmhU0gLZwNHyDu0dju8jG7HdsdqO+fFagWQ7HmmthdOAMQBBQ27
Kb2TN37iTu5VkPgasyMrg9uQyLrfeLHHE6hlqLZJ6ilr4dDk97Q5WXzPVmM4EpYesA6PUI63ILhX
VKtw6vBJ9990l1vF9PpBLVEug3EJe/usJV0jF0g5sRuiGLP3moYzh9k2FPGSqdAdOYnJEZWWAWtM
z/kAFqGFI5Fxcrf1cfjdt7Qe5ySzkRYnmoijdY7R6Mn+ZE3IT+yEBfMT51tEnmvD4O9QpGn1yOQ6
s/YREUrl0pdEySxhsEKwqBG1n5KcN04zU/KvNNHwB9pdkL5XWofkhDD26SKHGaIWagZixHnaHjlD
9Vehq/GRXZ27Tz/5Gb6cYs5exEDLnl/NgB76wLM3YzeajnZoESaw9rD+as8VNCMy3FmzZTmp0vpM
7vCj3HsIZpqHmLkelom1hMhG4DuhMrOzmQLWALTFK8uhqy5J8aVrYwShHrpu5oZMkVm8aElR7j02
tcibzdK8xReOS5FTUXvLkeSTremImiRtkHfAoKB2WRsWGulr9Ikr0bpPdMknxiSOCmhsuDPEk8pq
Rg8wEL7JT+SJTv7zjC3o5U1sxmGwkT0Dixo1CEKBpEiuvE9sivpEqFgBNBWfLA5AWHF4jRKLYUUz
I1dq/BrwgtM33iu6nWlwy4e+UdwCHSgjC/zuTVKHoDYSEwHKgjXDvCIqmZBqMmFUYVSaeCjjOa4V
H548deHk4JD3pQx26hMQI9k5jesETAFYldBWl4J1IB9PaRAWYCSh/wRfAj6PN6ANjFJeVTym5UPb
DM616iMPM2bE+x7XOJfxK0zn6RNfI1yruWl1Qo171wdto2bKjfMJvOln9k1EMsgpJt62WlrccGzP
7BGqdwz8TIcVVC5NeEjreBIkdH4idED3xZfOJ1iH1HvjlXjO4kGrZuiOzpbgwqkHXhF0NhWq54FX
qLTKaKcPgfuaRKn5FV4FB31ABNmDpw89r284En5oyeAr3SHhj1CGH0hoxlw5wThvNGVcJJMZn9NP
UpBmAw2K+9jecdOWCT3jDBTKYnZUW7i83sn3Bvc4WArwEEsWIEQRArqXHmU15j3MOR9p6WXf/DY2
D7avBW/sAOAZBc3knZhDX4Rwi/fjJ/PoP03j/6VplHx20LX/rm3ctvFr/fqTrvmPn/pX40h7KGn1
AHuhU2Zywe/7Lt1w3C90bJBlDN2gOMdH8EfjaFhfpG4gOie/z51FHfzQvxvHmcYqgZzoloHfn4bz
n3SOPMRPfSMyekmHpdOJ6gSXyF+8L54RdSiWGL8rO+QUntjrP4bMzP5GS/+zu0BaApEUYapoUKRj
8Lx+eZiGbUXcByTNO8gQXgCKuBtwDwHFt0q6bZBhlvrhXbj67sX4r7zNroooVw3ZLrML4H8tGt8f
0QHZgoCb9lqfm/8fFSleNiUMZX3SK/XBA4+cCaw84DdRGefShBhLOXoLwzzeKd+9wYXoaYuKn3rJ
RxPWUeXFh8YJzYNedcbamFq8gmPan7Ngmk76kJTnv/l7f7aUfP97ecsR0NgeBAM5v1E/OD1i9ogA
olE5JH6RvfekkS6ROvDPxMs9AApYY/tAOj3ak+K9Zsv8TlZ0/zAGcbkFFWF9BMz37vNiICh4IGby
93+e8efPCRk5s9BIx4/CZ/KX+YL0KkFi1egAtiitczTpycD0qzBXsulDYuFwHC1yvCpHMEUDul7B
3QD2es3f7O7CwZKPxhhklzjFj7pe7gFmXIM1ghXqswZAi1B1yTP4D3dLzjrbIoJe31o4AzDWqvLm
98/F+nVWMn8YmVIj7zdNC7H5LwYSN5p6oVrTXpdtGp5AkUF+HwYjWLFVDIn6jCAeZCT0rrWi6d9z
pyfrG+kqzLE8U/ZuQNF93VLlPjuAp7SFTmh4lmj208BGp2nss6wjYwWeo1vKVAvIoGy7vSqw/9ZB
/FzaFXegbz95tjIvlMbqMx+hb0bdrhyZeuBldy7ox6uTpfkT1k/KOagbEQjzEPHhgpG3XLeja1HT
9ua5LoFkzH7iaQEdrzzaTsWanwD5ALaoIY51JnqKZ0Pz1KpADf30+9fy84v7y9eMTabNaAvyiYmk
7OePbSkZI9vNaK/hnWSXhUhyEPO9OKGw3EpT/9Difrhsx2holhky02zH6KP/cKq0frPKSp2rAMM6
JYYh9z0F5Epq8AgWeS71JWP28oqou2aHJT4YjkGZje9e2+ss+H3Cw9NBe9LNJDiVE/HrS2oIsRgD
MZwgDMYb1Tribz44nKx/OlP4Zs5XgosXi6/CL0/WFWUn5y9Bw9TsAkhHS8omSZJ7iqX6igxJb1Mx
qFtQv07XdeXSTZc2dbrluuWOiYt7jy5q/MZqU3z9/fvwF+erOx+ys6jPEa4zny4/nB5pQNpBavc2
ogLYKvC4PlAb7C0FaVUO3XfDEklgwbfiL87Wv3gZ8IDOHixhgt+aHTw/PljB/cC4R9nrcWzkk2DT
O3+L48vfP6W/OBB/epRfvqWpG0dOY9b2OjGj6Jso4FmObU6ZClB13Pz+sf7iRCAJjDuaG5W+2vjl
5eMjGZcla6l1jjnuaGrZ9D4RSnqyalPcGMP/sHZmzW00aXb+Q66O2rKWCIcvUNhBEAS4iNRNBSVS
tS+ZWfuv94OeHsd8bc+0HeGbjpY+iSLAQua7nPMczbFbs5WCJ02G1hOIM7X+r7+B/8NbGsIdI3CE
859gs39+S40ReVUqxKYEB/RmjRIFFczJf3EL2/cv8x8/rSKwKBywE3KEI9n0/8mLZHPkBnOZE7Qn
1K3V9j0Tc97l2XCdqpcmzC5TDQRvGr+mEatSWhoXkihRKi0NDB8HDDLMLCRZtIpXD7HMjpzXjjny
TdstwI6Z7rPNkFiamOZal2UJfemCt2OU3+zH/y0E4D99Cv/5+RBBQBgod6Vrhfe66i5J/Q+PPPNL
RIPEHGzoV5oI7UwAiAT74eIRjvlf/3T+t7ctJA+Gi4/NLQN+zJh//afSJbYh8Rrhhj4+OcYz8gnf
XIZToupy66A93PNWh//iH6UU/OdPtWcyNcf4fD9ZfUF59td/d2QxbFd0gRsmSS+CVe3GSQJCyuNp
fHdkQ7arNembkWQHlYwffljn9xbR/swZvtAtpSdqHxbWJL05sfekW9BnHG5yl6l2V3Y1ma5x9hHb
+qMZgCCZI5nJQcFwpGI7IOEorPxxOohioAn1tfkUeiN6JmxrTPkZstPOGKvMnM0taFBxDhpgqIky
H1rbKLf+NAIYiBkvOG117SUS3lomLR+g2+yTyjVw07nBcxI2/WXxPsEifNW4fS41bDhEJSJ5h0DU
XwyAndsRxN46XnJrVUlI2xAm811J9jMWJ1nmH/M9gHzqsxq81qSHLxuA6s5NXcZKVee4HxOWg21o
Vi9tOzypYNfzOrM8sX4DR1QbEWNKyYyk+snEIFtg8Qm1FbIgoC4LW7aFWMJsGCqPEHuLJ2vy4Pna
uew2JINw56re/tZOEZxJ82BuzuSE5W5BAk9oDfFmGRmRrWNuqZ8IVsZNpusJI/sMXsF7ZncIN1g6
FSz6vnfLaJHpfFIEaF2BiEjkWWzb4T4AhyBErl52zKj3sffSMwucCSIjTTb8M4+MVcb+hRXvN3Y4
8ZbZKJsdNj+bMBh+VCmBHNWktxp94DlG0vJGYpBzxRAgAmw+TcXXKtEbhwueKEdeq3B5mxLGggOZ
l/uuVQotbkIoZRGQD44YYrioaUGXiIftCclh9YWGRl96FTCqiNPkD2OwcIcsUe9NotOuugys91q2
5Y8xc3ZI5Jpum+VT8NQ0VXtleduTJY8qh1GeLec1VJv5tUyW7urEc//a2jCdpKHmFyON213LxP3R
aGWyJyDJuDE6yx4xlKVRbtrm2pKVz7/stY8xsttNMU74zdF4fRqxpQ6N14hHFrBynfLT2y951V3T
vvylBn/+ld9fITNTY8dq98lMXGyYL6bFGiBAWCTj+Rwbvt5hjhnJKCia33FswaA2eSSl02cU4CwH
UKtZR8xCy7rrJHMi8KerZkrE1ZdjyqC2WdZmC5qwmVX9JzD1tDUYKB0rMKCXWgTfqRQftWkywNJW
08YrZWfTD1bCDbKlkWnpDGclddCb9TqFWTISrMDq7Ydq9Y82RKLDeNdSv8rG6t6SoPD2eE6qXejM
xEvEyBrpfPSDqpRYkzXl7XNycrfs1JKNcPimLNOr33C0GGegMC7zxZg/XNQ3TthpLys5QrBwvA1/
KtnZ/vgQ6+HbEcmpbCZUK3kIPLk2nSnKs5Q/YCTp8wDOYzNMpMwUhG1eYt0WoMyN4Nnp5186EM2t
VKN3AXoPO7hC/+g62XCAify0tKZz7dOKnwkCknqd6rE/Msoc+VB16TYNR3I5ID0z0m4f/LvftHCA
qCVzmkciXtLXjiUGv9cuJ9OUvMBG6mgWnI4YhGYuCAmbykqJUoH3AEZZjI/ZEhMCPTcjElmj2hjs
Qtdpme/YgH3IlI0YPFpyIg0o1p2JuHYAjjUZVf6IogcBoDHZv50xx6MZyHxNaLy5zopEPtlGxcIn
prXztmy43pxYslJE668Y09ZrgPQXA6D0LYnnE7ZJ5IDwC4r8JS6KmlfcFlfHBLhZzpn9ZS5TeWuH
nEo/GFF+5NqGdYvJJ19Pyrso23PXYKuWvZycZ9KoIlHD0el7gAHA1Hb10vabUNm/6kGeUkus0dD8
qjMEZ1k9uDu8qfZOGeZzU7RrnU7DuYYC/jD2eBhWwmz1ewcBdt3KsY4BOdnAYNK48pEVzx3d9aJO
HS5GCFsOjJcieewXRuCdPVpROjqLDX5zKsi4BR7dZwxFEcnU7tZj6o3GJj5SdhCBRCroqXGM4cmA
KrbNzLpGq9e0R5ZPzc315DUtLKB3KHg+M1c1n4syi50V+zgpsDcg5XCzhyxWzjvfdbMhqF7gI8nK
HVO1ZZeCYv0MLSM/yvvA3Pe4ORVyDj4Xbbgfsr6PkFfRDpYzkYtg0g4thH+OfkGClSrMMyEi0OQk
h3eeqauy/hQpc4SVh4jsBYB9HWkrbQnhLOeblxTBCcHwfPIXPz8hx5o3btnFP+olnN97cEzIzkrr
Ro6G3NXC5S7EwLZzVZf9ROm5EHGt5XaQgf/eJqbJoBONfe4kXLcpomWvSNcTPrcnJjt4aHm1D2My
i1M3aPEQO73YpOzlXmxcBtcy65yDItDjAYxqvzHDPDkPVcD/0+HwKP38q61k/sJOiBBT5JF7HtGN
7PWvoBLptgY1zf5J3U8XyEPkYZUtdf/ie/NBox5wDHVs+4swkfdrr8aKzJI/ATHVRYiJ443RB/7Z
kV5z63ADfolMVu9gFPBUGu7bHLti3aSkQDIyH3ZiHFTIPhuYq+nCmjVcrzp2hSTox3HV1vUNZ50R
GRf5GAaeDYEmnsK0DIctO9r0IB2Stc0ZIW5pyWa9uBUPftwpo10TZOYecsjkB9iauDg7/yng76/6
yTCuGN3L85LJL2wPoHcKRdQjgv/6meS0xzvV09funzpQx6RYkidRhN56modinYxpfhgAgL8kLGsj
6czjinHUmbCKzZDEEYVavFVxNZLdYuG3Hwz0l6MV9hcSZZJXWkzPQqpIiBnOAw/6JKilRzgC8Zuv
fOtWVZ15truxPTro2s8EdekvjXq/Wg0Sn/FY880Ypiu+Ad2Hv4MMr1WRZfnGTvl7VhwYa+XVrFEz
ir5tLHISjjgX5k871P4D+UQziZckSmxYYNa3tvbrQyrz4ZsgGQJ2c8doTwkbDXBDLTh338qsVzxB
pCaxWwnWjeC+Hhj/NJj8YwJGYVVyVfYyfnFbi0wWq8SSpMcq2c3SAWioY+m193TXZZVhpH5rSL54
x8pQJmulkZmt2jSN403eOykC2CYPH4u0GMhRMca1QzPEHjk2xEciuYL8lkRtj13oLsSdjb6O0KXV
OFbhGc99yzcPkIFcnSV3NkNrSL2Ccb5cpoIB5bpTur20c6rP+ZDfUNn+Qpfyo6/cfpsSzHNUSZzs
+3557xfUfxqxKpklhdr3hCxv7OpulLlfNyglsECEapH3EdG0rivYwG0Z9A+2o5DSkt++vVvej5Xh
wxxXVTwdhhSwKLv7vCrDO9QuA4ZQsXjQc52fkCq0bzVQzj7+Wlz/Foz2iwqGTwtwKXzJn6LQ76nt
uvuKLftVDmaw12btR65Z+Q8lptWOqL2sWjfmfeHXLHi+K7z7eGag81Wl0VuMomzqpEDU51Ag9DF0
UYB3DDCzua1NkEqdoWjWnhCf01gHWcS30D/JWCTXMpye46ly9mgQ649pMZdmpUbC5RktYZvO4+55
qXy5m6cGoWbb+nuiGZMAG20xf/U9e7G2ssjlcOGUxiARdnySwczDcEGqmo/7wbSQyjasW5TVBxj/
k3qKkvAIcLOFPsfABU4GZOuBqOmDT1TQG2JQLp0gGGCZZoloI69Z6FnJf54BXXrZH/5OvSnZxAPH
mw0IspQxqRstBEkfi/Ee7Yrf6+IjvUs3LqPWjbLD6gEomiFWmdf4WyTQ/o7VUseR6zZOZMGG29Y6
DJ6Nyadh8BkaviIcbT5o2M0TI4pmpwI75MPdh8BPIQ648XK18DUPpOd+dQwdt5PTmayRTXszO3BT
iz5YnozB7Dc480vKYFbRBzzZxtlM71gN+KLFuYRlflEUHwRTFwhSrbLZ9TEym8xxrVOVBK/lYB7h
BDW/lj7JdmYq02d3MJpnEGVG1LfdfAUJRk43GpJrGAKJT0UZ3nqSvs62b8YrvmTy+34U/gRnmxJf
U0nBbxYIjnNhw4gywld/6boXvwiLcN132W8OlvIRzuH0OppzxpoKft/Wkrr+Oc615DWkxT4lRPqh
7LLkEes8qRJqao5YOZwDMYndY2ZVzaox7OQH/JcY1T0owBbvxGn0AvT3FGw/KqRaCCxIJ9hR87RY
8QYkQkFF9LMc/IElf59mFyaDw1vhMhmcjLk6NoQXhzjbRn2FgeozTlnUvK+p105e2XnfoyVtSSR2
nV0dHtWrDPIZSoIx2vZB+PTHaUk3uS8UQ9lVnY2EKeRBvU/rMf+hdaU+JEnn1sYxWRysGrmYiG+T
MX/tLRFix5+tjVsZSq+wt9LYBEllPsh0SB8Nz6w3lmja/RCrYWU4FkyuOVVPXJP5FgZh6fApkQne
xGB+M6wajmVmkOZeYtaX7QJyWdbdY+FPVz8OyK0MhqLft7wEY9UGbf2HX7peBBee0rKYA39chYZk
18HuUtwMBDRrX+VUIbFduJHEQPJKmgwDUxN3CDL0TP4u23jaDMtgX6yhgkQMMpdOCvPRp0jj/KMW
Rk3skyW6AY+5O2Y39HDdrpRIxdbGMsP9a1zNyZDMYDkaRuitmmBqErS041Kfd5PvVfvCMUznrYpj
/Wew85LWmslhfbTdiiwwGgN22CGKO3u1xJY/r9GCgeqlkjaMCyL3LjhZ6Lrvvhjx3ldTtcd+4MCC
cOBTGBli62poiPKhws8bPu2iJYGnqUbMNCMh0nJZekS1RRam26omrrVrBopbfwnazazVbD8w3otN
ZBSCRVUAOXolRolCHefkuXBC/YpAJY9AGiKzkT59mhFMf5Y2XGD5Ivk6ImuqfgmrvTvJQEJHQCE4
/s1xcB4qv1p+AMPSf1LmQGcQ38YXL11+9PFIbkUQt92Rq5BjgJ+NW2/mvgrUowiS+VE3XoACr1/K
7QAa44FpWMJ5Dj9oXA+ET6FXbtpLRu7NY2OK/CetJe2iP8rgV56rguk6B/cPiaqx2ATOeMqBtKA0
Hw3EJOHotR+aDfidhxy/s1LiczWUGY1e1jzXQxw8xEokxdYInF+lzQBq1CkJfbB4WuaZqE0J2ShG
FGP4QKhnFiO5QQQtXyYihraO2SanNg2sC8ZbFC+56hFZ9qjdt3O9dChJpb1pjUx1mJga9cPB3bnP
ub7ekoIgIE741Mt5JdC/1ZIXnw3l0mYcG8K5WjPB/dRbT63ODUBExCQGq8kmbS4iOCCuo2maY70W
fsotOUFgwI1MY0A3/MsWMjgwXU1IiZy+tTV8K40YhBZgVcIcPhAiMK2DBgajC7oxakTdv6k2SY5B
SIZQjnHme/CrBGwO+S2PTLa4GSoKa+Sotk8Aj2sxBlWZRmnRGt86HNG5s1v7o20x6t/3fwILKnkX
4W1K3VRsPJtcl9UyZLT26NQIzDCdmVAGa3AAkPDiCKahBV/ehILrS/LS+CtDwl9EQ4DnDx3G05B2
4owiZCt4WfEan4JmooNg4zR0cjmo0e0Qec4fJl+FfCJDuEjw/GLndTPxzRwR01rNeEJ75nDJDpkp
duJgRMXhO++al34MuIZBpeCKZ8fVbJguOW/cTqR8pYjg8ngWjwaCiIhaBjVWWQRraS3nFGnuKcQP
hZhStl9zOTFuqyAUxi29rjHlKDTk2GH4rYGcNEHP58CwxEFT0iYr3ET2uOomruSusKedpxZj15j6
70D0Bod8b7ePGrD91oTOdGh8OzFXnHTWc4tr+jejjBwkeR5gqTdyeKOWvlWxSp8sm7lgSDwFPWBP
MnZMtkTOczh7c5NEQdDMe37i3YgEw2XpGow8sWl4aobwfTQc/w31C/lOsyJYIliIqkJitBbcvcc+
R6CKwtVD0pzJ98Hy8lOFQZnox6bd2NMwRhmBxXBPwvE8jQEu6c405k3owCElOitNrz7yvi1WheGk
/DD7naiFC7iMkdcJ1mhwFOvXivywF7B0y80wEv+NfX1DS5TFxLi5vXQ2uH8acjdyy1m7dRe8BUaG
aLgt7edurkP62QyXh9u1B2vRGpMY2F81qjy6Wx7ryEVeuArdqcp2pBdp7McN1q/MJ9sPMzAxM2Hq
JpRb8/CTYxSDrmcImFVhM1Laxwu+WrbQwRLNWrbVFgFvf+sQqO1LyvuG0zSQI22XDTEoFKNxzco5
f5RNEx8DWWEOaggHGUfhPUxuLck3s+ptIJd8LQZND6RLb63ivH1CRvmkK8d5taZ4VSv7Z9Z4n6QY
CSBl3gRL3RskHhksLutaeVE3l2cA2mKfJKl5a4kgIKjcCY7VPJbnTBcvdRrC7CmHFFuSbT37ynVf
iGWND8hkl40hh2fg5gWHtDfesPGZ+74UxePETYpCgTjAJAfbayzJs7dU1U53ytvaFVNmBrrOeSRF
Zye8ttv2uiH1eeTMD5R5MpOSSKOYSJdS+bsec8wakdmfjm7la0b37bQG2UYzrLNJINUe7gKtrK0O
xBqSFI3xf+enmtkQOtqGJ9xJYPws6Qu+9e3CPtaBXnCw2HVtABf/dlGZnpJxdC7QEpXAyuUSl2pw
ktbMn7AJQc9uCtOQK5DgwcYWFynIwJFd0Q6RErrf5lh6ALuxWm5huRFGBZ98aY1NmNePQ2b0d7n4
Vx8Yya43Jusw11j/QSh5195UUaO9B3vp9kZLf4dS3j0pmV6Y/TbsDqpdk+bXxhDmL9RxI0cT7bBN
vDTj/GE+MQB7LUIsMa3pRyweIjuD+JAM8EUdvJpJnbv0ElP55XQQ0QpH/VyW5AFcIEFOSdY0UOds
kr/Z7dtcB4bYougOIV1mB9+eNQHeoayImarZZFF6+CdhTGCNwaWBIgd51Dii3gQWOKH43k4IkH0/
awikmCWhFJFGRdPeT1uYrHpt+iTO4IsVvxqivp49mdQkAaQI9ZHlAi1w57zbl/gfkMa7TXoURlZ4
O2yS4kMNlpF8xvwGH0/VQqsiGfTFcX08sePAtK2Yh03B5xZZpfQ2SxDM4ZYFBaMMBegjNtz4WbZk
jGZ92IQ7P7APZDavkwCHtRQ2arx6wCG2H1CwfZLQxK3o5zxSKrOa/MXIlpyVo+Wk4WdCXpEAJeb4
kSkhgZy8jP4kSgpybD/CMC+uYeIL58A6Oy8jIinuB1yWP5RiIFu5mBBeS5uZqIeUDroXNiuTFQLn
aeihdlXZLSem8LnvXE5bzo165+QLM80xrgU6kMzzP1qkn59zY4uvAnvFSrlhX0G/o27W9HWR3Uzl
dkH7FgVytrp9LrjuSSpiGpElA90ijknjGhjqnUExCXH2SIDx1PlH3xPM8PGvYQ8DRLDgwTCRqKND
uDi5fdBV+5maJcm63ngR3O8A1C6w404674xn1xpnLBxJnVwFBcmZJy79IOtN0hHL1agT88GfMYwL
EtXJ4mrhOsuM7dKMPywPd0MV/hyS4Sbk9O5il+1WfHD5xC+OPEz45pIg6e5JpM1j6CD/8xQPepUx
bEyEfRfZWP2Nu7vmhiyYkuVlW21oA+hUO8OdCJ1ahuobYkAZ4SXRMLOgluKpWXV+TM/kDiYqE4+t
VBvq8TmExv+a9C1U9cxhSF0K+Uhw9RMI17N2DHDYk0/oaZAypNAQmN/pFypzgypNQmqHlz40TveT
pEtdRYrwh9PSaRMqP3AVCt+MtbDsuHSrPuHIA4LHvGDOk3A/m1a/Nml1bM6fqnk0yVl7lngXKbSY
n2YmHmx87h+aFJndfDfsMVudzlkjFLj2aXmffbq2KmKVxWTD42G5eKp6H0fLuSYL8YRb3TnzzxZ6
5L6nOj67Yee9z5gDGH6x1qMkWgjezefQPE+lYWJx9Hkb0IOB3ocQH18cRkO/6U3pQpY8fswGUN1R
x/vHO2mkvrXBJFm+0sJlazDKu2K2o7GyzJMbGuwLwGy9Esa9V3074hEa3zpdSd7B5JUF8q61An9f
sksivE6RDz7jqV0LJZhx58bFSVgpcq5krx3JAShGWjqTgQdtVaIk/lMv2WMr/buBc975tlrXY4kN
lDQAHLsuuMUgYwKPQyG1Ye5rlDbEctptsg3nyqbHRw3jrTHX/rJ7W7SIGttxX9F/vptkC2zxu0lc
Krb8wihrooOCE/c6wnhHnSrD4bkUlj3dfV0kB8QFXcOy+A9+GlSvZF3iuQQqNJC94oL7qUfs3UPt
JddUFo+d31NZDG12ZHPCysGuSsDAIRmHyuzvGIlqXG7LlNWE+lijxtIU2HtACQAISNdgnQC15J2c
tOz3YikrqhHXPOMIG5gTT212EovLEYYm/akrWJsNdkwj19jGiUTelpZJNu5BYdOC0ybG4nGkjjkO
c5yQ6Klhl2CmmWZQqWXDh70zbQKFOt7yyLD7t0ITTAIlL9jgWIDATvwxZZ198PyWa3BMxU5oKijs
vJ19poNrVtAH98uwlnK5QinQeWZ8g+c0IuVDeSnuFe+42NkNvV7z6IRDHzVVmT/ly0ICsJU7TyHj
oDc3tf0N1mwIfcNS0+8hi7YXbUcC40Xk5jnnVm0XD+icyMDzB2rnWI4nTlySeanltj2n9M5zCvb+
jbpvxmRs/SgZNxzRa/frtghJHM0c79ZjXMZk34jfZGjhUWCqx+VR5GSX964gE5c8iqhM+3HNDMlZ
m5jGV8jbu3eVpeLZ4vm8pq3Fo5Q4ZHC7S3MTSLXwxtoehlqyYnMOWQZUg3swYQkwTQFMug4KgdUO
nfyu1173Q8acdY3psNDHx4GxfDZzXnFl9CmpT7XFZinxOw0kIv3toqP9EKBQLrONI5t1ohHZCBVJ
eHJEFJAlH9kmuXaYapsor52ZYD+SCzjFB346YyODT2M0Pupg/k4GIgWIS37igWJazzQpqsouf0oN
q+qJplb3zsFNq+kxXFhdY7Iedb9rODzJQlZ62PNYS8rHe3beWAXpgUDH5NWXpp7vF9FgrpuwnCd8
1L6PZAB5dj1Y8V74lfptQ+xzmLnHvtNdpFHNh9qc/KgojEFF3Zgjn0m7LL4mDIueebqyH0XdWu+j
7WC0B76ySQyRbOMmXi5eDR5Rgl1igToPrJ1LCxNBYnevBUHoa1JToWrlixUcUmXLCNlY8h0mS7Bu
Y7PYhN4yP8tQtg81kIAtt0W58XxF0NZktvSj5mCzfrH+3iX3ESHD8kRURLm2EwjYYk4AQXYhuAXu
ENyLZTBvtUukL4OW7rCkhfFZJIn35mgK7Zomaa8NYLA99szdlOXZ1uo8sIZT/wX51j6QaknarW+P
XhmlVvYAdWB64oksKald9YGzP//thDBgVJosz75vD5AY6Hfa9cz6GAXDmqkx4Vk5/1swJXmZYWz0
EcuNYIrModPP1lTpR7dopHg0CVY6djM528yox56QcghFMkvZoC+F+TQ7aUAn6VXWPrTSctN6HRqV
uynCD3P/JR4c+zFtGwoRgLlHVdojn2c+egSQssQMlvI1VRUSEgMJ1aKbs9EYr35tfDtIO1+q1pA3
goPiLSEY2b2qxW7nZtmbSdYKAV+J/+JMxXDDl9+s8/w6Mmrd2gCs3ovG00/CcqZ3I067TY4Q5eQ0
WRD1fty/c6y8e0XpnLEqUR+MVfHoFK59qktt7sokrZ4S2CERcdzFF/knhHji5Y1UhZ3NZlVwjBFY
7ekNsySSZCFjpPJdcSh9LXeDCpaPKpF3t+m82L9JTqce061prErq5FOeiWRNNCtzWRcoqfZAVCUt
SCrp3qURNVC3wUnaQ9V6zH28bqccvz+2Y9zAq7OsdxGWhEwFfFf33PvKujJszU7DArOFmW3OV/Wn
bdOaxSEhx/yp9aXeVPiq10ZaBydiXRHF1n9G5jXexJ1RgrHYUUaT4DM7Lia/PDUjQoTqPVFyNKxB
8hGk6Rcqpe+AaSs+LX+bxdZ28pGoSZBJu1Y234VXNKvQu4NZVLmq7nSQYnbXaTU8JCp5gIP7NvUc
O9Pir6eSxZBhzSZ7Y1gHHbwEyyUxzLcO5dA+z2StohiKfBMS94yvKQLygQKBrRBOuIlFVkCQVAuu
eZXYxn4x5bF0XKA1M/hmpt+z5bER4kvudTDlW7dL0CO3S0Yz2ff5T7+d1dbwk/wc+FnxDHbOexE1
HWOzZIzCq8ba/belMakbWd1voKEkn0aaumdaYHO7BEmxq3WmX/+umPv/zbTffTd3zrv+73/JrPwf
f/2l/rdfo029MzP/8ovN310c1/5bzbdvTUrev3vo73/y//Y//gM4/y/wnWinQiSG/zlA4PKV6fQv
/IB//JV/EDx9KAGm6UKbN/8OqkcC+g+Cp/U3kIDsai322sik7vmW/46pt/8mkJ3dAwhMxob4QP6X
DcTy/xYwjPD4Oxa5DYQ3/L/YQPx/xtQjrUccGjie6SCAJdzinwT+2EBk4Dbdsm3LBu9SQ1Z4vWKC
b55TXyFd9wlv7JEFbUKEAdXGBoH0YHnoH+NykqciJ7cmnkzwgINDW0oPRutn2xSAjE1GX+3Y+qvz
ZGWpvwqbDn9oh4M2YsWijgS2ynf0AeW6Z7ZxIFs63Vek4lHEDxDJMSLuJa30JWPi3K2Iex3CtXBc
JiNVAd2e+ajbjyvbVao+2EHpnrIpoxzsUVFsYjIRz3hQqVrZ7TN3woRmfMe6V+xQWMf/ykLk/5gp
gzOtR3bEvW4COC9A2QO3935oM8DFYJkprOKiJZiPjlkNVKoOkfVDXudveVd+jIuZnTOVvcRqWcAN
VAPltKc+PW9JT64t0xsWfe9+l5VnM8vtHbIovYHOhBWA/dNhmA1jRZd26AxVbuk7l03IW0dkVp6S
kEz/SkDleFNEDuEHCdBaTuXJ5kTH/FV82UkrVr3XZLc4IHAbG0bJnTbMP9HtwtcXbGzv+EIOnozU
JBCkgeMci3uMZaRNB0eb7ltiCptSBCejS7D786Zh/S9LC4NqO43wlqrUx3EMkujJoye7hUNZhocA
dpyGL5bIS+FMMwuvytafjZ+O8sDQoj+hy7fVykTic2kCTiLaCc75VaVgoJzG1iodVMNt6q6g+xNk
urRJ+KSHxHYir8Pas61ntz7qiQS4uC3hJZlxIMng6Kss23quJsVrhPeWAGenVzPyn8ZA7FesGSrU
OfcrL2kobzIJg1fgrWIjumB6IHlxuHQWCTW4txFCrNwpuFfZoxqeA4tRFJgYx/7Ri9F7g4Ckxqjl
Er4SKEvOt+0OFU1b3Ox74Zf7KkT6EI09iYH0D8kvKbL8qrP0roxJIS/CqCKNfuQlDdu+JL9YzKWK
oxru0i31+2Df+YW594pk2t4nxWUUF0Ozl63fnEu77LbJ8GxjR+HCQOVipG/NKHHqMgp6ZKAiD7Bq
84/Jl/2ToNiHP5tKiKH1pZusR2eerXXRT8u1kJQFuTR4ywxwbAzcJFIJ6Fy7kvaCTzWmnN2oFDOi
uTZATLXKVgtJjXAiYVZPAt2bOX6TV/3RoYx5yKVTn0cZThA6CDKjwvRBrOnKfWiQABxrlF96FdhW
fMm1NhSDp7g+9ZmBHgY9GFAqZWb+tc5KOPgYT7uI7Av/rENLvU/2vYKwVAtgnpA77yRabvMDpgbd
H9APeyym4HbPPxE+ZM6zZpy81vD1vwjdbrwksqTntVA9Qf+rlSUhqP9AijhNhzT3hQUAYiBLg81O
Yf52YHtSlzeyYLwMw5YfxR2bO/Z+UB3hlBAgalqIUakFrbXou+oHPTBYuLQBaJaZRYGTthMYTTIY
SBYzc4ea2hd9+SPLpnHXh8oQtMTeWy/D8cFyOv2IK78mOQ95PtGcHs18UE7ml+/nwC6nuDyru3R3
YOS2HYjYxAUzL86lsab5V61j66Nk5BT56u5A4lPECUt7H+Rd+zJmtqVpPBZBz1GCNv5Khq65Lggu
vnNDk67o98uXGqeBzDKTL2yRcZhsSmdx7znewHpfMgPoNCNBHSTI+5tgujHB9wcIJnh0t77kjx6S
3LHWXa1idMxUMaT62XfCfYVioDzXld/ah6p3+mpzHzf2K6tIlpe8d0HZImnu4L0zZkjXOnCVt7NF
nQxRoMPiPAlkI8pPnG1rpRRSC5XOysbhs5vDZonMkIgqJAqXUlflgwpITmTiNRGNyLgBuCgPIMLW
9th7Oe14z+wOIcpUnRPqnVcEZ8lD14QMlBfGIT97MMpepECwoUkaJzAp/v+k7jyWJEfSJP0qfdob
SkAMTFZkDu5wHsSDZCS5QIKlgRmYgT/9fsgu6a2qmZ6RPuzITh2yDlURkeHuMKK/6qfMTC7SMAIQ
7j7wQi6CNZnAXJaj2oLpmt9NjN/zZsjn8A1G3nolzYAObGo/WVA5GwSUAydeB51dzaRxReoKTElJ
VTxq3welyy3fTy6x5yRp5PW9DNnBqjK9pwuyJYGfjNUpW2pxGmtGyLeFqMaj43o8BdpQl2ou0uNI
d2u4YYiFvZYrEQPlpHv0p76j8LI1X5tueRSDHziMtuP+yWQuUQKq1YYZdVm73m3LwdfICLn3ynTe
LKK8nryvbe/24VZ4dSaPebcMya5vPM7SGg10Yc3OOjSqkcsy2dEvrtWNT10ouzyqhrl78hwzvDQ8
w5vJsMWjpRvxFbiJoj+vFGft0jbqZu3aizjfLmEhmGR4yUhfTH6DL/psdzyw2JyL5UMVFSH63hHz
vCodnnuX4rc1toq3kh7GRrVcLFuG1QeELucnB6e539cGvuwHB9/4FzcBe8J3N4NLblE5cyCe73zJ
poz1zje9rj43VQhFolVNd2/4PXEWA9zR17oIASszPMApLMzGOboGjv0t9SPEGLyE8xpcrzZ3I40U
RKkj2ou61wTYu10w6OJ7E+fmfZtBB9woh1ozcvlzyRkixFdg+kX/veFWfd/bEC8r+JjOVkpXP2kU
q9cgcOhxdnvtp7teShYaE3LrNinsptnaQB/u+a2bc5wASTh6tTlOYEt7/amLxHQonR4xV8VBKPxj
Na9j77Z3fGRW8IR6m5gJC7ZHO4beZp0ab31u8zQmlx0ZJok34YPKNjff+uVQnXUCvGArxuadsXNx
rJvFf++5xOP+mrAQ4t+lrGTLzrTQIdNknBwyU353Y9neuGY2fGW0uJQb5kvZ7WBVX4KRScOm0KkE
feT7qD+tznaZGrKei1P5QYU7LKYxbr8tJf10bZPznjMv7Rml1WG6smIg/iKasaZkcN0Lj3aEPcyI
5pqly8IjH3cGfYywEFp4IA0QkJ4SnY0k22ztEcpXwJGCWJwDj5Q7IwBnY4hAfuknL/nk9uDwSA+r
cFr1FcSYdFmLbCepmmiBstSwKvfAahqNk8YnkkMDmp2p7YCH+mVg4obXP2kPLYrfpm6KGoV7XnbL
nBw4kB5zM4eR02ZZyZjHq2FhLR61LRPkIidgFjgyEcJ067MEpirXxCGwY9BkNm3Z91lP0H/sswyc
mNxsUd9U4JqemzgAAtLFKnIsMYG48Ipiq1uzeZOtwqO3JInzPinMHPFaCVMt35PY+xzwQCNfkMDV
sT1A0pm9BTvaHLgUyBCDOMSxYpSRp8lymOfEnndG15rfLMFu9DVpKkMhpDjulaKUYK3ww1HktLA9
jhQJ0jw9hj0Wqj4s87dauhOFrSwQyGUVooBHpQqVL/RKHcm6UjLDHnCaUggOhMvGl7ibULVHFJOD
zjhlcoG/DLafkLzGej0fDa2CiarNEgMnzJnxmQ6ikoJCDMQHOJ7qzbc4JNhpjnGY8Zvx2QoDYgWp
SL73FLQPrEAmKGzTQT3P80pDuBlDUON0mq+Y5/BK1XT7ZFrM0A8xckm9WQ1rP7yUmzOKRkadCgc0
GpqDqX5Hi+Hp8Dvqry88eBwMiRhVr6HX62cXc8ZNLxz7qiZLA+0L8nrn1D2GTkd6M/sshmwsskZ4
EMyrjnx6RkxHidl/CLAf6XG9nF88Bx8JS61fr96YMUBDn51yiDKN79A27eRYFEpgxdK+/Lam67dE
0HHtFBTSmwDOna7DcmFYr2Gg+7MFh/t2tFVVbIAVcgQbOsl5QC2AogvTiZ0NZ0Lk7nDWN3OMnWLT
DDP+scWOzfCQlEJ9skhkr9k4+rcFLT/UaU9NueM1w1KA8IrE3FlJHqHXxxSLxtULaslw4WFlnpmO
xnaoHetsgdbZBIhPFPX0445VlQSHb9jQs/wwZshIVVOylZChvyB2hh8yrHm028TL31BUspu2dpnG
+ylQts2gW+uNgA0ebjOR8MRye1/P3Buh+de7yp4uLWm8TUNmYrVRFMzxlvJKf1VmbyEio0RrPJ6b
uspOY0tbqssiiVHARBzBbfIjzZPlDR4kkbYam+3tTILurbaJnJC1kE+9svJvNqXwT3R0cv/z2UPu
Boq3xoNtlRrejm93+ZYHCy4JpCg6nNK2vTB2cXeTGjGiQQ0lKTszfHua8fitwNdlfgipqqPDvmZS
0/uhf4FGjRMOw1TxohMnOU4Lhwv828WSbEGiJB+egyBLvi7YNWjIh7WzmDIIVSYX2YX91bPi5FTw
BjyH7gAdM1ZUJTn8GpyMsOwPazlVN7Lhzss8PNujcWbuyY3KKr77GavtFAr5RDzp7xrQ+z+LCf+7
9CK4RHQEC/le+GEo/sJ8qF13hEUOhJ8cmMPe74sBxLZnXFqQ0gu1unH58QfB5T8IJv81pwlnkRCv
S+MJzAffW4WUP0ZCA4e30qm7hT44K3uox6W7E0iM0VJa/jldwJda5ZT8FznNv4ImyD+jjTpkLSAk
2NZfc6gk86sl9vPpAEy2uOFc011lPFaRY4JRrhdK3rgEeic9koL9fyKy3abvMKyqn92fZbVfUtl7
hTqYyqT7t/9BUhzeg/9ciju/Yq/92/96VfX//tvlVScqbf9YrPP71/+OZ/F+o6PRIXrNHiqI2iJ8
/V2X82nWCU2K4fgY8y/vD/WRjvubxQeNia3j+7RFrp+03/Esjv2bDePECgSBYdPzhPWv6HLiV3L/
/0a2WRYRtQgBu8iFf/wslzb4i54mkAOmNaYRRjzSy2ISOU36dLirRe5Vu5DhHzkCY0wWJpo0u5lG
01zmaYhPVJ03+znx3Ttv/cib8+RHTPOmY+FU5Nu6GAZdbUiLAhf2sijWWBDHmDRAU3XzSbFZcpBL
5q9TWOiD35Hs1o2ZHAFENfdWb+dfZRvjrWAwdyChzASQVNMllGF4KhdqShxw5jsWqPas0oHrHAb+
14DY4cVPoUxGmLgI0Gm8NVGQifqQq1zthxltqqpHjlGjdLKnCsezgwxgBTfY65hGwhPsPqUfaLJt
nJaeu9IgWDQ3KR1xzZBe5pZmgdqejH3MYnmYE/EhmK9uvYDBwAZoJJbt3M7HbWzXAtORF7/j4xpg
mDEoIf3CLqPL5TvstGxH65BztOLcPed+MuMGYxW4aKmBT4cFpTI7OJmEcSzAp7dlS19aYhdU2Bhj
fHERt94EGMdNp2sjCnAzcBRvqBzRJtV8WZl/9d25/irTsD+apC+++UnOCNB0CfGkyoHCtrafEEdL
23cu1PHZ6S3PPqDA5SYxLLjXI7GBihhyajwbhvKn20X4MV/XFySCrWU5FuBXJagto71wEKxfjTrN
XSRSxvSG6rpdatLSRqSa75LWSS23vYMJV6P3Hsv1LovJkWWz8OaI2yCpcc9mm5Vpbz+SvFE/m5F3
IbJbp36h/4hkX8AcUX7Rztr4pwYbU+jiga/h3MElaiPyQN4rPLCnUDXJ1bWVTT6sjZFua5yDvGxt
BYKwT+ZrLKki0i3ETMG3tK8tf8XXngIpa+cSlYzKucHI4RsoyKUBlBpIAttqyU85JcKYOWJZ8c+5
9vg7kXhwIUJaGHS3Fh+VZBePjf3oezp+pWooJ6ESG/wxUbO3qBSgdxLOIUHNBqBLnHarn6tqHyrb
xpW9hLWV7vsF/KAN7fExFYX8CVWWenDc17vZTgHeuRXGfYZibcesfFy0swmDou+PWWCYH7FrzK9L
slhfHH4syTfDcn6aIShETgVuRb4Fv+K4AVfDYM1JNQngeihIbRM7CpyoyEWNGxUPdhVNgyuOoasG
FDXDD8Q1SSFaR2JoJc7xjNvOpqHBmd64oHWfHOIZzJxrQ6lNR+7S3mVWE5CtnXrzc5ybikFuanGe
VIukmkUSBgPPF7tnGv+kRnsJw8dimt5tamhO8+oYEOVCN6hZdI8T6Zsbpm55tFiNuPKihJT0BPX0
MhmZfBUONc10++Sneo4Z/Nk9J/vC68J7wiT2U1Frxe+6YFrZqnHgfUIG6y7A6tg/XTauARtZ2Ne7
sV36Y5gY8im0a8i3Qx1+opZZnEU7AxgbQvobFrbxTcbZsPcw2dyhJY/XlOJbJr2uumbhaqWQrbFW
H1iz+EGo3JnwRzmkeRSk/ZuCNykaVSV/8E3UkamhedWZBWRQhD8gF9a7oqy9m2UoSqJucEnSIShu
utlxf3DRJA5Skr8hxpc1nAPBUexqn7UH4F8+bEnTwNgcbNc9weSszpBX6yIK/PVd66j5u8kyfzrO
XhrsmB2b9Q63YnyDw6RALcWoVNC44et6ZaCSIKpF+MVbhTZT6/CxWoqHuSzHrZwmatZFUO5dgx7g
zeT29bPnEn2h2nfaSiHS98pOxLl3lxkdtTcPVNsUpyFzMKppJsmk3PKjneI+Kdxk3LkN8iqPersj
XuUgR0JPbTrqBzw5UcIqdTETSBXtwR0RznKkqjuDde9WcSy8D5F+o8SNh8isWv3oss5fGznEOHKR
F7lU5xQRjom4er3InxG7kk+LKo8E4HI+7HqyVJdFTdnRDM30SB3heCiFNM51mIDPG+0Sk/OkJ2J3
o8puJW4r0uXOuLxJI9THLFfpozJIaILFfAgX7BiUCvHMAnIM7e/s2xi62xwPuOvO3sNCvpm7hhwb
ojGmOgcdqbx7wXX1JZuq5CfBZPkIdS9+tmuo0TwdY/gmR8YShm7FncWQ43VUyvvapxktEOYSbEFk
qCM+Q+awYWmREPDgmGzSYfQf1OQQ2msXL0KBHW+G1hDAoBPfpqfKis9SkmdcKHaEL8mYQyIzMhYa
JFRrq+sYA2TFo+trtUvTOLGYmSTtp+k6aXJn+8PySlAD01gHOZpxSV6528yZphsaZuRWzjEYAaiK
NxSrDd9tfMt4502wjuxiB3Jq1brGB0kNnyrOt5bF8KUhRn+3cPKF1Y9R49MZqhLQIMsvuFU6ks1g
4R7ZB/o9XoJqYy2lvR8IzZyXYOk/VcCSXFl6eGol29AGT0HOTV4GZ9nI/NVOQ8F8ILTlPQ26JlTc
ok33jYtBW7aeg5dcEP3Utd9fCIFYl0GZYxQaGJZrJ0sPs6hY6Qy+5oSend9UTTxd6fL0CByZK74t
aHg1u+ZLPJbMCtlOtrIkS5FPlX4c3XYh1RL7z9ALhmsyjM5xUTP7NTPnS0CTS2JaJZ1ohuAwoHse
7czzb0L21bf/3mP8n2bn/38MyxlVw8J0uJ/983n57Wu5drv/6WD+jy/7+9k8FL/5HKIZSQv3z62X
ISXtDMWJSrmC43cAPv8fM3P3N+5/vg0Y0QI0jZT6j7O57fy2TrhdviMSOkZa7185m9vBX7BRVLu7
/BgAPWweDOeDv5zRXRKPtWHmITCNVB3BH+VbDnVnnnrSfBixKA6U03MeZIjX4LmoTlymLwpx56m0
0q+tDJtbowkW8A9gajE/DY96EA8WsZlNvoAVt8AaH+2pMrnsU9yKxTB+EXagyPoYJ93GyPd9QF9Y
rh+NMidjm03JG7FbcmuMprcAsXkcsiAg18Q8nXTvTBde0wvsImm4RDVF7s/hjAdmiumjW8a5vm0z
wXXBbWY6jYEvsBDFdDHXOVxVKvLcY6hJAxe9Sr6RLP/Modb7keychpRCmv1I7extJGN6TIW4ywDu
MwjhXjAGqou0A7cYgO/PtfQ7En3Z3E3MWAnRxeoRJYihZO4eZ/KeaKUWFvzUnbZLix8TIzVyZZJ+
A8+P16dDfP37aV7rEes1XnTTahnE+yHTGRPXcQs1CXqiHXKn6VT9aI7Zx+hqESHux1snmQESW+ao
GUCZPxTOMF6buBwOs70mgFY1hGzrtnNG42no/eJhKDACAfOOCakSlcAA7pPII/iZAO0pLdzVVrt+
T3s0kV6hRdDTiFZfHtOuw5u/3ki6RiBuu2WL5mMUnn0s6kQap3Ypiks9YXPiJGtTDCqgZ8QXzMfd
sE/oN7gMle6/dja3rZNuPJ0cCCkM56ZzG9Qk7IleNLCFrTFGk/FFRvCQKjIqid69xpleSnhDA6dz
zX1O+E3DIQSyQLibjTm8MnzOvY1qhGy3mEAhIozjElKrgJ3xW6e99pbYr6AFvVrpXZJ2qvtEllBA
uhEZvu0KkkGAUrDFlcM9iEBtPcx5R7YwzDRpP1P4hb8bBSwSsvLWOD4yjYqToz9PfXPmE+Zg1gok
pmHtN/adYYzlz6pO1cVvmYrsurlu6wO2FM17TjDj3EHdY0Brte649cbwgan6iRsRgTZmCsw28h09
DCoaoOBuuLbLnXDusNt8K7R/nTJuMQXRa0oF2mPSiWTjtjA9apTxyqkeATm8xbV46kGUzpaY79KQ
iZDK19ro5iaTceTk1clLbj01rIbxMI9quZA7qXjL7NGNOjXTWGHmzjWdHeOTj3NUBeVaM3+1O9oz
yyl4AEZDdQMNioolah8quyaU2/90lgeFo10HfA1+1G+KIqIHDfaj9hgZMpjnxJHQ82rrzIuq3PgQ
aZE/hbURk77S14BLml6F3WZk4DYQGT0WLughWArPyhmSQ55zOB0LRx4b8ikbz1MzSRcj2xDugouz
LOYu7yrjVTDo3DT+YSq5Ki0OB+WhBvEMM4PJx0r6FMxctlnoVBCtymo1sng/wlk+4QUijx7Y/WGM
i5pHJtvn9EhFluN3W4Yn/juwNr1rrXlnBZO+oYJhgkiGLbUs4tPg+k8sfbcyo3vBaaAw5Gmw7xR4
QYro9mK2vUMD0UvVAUElz/wo1lvJ5DGZzHHsMz/dDoy690IHz8YyWJ8Ir/lbv8iff9id/gNx0fb+
rPQFglQP1S9Imiia8EP9vxAJyxrXzpBa4RF4NZkWldk44XEpR5JJ8n2CAQF2/tK7NSfnXN+SLUnx
ZVYxnJJhoJtKcd5lnYS8TnahisNrxmUm3Mkpb2c+lykT3JZ4JYUcTJtfqra03nGr8zxjQiG74deF
j/avltaL5qpvKSys2+GcW1z1DjSJGe2ptVwWi7KOL8OcDQN50HU1MX6tLM2vVUavC86kpoSq+G72
7SPPJeRzrFOY4qkW21MFnz12mUH0qWhMnykdCWhATfIddz2aA9WHhLj6mwIP6RjS7dvjd9g42XCz
1t5eXLO82FmeXCAYMPuzSXHlNp5zpSThw5KWiaF3HkEJgftmObvxyphSQZozonDo3K1VpTpSU3xw
ytJG9/C7Tyuoyi/tIKsd47eCz6pmsnrQuYXNMxsqXL7eQihCA35iwG5m2FRDgJvVFhRJlj+l2C/H
y9wwyCuy0WUoMdm7iVQq6SZDRWEoy5ekCZerF3sAMEx1l1ZthiZviWvPRZdZBm2Y31kUsFg0FOa6
FZdTv1pawhHkzO+Hug8+JFaQXVpmDy3oWuT1lPIIqTLrFltffgfKwKdXpO1MLPVcs9MbxczqktCl
dV8Gyjj4QyLeg3gwDpZRdNfYWDMblPW9o+/xtE5p0/+YmTIwhSGfH7u9+YBhr4goKnkTRWwdzYkL
ga7oudvYqr0WCfat1LUPharmg9VYZ3Y7ZJPeGC6BbILIm9pmNyaMRLQdpa0VMIGbb2D7fGNCMVGG
lX0tJNu/oOSa3yRkRhgk1CjU1jOlvhU1C9OxFWv3dlHDV3I+pGmNXLyN98bJACqUwjrUSXfG2R8l
FuEw27qAFfxKGyectORUDYSYLQ9zPp3IA7rf3Pfuflr6D5VgXsob57MSMrzN+1pElm+2+2AygiNs
s1c30PpMpnzYakBIHzNp2jOTSv2gKhsqkXYJJNfAIJXKoQkP+p3Dokv3h/MxCNArhiIR2uQyiJSV
pheRGd+XBFANI1HrjlHfLa4nak/z3t6VcEwiwLfV3unqGH2KGdDAtWHr1X0fYWonv8ZqJcZs1wV1
xClhX9W6u11wjUXMWkjqCBqM1WRz/YmnW+x06Qntq7zBLOxx+LC8O0nU6iF3Ad/jiNmRC0lRY4Ji
K0eTOokYivCZXneC0EAVxaeOi2Fn91b9Mx8wAbB9V3va76pIaSbvjrL5r6sbm96w7NCM2OG3RW/P
3yfsgHrjTbP91Z/7DpkAleEbHTPdCxd6RMAyzbKfSZwiGlJtCSiml523cUGf1gejpYBjVzWtusTr
Ht2uuzWKHht3/WsTJwLGhu74hUyPwa+Nfvi16SNKcgCoab9EjPh1MBC/Dgneel5I1pPDf+9FisnW
/8h5iINxir3on1+1vnTda/u3a/v68amTP164fv/K3x3K4je8bLZJDoTRWYgm/49JiP8bDHUbhomw
oWbjO/7HbcsxfxMWeHqAyA5XPiYzf7ptCcEkzmH4Z+Eptv+V29ZfZ3tWaLvMQpioQFdizMZf4Y/z
EPK5rNm9OxzqrAufxr6d78sqw2jhhGn7ZoQL1wwTyfi/oMxanuAq+SdoLvZqQQ4hcBk1cChY75N/
/MkElXJ6Q4bh4Ik+3qcttaKvyl7ToOlgCYXP2KI+M23H/ltRZ/VCk21V5ySSChoz4nw0vYNZ1BZH
z9ahNLpBWqZApyR4as2yI+1Lf4WJ3EvmQmFMPo4Ml1tWG2Cb3AA7Z51fB/Obw13H6WBHHsCa+98V
gfE1JBu+UHFFxaK5ti3Ov4oX87WDMf1VxxjUMYr1sLY0lmSJ965Fz0mg1EWkFRF/uZ/Hhe7RpXzD
ILqlAIVpSGVVkY6rd3LpFpWrY/YQ0pv0NYSqckC6ZkKvaqvcJozMCJ5LL/5CgQvoMTqPqtOMXXpb
xvMnvb70zypnHw9kazt7yjCDJVeCif6enqqFQ3SVbyHdvKTpmo2rJ2x+o/00BAR009B+BA5SbqnO
IturKrgtUODuy5q+uKniLOwQU5QYb7dj27h7hNliy3gAHF8Ny6Cd7NfawL+OGn0xXQ3QkEShdNpD
GRf7saXzrAFWgJ8H755HGJNNo+B/qkZ4NHq8H1sO/Sa5t9MSA0CNC/LvHf6WqGLSg8nULLe9JHtP
dwm8ftzUJC6RtztX0vxoavKsqeOehOl7q9es2Vlt35Ow0enBGRN7u2TTsu3d0iZNmfV7rPLYShVJ
cOYV1LUsc3pYRkpPB1uQXteWpLaPHpkPiCDQyYRpQEn3jLuF+uOTVTXpI50fOuduXYhIolRBIpmI
CK1uLQciJtR1GTHlFGEEBC0ZdiM38dfZJ+GyrckfG4jUi/9dwkq99deq2HKw1UdHSbW/xdbiUhOf
jDAqq/zGnAz6qkcMvHeZHTYnhm90nqIIM3avz8miqq8q8JBZIVziLDEXylV33NfotNXI997GNCvP
26Zr7a3Cm706ul1y+mItxmVndO/Er7bcyXIYpWtlHSbM7OqQG0nwpFyjbSJjrdttfjXv4tijBBAY
YXBrgs3FULjW9NprYa+QySwR/2ouQg0ck++6Wxt+oR8tQA+dKiE3Z8SP8xiYJ5NaLhKia0UwQC/7
lENcrpm1cpESWBefK+Y5MYU+ARK++6t8GDwLerjl1RhOVDW8hLIhu04t4/iUe5O9GkpFO+4Cd6Tx
eF7Lj6umRu4m6f+SO0nTHzplQRUkkR3uMRHhnHd046DYQm6gWtmjZNlb65ZzHWQ591smbduSFCUk
j7WcubdTStlTGpvB/1v7mn8cpKbUJ9UJHw2fD8RSQFb3Mb3PwCjftEpurIFk01oM3c/E8xnSFcch
CZ17by2QJqp1k3aE7TGL5TfhWjONhZDOXJTxSC0GKXvaqMu1lrrJzA9AnN6mrVr8dF0hjyYTz9vS
9/O9Texu768l18Sq0ivUvu4wrRXY/cKxu1trsReAMPt5rcqmOg4ulZrjFSdLlbb61apNFDC9hASB
Ez7Aa+/28quDu51d683PxvRMD1pxIVl5P/kKmjJTEvKpFoYc77OpZqtAqSURQu04x3tNR0CnJFEh
rbHdW+4XzDD+XpdD/xA6FhHwJI2DqHPRVGie/qxRskgsV0Lsk7aOo9Ce/duBpimXwQbjvMmQO7CG
6anqEnU1TCtutq7TY+Ek4/DoE8V2ngdj4WhjIoWcIFcN7x1J+Ds99jrfJRX8lwlM3X1AOHc70xmM
K92ZfD5ZoLZYLeRbMGQ6MgACH+ml5BdD2Nli7uHVmGz7S0BWDlc8I0IFYXs7T3yAJdlmajP0dpQx
aBJbremdc1ck/m1tewnWaPcnu1N6V2LMOxRtI7ONxydFnzgnTtSecxzeEVyBPJRqadH8PDftR2pQ
I7/BRg3YwMOAvrHjjChuQvU7dyJ3kLdTMgB7kvlXBtX5rmBy+bnGhA9z6mALRLVND27DjeVIiV8m
yNkOwR1EEfXi8z5th8lqj3OBCagfPHFllhO/zUROxBMXPJbZbqE4M6o6CLibtPXaLCJ+g6JoWBLE
Wd0utzLFVpv15luduLCPVqsR94wBj0EIErf8Zkw9rdPJRCV8lOvc8aNx8BxI56rXZM/rILBonki7
5zG3EYRiiN538JbHCRYQt+uCOcZ1DsqHGJz2artoCR0r41p0Ir6bjBEurI63aSD2pgYIYHHniexG
zjspT8rys92I1f2SNexMLuwKB3wPv0Jyiyb00fjT+8z6fho1NPTA5OaSLiFZn6mxj5g9oPJybI4Y
Pd/UpAR2CwPHQwCOYBtLO46WBPtGRa3KBdHkRTqh3DUdeuYYjyzPJLLRPYVmFG8syaOa6nlXEbnF
nLBLKZ3ad3Nv3yTY+KLC6Cxcan76MUmyRXE/dLeFRoggEMBcfgKFQhDA3mB8aA+1P9cR79C44yzo
wLstzWiYli9cSnghFWNw5fHCFk0Z31bBgNFU119GN8GXVpUtPdZuvx41/E3mtd0Bqpl1YAUKLsyQ
5Y58InhpnCWRS5b0iEkQA2FGHAiW5K5UtrifeN/NscB3Z7fDJGh+Jg6CcUJCXiRf7jitwwOfCvfC
cUF/R5DiTU2Q7vc9Acerl9Yhk+9Ow4QrY1Amvlk8+kyKLmZY5D/15HonDKjWyRrC8WsGoT3q0d6H
/egywUSY7ctIAkz8aSYMoz0X2ZzoFxoe22x8MIbATenVtJIrE0h2zlzCZfTkmrCwMwfycNvcDKY9
3XN/ZhwPwCtMeb1t7yxDhQ2ZSjh1xoCcwsS33IsZDNYzqkX8WaBsgNBEJzgQfkhzFiYrPmX4Dc+o
jKUJZixDRHKM9MyjArLDlNQgQMqi/hs3rPVCB064Ea4g/KrmKdziVJEffV6aROwxt1W8CaW65kFg
PONsyo5pogn1TtlyKM15+CbcTl36Bp/phjlgcsesWe/J44TluTMZfgCmdJbnPJvnTwhYiseUssfH
ljz+Y5hUNb0QqZdEHG377cjRntrQXL8Ec2XexUlZnpPYMhHeBzT9ZfbX/sXWk99S0Qg0I7O4uJMx
PQ+jEsehpKfCCJ2O06QXXx1dBVypA+uCB97/ZhRjvm1ksxZsxiddWe7G6+RdG2TejY0HZ9k1MH89
PmdCcXJPTPhsi2ltPNwcOIRBTU4+SA+YlBx4xhizq99ws8BXNZkFTGGyKxsIWOouDomwhwU2XHtg
6m6ruXv0OmM5+TV/gzIorS+ON8Dor9rOeY5jpLPdgqRrXdkiAAZgKx4oy6stj1s7Ju6i0DoKlzLc
e0657ENYHHd9LjKIreEr3bvWDpNYzjpTzgd7yLx9g+vkg0NLsTOgSiHMYyyVULXo71Tu2J7qZtDf
eWghhBGM2y7uVGKI5IdgcMD7gYto52Jz2HqUBF2rqbXvRm0O02vl2FPzMCM2FU8GXmI/6moGEdxE
uOBtKYXMwLGV7RSjeA8mu2zfYZ/xAlQrF4ftoxKjfJ6wyfxc8Okyp/DQ7JZRQIRqTf1Qz7b1va9C
0FrTiEl/bu0Qzq4MqU1O0/JJMq+nd8TLzoYnnNdGIDVu/AYE1wY4+fRockD9bJ1qOcuxctB30ql5
nFuLtWJBP+TApi1WNbdr5KGZcpbsVjv9V4+3+zWPffHFpYSsfQ6U8Lq7uGrAV+MYscFy0iK8Q6xr
d4MzZ3CMXTn3Uaik324Id83pqbb4EEZ40OKMc7tud6j9HkGEnKcXphPs/4r98FJZGfpm7qyFunR5
JhG8OPu2MWrIiPxBHUpFTeGpqajkLeiDPZRWWL/Uod2/2lyJyMvXzWPriofUGNCUC2o+16LfbkY0
k3wOscxSA0yaaPwhwVaf4FSmL9laF0wDigs5N5zFdy+dp/PQUSw8rBXD9uJ4DxI9FAzWWkEscFY1
c52fOFEnN+TtxmOzVhb3vISvw1pjzCjAuwrkmT304oMFjuZ+rfM8d5geo36tQi6FIW7Dbu1HdsPO
tLZNnSJSBo3JhL+YY6wV1CqLtWAZiPSPXiYfxqCmh742Y5QghCRWa5ukhfaG8Gcf1P42IdK5F7bH
AGO0k5d27XUeM56cAtve12xtfY4nz7ktwbKdUyIyD/laeSaI9ts1JEVK2oproYaG01VafwoHo2Qq
R/tY6tx7XoawOy+Q1HfW0o0vueUw8DPy5E7HbnZFynV2c8swd6esuruZYjFGLRr/yZMqeRgQACKH
rg5gWdlYX/GoF2+MKcQDmZZuPy80U+qgau8HGDNgCJuvvTnR7DEF9szxgHDQbqrClbI32/t87fFO
AIvR3NKbW4ANnIHoQP42JJVN0TQqRuHl4bfUb+IfMQXbB7rL9YltdXicZTX/SDmL3ZVr1/ii4+62
Z4T31HHKY9JZ0Ey+GLVxdgRt5TFRky+DZr3366r/kf4f9s5jOXMkzbKv0jbrQZpDOYDFbH6tSP7U
DG5gDDIILR2AA3j6OYjKqalKs+rq3vcmLUUwqQD3T9x7btKW23Duko9JYgBapQEttYkxDGoAzdpq
mHi7Em6VTbxEqZPJG2x97Q5r+P6s08Jsh9AkvSntIXyBSatOODPTF6PiuVIxsWXdEtvu11O2KWLb
vJKRaEGcGfQGSy400CXyPTYIf3f0iEkVtr/15FNP3oqCOw/faWh/gSKgw8KY3cLGU/A05xBrmsGD
BnA3H1g5dl3Wv/YNCINNZTj1KxAgNoJ+MJqPGYrKJ6/FfpziKhlXHq6hEmV7U74plYcfuhNkNwQR
58tZVa28zpx+LzMYPSJEy3zGRSgLMPNp5ocfUafpr9w+sX8OssQGbBUzQAyv+hi1WcOiEt5rBV59
7RZddYmo1JKV5uzgC0qLTVb6+S4ZPOchMDi9Tdm6B36S6q5FCHMzZ0P30Rf9cDbZa6+U5YcM7pOc
zbc97WakpRe1oFRhEtUg0gUKoKwwHtw8Q8pTwGs2vTUb8KFa46Eqv6qykWBqcLm6B0POMOhx00PB
1pH5grkVsEadjcn3IHBTB62YWKpNowR+piPUlyVpjxk95CYiC+eAH82IV3zzETWBE9JQW7FyCqj6
Q3uZoFf8sILEfPLSkgcoMWe+BoNkhon0ZFg3EYsUp2i+VZY0GBVAWRLQEE7fFTXoMXYNjiEYiRjB
oPO7g2HsITX+zCIGWya6o96bPvLRnTYdV/Nad529BrAvlmLshUOmOk2tehShtvYRVuJzlOKuCCJC
pNELuBtDVhdWBSFVuv/QJcq5C+2wuBDksgQQOQVTgDEkiL0ryzPWEXlMxonHwWDod5qLtgd/G9vL
NVXssqprNgEILq4qxZtmzOeRuL2bJCLqlaFHuzeDEFIhj8/P2lyskllZFXx83pxlLNybgQ5qJ3O7
ewCZeJ3m2NxzN+uHJfO5XHWm3a57w9X73ABqmDGUunMtcbfMhH4IGTo1KcLatAldLtM7KrvFIMR5
BYXBx2QIaYrkpWCBcPYpjefKG2eH+dvcbWxs1C8iJ6IKqm8r7ykNcgfjIEtSpG/IO7WnDiy+5TrN
7WRjs2FmtTXxXubAEmAHFeEOUHNGGlJftWenZZaIvsQKX5HtWXgwa/UjnWxxgweVkCgZGxzgzuDe
20nf3DR8tnXVNOE1xhByI2po0aswqLxzHwTewa6y9IRGVp3rTtTnxEn8B2nm9a4kpT3aWCXv6aSG
7o7hmuq2rq0oaXyvyLbNYEwa926dbiNn+kTxAOjIwjQ5R5b4ArqZHQegt4+SkwnMbm+Bt65nayVn
P9sB5kQN4ooZOSLTt9jygI6ZaeHfsI+o72djRPbeN4L/ZNjlQVZ6/hiH3DvVbp0+S7fhFEQshivT
loQUMLzC6W3U6o6ewHqRMQq0jRADNRdhSbbiMgMpvYpQONDusVRrLePZ71i9pBMWQHMqUPEJWAvb
dMwXkrcFv2nyjWOXy/pkVLhyJqjM7yKhADGiCspckcIZRtFIu77H39rcIfzudm2Gj92cRy5S/tE9
do5fXEhx1Ts75zrdlHFaTxiTwm7rIHd5ZanMuEH6U7hHd9maXDzWcLukNLyAqDBffF1Gm7yfUuR0
TjvD8pMkfnt5CTYD1Hf9BDShELvEVSP5OR7iop2RM8s7D3FsMZKtK4vnluEHOvgsMl6x1aqTL+KU
2TNFdLaO43R4wCoJsBN3VvIYezO5iCS5MOydEXnpTdok/XcKJRsVu5bvmTXLB38MKnPnlbkBSiGV
Mt+5dsW5ReQT/v4cGQ1xMgEEcEzllMg6SCxAmWCaX3vHTn8OhiCCPvC1cI4jcil5mhn1PyXOXL41
Ni4uIy2bu7G3wYJEiLnuhymaGbdNln+tNYM4e1i8uFn3wzWxoIW+ysjyCIJ3o7JjfGgj9A7bs0/K
t4qXVCFMWoGbamCwxeCESzNnkNIRdZrOWyXq8VYmykNvXgXVY9cN40aE0/zE+NKFfmt5Vxv9b7tJ
tV9fwPuSyYVnwP9iakDOfYQdMlstuQcrYxwNlEyeho/ils28bqNqfEtANLs0I9Z00xUOCaHxfYJu
EhZlKYOnDCI23CIQwRli7A1pdiNhYNwEB8U1U6ySOe5++nGqQDKxzENeURXDsGLq7N5j3kIoXesp
D3DwTQZARBaN7mZA35JtbLtKwXRM1jWHtnhvT9b8yuBc3xuyB6EfmPk+gXq+xwphP9tZNt5h0HK2
iQ8MYVclFtqV3E3vYPtM9OXal+9dncU/klHmZ8y+BLYZVtYwgjRjB+D3yNbFNBf3Ixtg93ZKqLLW
nWcMb9PckUElKa53rPjJkImT8W4MWgSmnpMF5TrjB3Ffsd011hF5A18keHk9HFbTfIxCBr2rBEPH
Y5p4yAOMkAYaQBpA4VK5a4npwlqPhe3etqhZHzDwiwdL2+XdZBArtZrCpPlBrnpyK+Go0ss3Poh3
DPiMccqFPJV0jfksoQyfkwZbO1rUBMqM6pl/kihSeKd0MsLPJCvmjxoPosNqnoJtNYiG/PZhJipK
olYv93M75K88bcOwJjqGm4Cp53gHxCX81Ij4OeB4ifDz5K+eZ1uQzLv5RlildyJeReyjplBnznYu
IBWIL+X0ECiDiptP14bxLI2kvh9JVDyNUUr8rO6G42zH/bfqnWQveWwR22H08NAKjOMvmeJLbnPU
+I7O03Unu/JQOrN3cjm3N4NX5Y8ORoWTYZGQNWdT/1Wmi918lpOzr3PUcSlgL2o0/NcfZk1cwzbq
PaRYCPd3si7VczbY/j3iyfwTQ6T3iI+Vv7C43pH50LxFHWFQrQon1h2Jt+j8M6G3PT/Dx1Kr7pMb
qPCJy9UBsiDThrpSkKi2rVR87QtPPVRV5rI94GwBx47Q+ByIrrsWrLHPtckH4W8FyzpL7yrHkmmC
mIr+fWastlzIg3Xj9/CzYbhKewUsIn/IAF7iUQoQ9TwCu57vRxA7+5ji5iJEIu9ZbpXHXJjxAyD4
em1lIwbhAYU9OgrwBC16zzkGlFMMkzzxYdEdb7fxczQh0vKPb2Q6IXFPqvGDltm/7XEXXKex+GrI
8ioywGcN3I41gXnTjewmKIva1vu28oAhxsHjRO7ONpM5MgHJ6PIIsdVNV7YeE0Q6Qj7ZEGzhnXm8
PFPdbRxsYumqNZTeIQJbNjQ9Ew4jKcJjR9n+7qF2uoZCILh07LF9cCjo6QRy10BtiHpvNWBGOBGX
gN9jItHgR5SN7YXt6ieyewuYGjgexISWd6Nl5dyPjDPeS5ws7goZa9TR7rK+iXueJo2PnVM1XILA
4aYIZgp4/q3vukQug16n6UtUQ8pYpFf8EDeZq6di7VIinHvDK1/tiCsrLgJKlnihJ5mWTlYO25Zq
hY7ihX1qd8Q0VG3jpqsOY9z6G4Hhc+sjlK/2woaVX8YR1BC0nMW7tEN1w+6w3+KN8r8HVaqzJsWQ
WbDp/xBeLKDO9VhJ1pkYghPQcQpZL2VvZc89HYxlopFSlmKUU+AI89nmMO6t3Y/aBZyxjvPOOIYG
OhOHGUmCNwk7RTe6HHKB19T4VVT86JbsfKBD66fEG52vSk/jT7JBu6dm7Pt2JTPStrd9SLSdDFI0
+TMGgPcmW/z5nArRCyNSSpO5oMdbDSmH8dBDjuMZ6uBoRlkX35BwIX7mtusXW12HHZOUiYtrQr11
DCt8cHxTxsyj3o7rGBfzcXI7nENpGQF1UC6KnTqySBdNw3x6bfzMYm8TBzvLqrnzywaCRogBOVxX
xIOG+F+S+aZPQk7vTlvZyQukIsIcvvvKzSYP+Q6AwRX5KRR1KPe5raykxshgBqQO1EUSt0hR7azj
MecWW5GRnQ6IHHu7uQTjyKfJMic6hKrCrUDKiElgTssexSqz8zh4Y7XqQsM4MmQvPMhOavkXmpdu
hYXHemZna6NHZiHqgVFx3S98huVtzQb1nsuL2gXMZ78KXa72YyeQLW88ax7fmDdb2zZLjado6a4K
H64a5JexWzvsB7cafhAu+lzc+MFgfWVOtVxiizgpBIi0dsweZ5eLimCNo7LAByNMIvKa8XYSbLyx
sDIkR50Nfaa1tr4vTd4sUuqNVN8TGn61CUyku1ZvPUX4aQrL/OgbpbGF5qk2GL6GX2btpjeA2ZNb
azmdMaX7G88TCJMGTBLhwN/NgFhRoPdKvAnIIregDbObrNXWtiJZ1l8346CSte12bzEk6ft2GMpL
lSEtU7FpbCF9FMcc4RaxMoO3jWq/vRR9Fd+Fc5O2ayDRyabP9fypIjs+gJhBaDhDvqFeZ0wM+tfd
/Y826Df88N9gC21LLpbif60Nevookvw/bj+++n8SBv3tw/4UBok/8FGgebUCF5c7pr2/C4PkH/j7
MWDA+/HhI/6DDcO0/yCcGSO+sLk2rN+ymT8t0v4fKO4sPspxvEUxJP5bNoy/mDAcL7CtJbzbcvls
QDH+EpLcUiT3krJlm0T11QwLOgCjeS8c1OXtTLncZSdHjUw4VRb/TXD2LwkHi7/j/3uzPYdviokr
hqnAhd0oxF/8H1morCKj8Nq2IXsvY65LwtiS/PwPv4/r3/5//0FQxHKDder//C9WkH/9PAKpiBtY
/OR5uflx/rMCaTRMgmeR/27N3JgPYUcFaXTxhM6FoXCHSJZzKLUuiULtzZA1YYZris+Si3cb1CO0
RgTvWEvBdo+3A/pJchNH91y2iFtbN7FPTUtAWNKq4MZOlL9BWwWFLoQaMx1CQePT1t498UJudlMv
2Bkga09kljBZjCz+h97MaHRmMnbnkCUmNr1UrGYLoPYJp3LlcvblECxwP+TKvvWc2Xhi8Q54ry6Q
vrdTZLGgUcaTB46MHrUiJtEG7cVd5UDxEuU+IebvOU0ah6lSmNO/j1hmc9nvrUm45yAbgr2LCJlE
AvSFa5KBF+ECVJnsgOXBunjwYxQD3aTXR4MoJ/vchEZT7x3PDvf4dUhYYOGasU+d/Hc/dODWZFZt
PXDFRvUaFzHnIJsOAg3t6TCxnb9w2wH2yAiGvWcMNPwqwkn8oMtRhLYRkzWtxVzyoYGl9ZsmdASQ
va+Lx9JWTC8NdzuEiBsCqzv7JWVnWdYHRrDqMLRszNFhvcteBDeid0Ysgj3InLxXPZdflvbJmcXo
CGi8GMfbHmATv6wsOw/AUvY5CJU9qy6/X6eNX11KdHTHmHvtgAtAP0VUdESH6wi9bz/vlPIN1sr8
upWZiY+8lGIry5qNdoCsAsVNcFdMjb4ENKA71u31jW1k+woJIJILDVHEQ9ZxYJ0KeYX308WJ25uX
CaFCvS5crkuG5WG9Q4bFr58kvh0+XhhyHoCf0rCC3eBY8waysnqVkem/MscWN6jneKYj9+ybjb1S
y3MOjpIZiQicG3tqg6cByiXK+77baFWp7bLw5CoM4F9GTUxK5OSrJ27gPFi5bps9+syRzc3AgMFk
tELoD4vIqoFkzjRIv6d+b6OeYR4u+BGLclnoDwlvi6ndbOfMcyGpkC1n2MGbnG/90rN/lrhCH4Rd
Qu70WP/uJ3jij9oOvV/Mo9pHT6sANaaCkDTFvfGeJtZ4SQiYfLIzCUhwrMbGA0qSBcW2HIeq3YSD
G+qdaRjogwKXgYkWCfXzmNFkHuEn6Z8MGoimQkVnXdLWbM134D54/WEIAFo3/QXHL9OfamzzK17Y
DAc3E3eVWO6BAfBRlUx2/Vx/zx2s/KId9Y7IYvs7gjr0lYDWPEyRm9w0WR8f0a0QChnW7M6ixh5u
6Xtr9HMJJUw/mt2z1FbwmTJaPRqVnDcGAfDrErAJOB9VuIdMEIexSUylbmYTZiwso/bVDvNmm/fa
vBXV7H6wyy53JLAn3xaay60udflQsjx/rMiB+Cjot65mP/f7MA75EY6+eobfXO3zQYlLR6v4Fqdu
8wLy3X6GyOIcKXWCVV1PXbgB5QDboe8zva+Z+YPUKrEIr2Fam+0niQBldI7tFu9Ikea+82xVSYXH
mY98a+dwHxLH9x2GtvQODmXWvDURlcwHaDkzOU0kcWxBZ+38KbaZarhz4W/Svh0FHUlDxps7TjjZ
TCPA/psOyQdP2gjyPownDiTw4kTkJZzGsE7hF8ZEC6U71sVTyfwEH3fvkSZ36WoCDGd7MoFzO4DX
CcOy/GPY+Oa7a7jBtW/n4dgIL3xVNn6wTWoM2qDq1omxDcOB1wbeVMh2aco9km8DfYZBpV/6tOy8
YwhHNNwQYU8oJSQ3/G82SsAwSsaPMh3r265lxIEKkVUoA9cfE8A9a8M4LNyjc8ev2Nv1L2z1w1HN
uIO0Zw1ECPc99LkJHmDDfKIo33j452hbzMMYrfWUBfY+Czv6yN5tmNg0qG/0uvCaDg58hxCI0WJt
/hjrwd4MHZKyhY9VOkiTmu6HQQ/vQKuundfCqcVbk2CuEc1sfSY9yS/s94JNQLjjTuBDvyO1NvhS
2NdvRTMG6Z6yFC2oKedwXufzgpKMGEWs+WPJuSESrWIE5LGcZxVCmIPDS7+qHJI7prTlC4D+m6GD
j2dsZdpcxnpRlgIqQENEDOXcO5wXZH8m+R4UK76ZMHJ7kgylPY87P2OWsi9k5UPwWu4dWH/VC1dP
GG0Is2DiVI1D/ZwlHeq+lugsfmXlmpiybudk+XhpyGrfJ1FQBitki92J6B+6QbYTRrcmLrYkklXB
g3V4HWoj8yALTO6VIQiwh6Dw7DtcP/IWlFu7jtjoXoqp1ZymUIhJg9f7OEPFBFKFPNE1Ok2GXkFt
xw9EE6NG0IJ41JUzaLG86AZFQkd7EYnA/0onEiEJo0oCmLpZoL5buuO7ec7sai2IaNuR/0K9FaCK
eysc8uN9xtL3Rga2rZPjNdZm8DBnOnoxO6YO+DS8NVQbGtI6xukC89Vdx17QXlQcxXfKg/jLj9Nw
nvMK/dwAEYB3JiE60ELbwtoylmJGNLX4/By3vfHn+AJ3cpu3Axdy36g9lgbSbTwrfsIyqm+HueaD
Y4dEEgvsxjVPcvvWGU2J49EzkoexY8c5OZ04x8SzkOEFeQx+J3w6ojoXUiA1GXnkZJRSJn86A4AE
Ldu7jBQOJDWIRZ205vPxgXIHxd47dXiE9vA2rXVBXMgO1JeGx5aW/lXHFW23VIT/blCdWaSgyro6
V8hv3rjl8MMylwLjKimEvoshnm8nhT/06CfGDHslZdrEvBq9kB74go5WzNJyZUGwRLrXt7/6afbJ
EfKT7rP3Y9CZOAuHGLtHXR+8wRIXgHoDiEM/T2rWid7kcrQy42RQW4T6WCbgQKHvzFRrWdGXj46D
wldN3dyvhxyHHSUfQqJd3Sf9a+cq61U3It9i6J/helCqyFUnSYRaCd93mCw1QjK7y7x7B2rsC6R+
Vgt00NkCOkSy2gEASLatEtUz6lsFZ1sPvE8Fnp5ro+r5NhPtcGhLz3lKjTA4CJyDJOVI/w1fWyvW
o9nn1QZR81gfwzFxMr5oyVcycIDX6yjIGaE0btb+CjIriXfDTDw9N3o6PWIbR7FLX8C6qJxS4eKg
qtpLbzDp3bJory4xQWffnRfxaaLUHIfl9+Jwrqq4zdeogTjEoDm46tI2Otd3JbKSnPBTg3EUOoRh
hu1oTOFdJEa/3KR0uHCVJ+y6qzQLEhCsFMTuzgW/+Djg7TUYFXmR2KaDZQ2nQDaDvzNNxMo+cfen
fvByn7JHjFTABG6zSXKyEwv4QFGtWT6YMY2zJxYSuUuQDifTae1zYcYjimbgFRzpmfc8EZxTnkdM
U81KJJokvmxcMsJ8EOiUrPVYn2dWLR8LSHTcsKuFA+MJyqgtk0t6fYvOYYBzJwGv8zsJ2lM8heFr
ng/pSzvR+FyYv4CMdFkgH/MK8FncNsYvYRKEnYUm0k3BrXKcRs1RXLFteLO1wxg8IVXmld92feOY
M5FibOa7o8thztAmt87zYk8O3LC7kEWYJwhlK6ypfOusWDzcf6N0xtua6Kt448VRyK6N8oikm6Bx
n4BywyX6N12fuYDr/tr2CUIXbBBg/gIN++d2DDRX1+eJwxiL/S9K4OhniX6pwbprB8Wj5ZZcrF4c
bCgy3xUJqff/eT/4u6P96+cPMOKgT6bvdIO/tIOTmgdLz06/HaKObm3o4Td5ho0/zolnAEzZUBfW
ygrK+ItUF8PaWLrJYVUNuX6DJu0eWTIyHKyL7iGDyXizfDNr6Qg82Lqe3iyLEp5gOsSmPTdWdwWX
UoX/M4/59V+Zx5iopP5TLMb5oy0Jr8j+KUniz4/6k1jn/+G6jMoF2DmeAuxYfx/HOPi0HFe4PBnC
ZSDDQOLPJAnT/8NxAbGi8+ALWHrnv/u0TJOQCdxeAf/F4W/wPf+/GI0/pxNARf7lTOSv4xjp+j5E
DGlLagbf/s3M+Px4SMqI0Yb5vyXs59rrAnb4CppDOd3JMPs2gRIN9BYAfO+HKvtunK79N28lfpW/
vJZcidAm6XjAcjARX0xq/+jTQgFjc8Hk/VaS/fIrxEu2Yq3D9Yj4xuSqFDPXZuI5XKEIXeYHvI1c
rKR+zsSRq/qbABAuXhZV6GPK5T7GdVWdCXbmkoYx5xQbEM4c40JNPqSrZgQ3jihmZ7uhRSyUzY0v
B+9k4Jzc0XdSEACbqVf5UiUwn7rTEZJiSQEBRLncwB/b4aXHRLRUGV5TYnii7ui4BKRhCcLcRuIG
xzZ9sH8XKuM42Lfm7+olwlLMwouSpl+qG9tPn4g44PNRz6r9aMvifnJZk9TpJbVTdZMhnF+NwWzO
ayI6KKCS38WUXuoqotaHT3uptbrfZZfqzQi9H7WYu1RlYKsQ/ks62FW9VG3WUr/hQYlekqWmk+4w
oiqL601ELj0brv5+Qlm5CZdCsPtdE2YwehHJLZWiPRj+nTZU9x2OFpUkdgSqSqQ8wVdXaybmk5YG
jC544zCUqEUj6CtyEy4lqgLuQyicM2XcrxbjEqr0Se994cdnzGBEoDF4uVhL4Wsbrrwdk8K5E8mc
xFtrKZGbpViWS9mcqBHVQD2W1xGSNvAj6JhQ55diW3oFdTeA13JfOf14GZayHB5/uV4iwXbpUrTT
tdfPDYrjHp2JMqKNtxT4ID7g4TElInj7dwfQ+0NQXUmyoP2JnQyiS47xlmVu2RRrR9VBR4nZOwfG
i1RiVSzmlyK3iChZUQeA9bVItmTrTqzWHX8O65+lS/OXa3iuYE06lNuB6IZrLDU2NAHq1kU4JzF7
YRo89mpwiMTGHjnsUaGjrlLCsvdO7MEmr6LafXEnpnbIXycZbuRQhiuiiHy0vK0Cp89gYDqGBWU4
9my3vun7uHtvSosHKWvEWySq+FfYefUnP5nkQWXlQnNzSzC8Uz6V28Tp4zdK+iXbpGd2ZJHFRlPH
zvSKXoPPMluxeUBRGAAvzj3nXZPTcmJxLsd16Azw2ZMhZeONjHDCzTxaO1LHpkermu2H0vQRA2jT
6uZNWjQCUnUwjJ9N4cGKTyNd3w+hGbwjx4xfWxBr/tbx24q0izwzie+L5AsEY0ZXfW+OW+ro8aOo
OvWsl1JxZZEV/NEk8NuA+xsMQswW5YXMU0rABg/9L0Ml5mPc1cULMfDhvYTj9VbitxlWsZ0vbg1t
iyfgcQhCHXMAGAe2rHisJINLKpKFv95ErK/CVGZYEmn87V0CSot2oM0NcyNHEGBRjCBnGwvL35OG
QKWFH99cDR0ZypM3Y0KNs7h9aPXQ4IiM0MfPaCpMInBCTpEMnLRegRM37qZ6UgXdoZ+9oC1gxola
JyXaHtflpxAtzg3JbvYwo04G8Wek3sRJaHnHnkgX1mc9vSZBB356NYo8vlqdh3ejBb1L1GRp6vuk
8u0XfqXuqqolYzLp13IbOrJ9jOCObJzaYbRiu8V9bi7O0FpJuarl2LzZilJrNXIM/UCWI985zPmN
+nWJ8hBgZOmukTIZAV1ChPMtGmu6b2D/THx5ydmldniljkbdnXow21Cz/XShOw4lx8IQhi7dAAyQ
Ww3I+iUXLQk3RO6kakVkpFXTPwTWD8CO1J9R78LpEKZRkvpI6uANXLj+arh+/exPI5m2Khw8H2Jk
6bxpgn+/mmgmnLqIl7S9RASLDMZqQcDUeYxMJPKZYx9NwA3kpNs2yAci4eNrBcYt3jqgqE7VIKN4
r9AFBqfJ6Nm2T73J29VWRUI0Z5MaH5DxEdeTXNcqAOJliE2NONUVFiFCwW2mNhsNr6ZahTZu0DUP
DjChBlz+4p80CgbYWgSbJqwm1qWTq/gj5tLljK3fX1qsS3yIP5/oD+p1jez0hiepffcQ1t4YWesx
KGqL0wBXHfyQ4CAWSuaHReMG0qjsJ5ydJode5Cf61ukyH7V0xkk9o6Bl501TgT3ZdTwUqVI+jhke
w8QRkuBektvQhfde+z31Q3zfsgvALl2mRDuBv7z1gVTv+EZZbEZV8VpWUXuKMh+wDtOSYhXJfIHW
lPMZcAKpsl6vzh6v3tbmK/+Yu/S213GIflS4E55FacGAdPNbJ+wVahBC5rBVQ8CkfaldTxxCAjBo
fHpUvswSPED2ssumS8XQDFK+HOJXYWP4YGWLpZkYhJFpem3yveGond5s1PRPHL/1FduE3NPcTT8q
7ueLtKKR1ARCe34U/RhgDlUIu0gmWDreIfUSdOq9iVhZTZD51tIQ7bvu3e7qoF26DcfQugpPub9s
Bm9rP0zmZ5cX6ZMAupB0ayGT3Vjle4v0V5IFKoKuV23etV9zMrBnQLoG4SIICIZcfmnWPe6Z/rGq
zP7YCyvLL80weD9cgKDfcxYW8dqMG4YCZo7WedWzNgdlgqIHN9o8OkOzJq/Cf5vMWn5wuyT3zGlj
WOxhDSlrZTGFhDvS1bitV43KvDtUbFWzdmDwjOQFli5QRLt1Nqrt2QnYueIlwHk7KiP9aKwgvK2G
6nUoUB6RJDNu4pTJfFKoKd5RGKBmw1TiDecpdiRxWZh6EUi6uVwX7GUAz4xGvQFwTy59OLXbvjZQ
8heW/9lYnX0uY9z72HgwCK5D1LuHxjAklH7zRyPD5jkbbecnaoQgP7DqrtiNWSpBDooBiFEAW7Rv
XxppA83QY7hJjovPoF9G4a7HFzKt/IzmchOPfcrbaffIXbS2Wx6aoQBOKzDqYgHuMUif+8FxXnXX
8EQVAGEphDAsrGl1zUObC8Z5/ox0bsUFb363GVohzukcz1NbkqBtsPa5kwkCgg2Ko2Eb47BEuEH4
sH3JEHyekiYxfobscHwILw5G3az1xbp2s+7dxvkzMYdJjPcISbRc22pK0azbnAIBBj0Nn9EwH0u/
dpxDNGDa4aKa9bMGUsBlbChbHaeQthf1eQhxiHCdhYpvC/tBoJH3d7mWGqHcnDdoyEgEPWIK8b4K
hsvr0SG4PMjyTdvUwdruTLlzByd+1aOF5tGYqdgA/ppMaFSFsG1qsdqPNKtBCYYYWbTxObFu+yFA
tXSQ9LWDvDgNZh89ul9gqDcmGG14gXpmeesRgcldn2I+QBwJXMgeQGQjHscTVB6iAP0fidO+c5+i
a9vqovQxrLXMqcgf4ModwusUuoTCekTu7vy2QFVsma88ifa3Ju9i2w4J1AW0U8HV69v2ksajhpyZ
5t7DjB8I+HMXxI/GZBY3Vq/5+fFSvIyO5rjKbcyie1+l02vosIxSbReLTYIJa2IxGimT2U3dfwdU
g58OcUfM+3wA5uvKhg/A4sz0v23GLO16JqTxyamniitWWQ4ZwyweEgumKTElPIXkd+gy3pj9pL8T
gyjxem6KRw1+qsMsGELJJZ7ES0DIRChkwq4bLdgB9uhvpmycTg4PIkUvo6qVnrhpRRYjKHEdwk+5
xsomvy2o5plRQhkQR7fN221kItyts8Z4qCbG/DNaIkaeHrBTAZ2WIRFhJQw3bYPAjl6zUiulccry
ELrPOCUFaOMYKWoVDhip7ZCIihUXJcqpCFGjA8qogSfH/ic2oMrBz9oYzsSP1nOqZ7Mril2NaEai
76vFmfU1y4tOlcy/Ilflr1MP4u60xAb/yhjZgT/2QqoiHOCUiCYKc9C/2qpeRG/nT1oJ/8sqouqg
p4nJYZ/wjkLHoM1DjU/+BdQFiIuosu5YYkzmyiY6L1hZII7OAcpDqG54LJCDlwT54FfCZL9Cf2wB
9Kiq5r71dTqsMZ0HLlmBMwV2b9DmKKcVV9jnjXmGygzdb2od8eSR5bDSRv4LovLoMZDzEXW2pocB
eCggKB9ctqMn2Wr3tupYn6ziTgc+lHBfnMIWUQHHspsdu9Rtr8qOiIlwMgcTiEMUGBq8Gnaj5Yij
9iMkh0aVfklPIVGzvcQ80yW792wCzqY/i5WGA12Atr4d4+wZ/Hex6Wi+thUiwlI5qHgrIs4tULcr
bck7xQtwx+rCxyrdEZKSM4BGGRZsWvYVMHy9Ltsyi6axmBMIUD1s9JHFwi6z22RfNmZ5r52uuLKe
qDadSdW46ATbkE8zOfmlAo+5xX6erlDSU1yMqbxjFqd2BB4fei62dUp9SfShvpayFS8Cf7DigE2D
DZFDrygDsY8nlnwYgPojgUinnVuOd0gCRr2x3F4eKmcMjqEXOmx4EAMPnFCE2ATgts6MXTXezcSf
t6LNF9htFZzmodUOgrUAHAGH9y9fefvGF+q7nuLsGg14a7uhDH5UrDJPXmzZbyx/oi///3J3JsuR
I1mW/ZWW3iMEk0KBRW9sNtI4z9xA6KQ7ZkABKMav7wOrzK5wjywPSZHadInEJsKCNNAMUH363r3n
soGuJR9QBxeM/8XtIA4ouL1iy2/MjNuZCBhJuLIiXr2PW/VYAAk72AT/EE0TTNajU8TEmSPmW4HH
pocPv+NJyTp7Dztzxn1qTsYPGJVl++5kHIMoABLMGmXom/O+SbPBZyXF/q4TNzKPSafyL6AZuHms
mMoS9zUbWDoSb7my8G4Nu5zR3SpL/eAOvKqf7hgvdyQEDIjBY1Mh+SBSD0mdwHvgki7Inql8hTzP
UT4LlT84AyRwBwGfOi87mkt7055LLvqIxM/coF3npsAHPQvwihwTdoxyy3FtV8QXrJXscBA4pYUK
XA7WdyUSzO4u0vdp4+PSPAZ9MAaHokasunbKmCJ6cHLvux8Rjp3Qyblsh3a4hoA+g9M3YwrTzkq9
z6ZwNSyzqE7uaAtUB905zj3jnr7YRj4NeqT93oAHCsHLWimEBWjBl9EIhOVlTHIemSCwM0/dMkeB
yU71pM/jlcoY9SepyAxdzk3e/+4A3f952R7IO3/Lsjp9ZMTsfg3fv6s/C9as//i5f3RI3T8smj6Y
19FSMWBd+qD/yPSw/0CUbHq0QYXvoGX7U4fU+oMzQoCSTKKzQpzGZbRVp+P/87/9PxYxgs0rAZoZ
1zP/razdX+RcHPZwPNGDZYQAN8u0AmKF/9yoBCAY0i7k4OkNxUVQtPtggCQfFc27RpYCp9XcZB6R
YGmDDsKnRcXB5ZlkL/NUtT1Dk/StU801AU7Tnn2wOzBLvyX4nO6cZyWbqjPguSiOf43IX7UP5NwM
steBs3HQTxeo9chL6ABnMaiGWJve/H468XPqz/mPA3hkCZP5hCQF5Zc/LjXzWIPRcTdQdYGXdLss
/FE26tb05N+guX59JwR3kMd8ZtP84xLg8vPHGBnsk31RcNSwSLFgWpGWxgmkysZS0eb3f9RCMftp
5OO5C58dzprnQCHz7F9GPjhzhgLZPBxXr/+UYS3XtApf9ITJrQmsY9jjp8+9PtuYtQfVFc/w2vRc
+rrIkvahNaDY6lCcJfKN/+uxLIsrQ6B/EqJ5jYzhsvLkh03bRChvI7zqW0Ohv6btCZSgrJltR1DS
RTLsQscEtdS1R6eN27Xus3HrMsrbMLb+8Pr5ra4TDgGSMjSjkP79Z2At39yfx0788ei4TEYP3iKY
+lVoGQoZ95NjBIBt/X2coq8owLxAedwp0laC6lUVHvj5fm3HVHwsnWgJiq8csP/vL+Qv8y/PlRYA
OEcyzbCBtCxyyT+NGKZ4RAgUCeItNFh2DufAZAz5itgL9Y2Vf+ZdBteRahnUKVK3x0pM9AVTuScD
gyz3wL5zuuYhHZPNKOo92Q0fcxq9F5O1m3Nx/zcX++uwUDKWYBHCu24idmUJ+fliyxSuRqZHAG3m
TH8WJ6s0h0e3Nx9qw7vCpPnYdiSABt5hHr19UpvPRkzNQ6m+iiFxN3O66S20DBhH13Mer+kPPg6q
cf9mfPKXb5frZJppo/rgURKsdD9fp4iYLCeJNMitzx+Un9Y7Eg0GRDsjZsfusg05uhQpZb3raXyr
zfze1/MDupDt0sv6/Ye2fCZ/vtN+uRb/l+Qw0yOaDCNruAlBiY6wdrPAghQGwtq39+3fvt15Tfr1
/Wi0m8hDLYZX5i83FDrQzCcdLNg4GvVAF8G59XWz6YqBu8J9AMBmo/wqKjxvBuSwhWxFX+zIif5d
To4DpypstxExuGQZlK9hR3uRtPQibR9nUM2XNob/dRcG4y4UyR0RhR3BrAS6OvPJ1617SD0I2SD1
ajJE7RUQcnRxUXeJ6JleCi3krevWp7w2ol1IQMJK4WU90BBGkSYI2oHlka5oRTpb7cy3v/8ifl5i
pbt8ER72H7rzniVd9r2fnzTHzNtK80UQkbRlEL9L1fWY+tBcrn7/RvZfHxNpLrUuYmreyBG/bBsC
uCAdT55pJ5WX8I+/l4LoOtdXYFoCBxxHG7+k4/Dg1vNRd9M9RsO30C+W2I7wvQn9dSnar0gyczMz
uiz2o9bEzdMp+v11un+9NX++zmUI+ae1x4T+EtkcT5l6eVTRw44WWLqGwPgaskGjl+ihKasekaoR
t6t8LK8a8EtrX2FYm4uSHu1sXDOHMrbjSOgsMRb9VdM2BdbyITuI0keSXHvuBZS07LkbXBB9tb7u
q6FfuQpjpsI4ujJs5XKr8cae2eNumifsKrVrr4wBwj/yjYJsRN2RmFK9jDr9CGO1wKKH6X0S3bMN
xoeAw7j/URAwBPs/anZhV0eX8PrnHcD+599/Zn+9iah2hEvVwzbNMe2XpznTAeWGUwabSITXGuij
0P06ceQ+VPbu929l/av3ouZg5mY7LrPgX/bpMcUP1jpVsOnt2bnouvllTpRzqejOP6NCc4FT1TST
p6s2+hHJhIYFAwmkEmywg0aNO0/wZJzlNI296G8ubnnvn1cZOv8YKAiuACSObeHnWydPe6sQPonZ
aZFfTNFOCuNyrp/+5hP4tVKRnkQZwCImeQ8LOfbP79LYGf1peuagruhHjkuskEiyDUa0PX3OajO1
3f0QKfWR1+IpHaY70TpbQrbctXTLblvPhVrVTVJuGQffEh8Vn2CEZfTuIND//lL/1ZV6vsumyG2x
6A9+vlJNng7EB1SpvlexqiQkwKXFSsQKBgXhUhAG5M40w0vf/gco+L/UKFDJ//xNSJwbHphbCfNH
il8Xm94v9FxFFdnlSj6Hg2SJIR8mILOxtO8hodCQrv9mS7P+1XuCjrcRYLHDIi/7+a8N4Eu7jElR
rdbhvrAXL2CixguFC2FjJ5T2RfcZZ/1THbtQn7wPmzEpadTfNPGN69ioqmt/LDHIOyA/5TpJH3//
Zbh/WYChvlDfUeBKgJlU7j9f32jUVmUywd60frchxmgfinAXpjwukIqAPWZzfgkKbE8/90cqgArO
3jsglXGnvfCtqWfsfp6LKbr/kcYk3Y7mLuoxDBtZcjvgS1DxwFaFeD9Q1SeSEH8rQTP0sNKOFS/P
DAwvUtBJYA1bYme7epeJ9vtUmI8dUCOrjcg4QEPSoMunNQ2pqcn+5huSyy7/0/MJc51jC7JxwbMD
//jnT6BMEtRrmMI3bS8f7ULczX51ICfbQBEw5us8IEUc/MaVGiMUgCH/pcILgfKt3eqovdfNcO82
CPhNZNvop9z1aDds8GgvfGDbkn7Qpgiw4UAAOUWt1oQwsHjXQHibAa4EsIuTjEAPEb704QvSW73I
f+id4M2ykysLBhTQhmMDM6dPEY4PwKxWICu/ICsoSHX1ddMlm54LtcziJkdKPKYpck9i/8ZafPRa
bwyHji168b3W3lWFm4O4bmjFQSbxkXvzzi1J/hudelsBtkSshwRdF+NmsrJxF4OXdEamgrx0gX/5
k7CJmyp/lXOwTfT339+Mf9lkfYdymUeTo90SzfnLytARClDK2qEes9f1fBDygB8JRwim6P/40v+7
2yz/P4WjejTm6Onymf7Xpj94Gx8aDk700cQ/dVH+84f/HxN88bUhJuM07+PUs//ZSfHNP2xBu8ST
pkvck1he+YfWzKb9gg/PDBb/3/IscS3/6KRYkkQntkCOGRY/ig7t39GacT/88swy0JMue4ft053h
/X5ZtQgn6mEo9+OOMUFs78jibtbkskGnJMt5Bomv5mWek1kYFfpoYQVIqbp5444odtAqa+L9qIBP
5UC1SSo8QdxdSHyykDJ/YMJiPIolXDmCA3nrLYHLTSHNBSlDDHM7Aj+UDj135vTxV++gQ18HU+7H
G73EOAMsy5/nc7ZzmJdgLiGEUhyyMa0hDE/oRypkms28SCYm5j2HnFRbf2X3RJ8g028uYx9sxXhO
lybvo8tQby3SIBBrBk15e6iJqpgYJ3b5bD5wtMhfcXpHD9USYA1FPf1Wn0Otz/nWk9GTjVcF4n2M
kTFr3RFZZw8oay24SHCNmHfRSl1XqZXZtDxD5FGYaG7UEq1NxHi2KknbjkxNHFABwzpxGnuH/DUC
EQQbZYaM880/Z3aXVRfatEeT7FTjSPs2eAE+w+wc9V0Z0ZONg42AgXMWOOdNoHIRIEUQvNAbAidz
V+YSIJ6mkX2R8gWsIb4xAl+CxlFoP0/n7HFpj9Q0c0vnOD+nk89LUHnsIjPb0BeUV6ht0g/AI8V3
85xu3pyTzuuyb2e6YQSgzwEpeUq0Bijkc0I68SOkpXvlMioyHDQqNgjEK+0PwcUYlOot5gSMBeOc
vO7Bd0PtIAlkJ1ASy0O+pLQ7S2A75STW9HOKO2ZpEt0zAujK1SQaXEJV2JA7GAdhciAeqvtS51R4
krrHAzPbYI9IgtR4G2XLlmQYFDggdZfcSW7rJ00NdZslqXsKva59jJco+shcUukBb9TBpY64FdfY
6xRyKDG9wduurI1A+ZARetiod6sjGGZRSMBlT9OyebCkE9y6roUHf1ZDcEqzqr0t0HHUaMdiePXB
6Dd3PvnBz61LbMaKJHTje6dSQWov4qhX6pnim1d71R4uC68Dox8e27JklhPpAqNfo9N4OgyLF3PV
g2W71KlaMUG2Qe9ofI1RPAzPgTeoe/oiM7iScnlus/og/djoCXBBhwRsg8lMHQl6TSFqhm8RD9fy
oyHjdbfJ8/pgMrNtti7DHsKEEu82N4QBJcDNR/Mlwnn06nHLkXhJxDkGSAox5vSYufYOye0r36lN
yBVmQ76yrGF+z7TWVlHofQ9ze34bIlwJTOidYnA+K5CKuJCytPkm5FjkOPXd8W0Eh7Spu5iITXgZ
j+PQqVPsO+QMCte+KJFj4ZiMNC9LmJ01Gs2XuZVuDKsd+AJT04oRzLkvNHt6BQVIYUlQ5S6bGKSs
Rj88TBNNxGKaCeHI1ZpsMntFc7DZd3WDctGW4XNgk29DXDI9DPCBHlz9Dr7ipBtVQ4Uuas6IJepX
d07ANRbDWFRbO4SESq+uTr6nnYqfZoiVl2ZmwYKutQOg03Dt4dXgQbF2te00TJzrunsrnJR5cmQA
52EEjaOYGbCobxUT3mlXdinNCORS48ZCpLVCNsbC0nVed13XGSKKCWjdURdt+9piZKPOLr+yok9J
U0F6uO1BOl3GQRZbWx9GGjj0oH4ytZ1ezb6NKTGIx/7F5bx6csI4frN6mdJyEcW87WxD4IUYQ8gb
hSxMTMr1LD9bUHyHqNCfZp24KGfKvrpgKxHk9KV5/eUakQTF23ToTko9DFdJR+7JOgAAKugqp2kL
4A4fzZqIlwriKEZieQA4F/urFksHFZkZUKS69EjwlslVRRXcR3Q9D0AM64vQS8qbgk8Kc44SM4iN
Ic/03kZmER+qQtvIGjzGfQXw13ad4qCim5lDHUOf5DAxJYuNyDxuzfrHOEz+hQkufGO1bduhIBlZ
nKDQPpQGj1s743/e5ENdvyUMeF16RL5/p1VjP0+yQrHm1Zl9MmFMPgUN7BxZpf6FD1aTJqPUcPl9
FTk3SvvljWcH8qmeJBy4IPW4fWTb585uIuRioSv3V8x2vXntjm70HFidWeBpldYPszYt/5IrjB0U
pQI5ZexP/puGTw5oJUc8ynMrikPo2oKFYRDeI2tTc+qLIL1GpWXvHORlG4RQsViPBjTyVW6AI8S+
l1s7o66SUzqF8gWvDtywaixusjQAjG7XCtxdldySUEImxWxZtykrEkiYuH7uCGR7UoGjNtbUvSlT
Oo9a9e5tlk82AuzUOdSCE0ZtVsZ3O61GpM6RjXXEqZxjCtSeRIzEDR8LM5K3skoeq8o0btHXhRt8
f2jH+jjNbo3UtgjXBbKJ57FEfcF+N8dbEJfwr/Q5G2SSqcukPveRdKNKddQHNN8QSdfCuehBVYLF
Bn4RLxgMvQAxcGrMn3nMNMc48zLKBZ1ReXl7omVDpM7gJe+Jbt4KQuj2YxeM+zDBeCS9IvkIOTDR
oh+ye18O5R7HOxU0iOddbYDXWvu+bWzLAVDH1MUOIZFtazdXUhTFex73gBIR2Y/+1kQxm+/KxnSP
eaRYXFpCOo9dDC29Jp35UBoNJHP8Wcgw0IUzeQZUl5FOtzZbF60xC9AabGb/KNhaoJIQP7fGKZyB
aMSvta3Mof2YrXS48luSwrasCPGxr8L4OjJ7+8F0O1gOHVJFBPFCAnLsvQdUTFO9BrFv7RHD2PvU
H/3riaRcfQmeHiBxYMb5lZfK/ENNQfjWTXCotbSCH02dO5xxJkoJpNZKOFsLqhsnsakxkM9FXZnf
JqOLJgu+HGh9qxjCQ9MyNGdkX00vTKuRhWeTus0QqpKh2UrQnU5rOUxdKJpp50bxM129uNkhz6gM
ki2b+NKNUrINCSckzixmXrROE9Q6xyCULTPoKfVeeoMnEql0f8+gqN7rrLBuBju2EZeKltCJDpXd
Ac1utPeKXL9FU1YtwARmMDYYzIuuNhfoZMazOgMwPtGMnk6Nh9EWDZ7R3VHAohyvgz5+jZn6R6t8
6FGVu1nsPJrpWL84dqpugxaH2Mg48RqQBlIIti133AiCEKgJUbCgzCiQdbou2mUd29O10YflRaBK
c9/Mwdivm0EbtIskXj8G4QitG3f60AilSbUr4M64k+q/pXaegiB1iFIZsjiA9DIPd32mMeOf/8ra
leVauXX/FnD8dlKN0GQexAsPJ/LxOinVrT8UuDjr4klk+X0eEzo4Yv49BUUMccgJiTzL8Gbu8S0E
ADIWjBUHWr54OrPBi7IadpBQDVGGD8Au4FfbaJjpvcMJsqrqPqgqBCOFp644vOSnNpryV/KB0TN6
cLo/M0ieWDpB+eM4k+J6RCzaQ7zS47ufTOZ0UY1OPx2YVPTZRVzaEIS8CICGphX0GeYRDZXSxCK4
pNaTj6Kg8tK19wMyx6L5YLFzfTcsIiygyTY4uzBq45ueTb/ZeAXf9Ur0TmLv7SpInvqgtXcEsaSv
s4GPxQyK0Nn1pDGzt8X9s5UF8b2c7PyalIv5dk4c/d05b75NiBSaD57ERKIi7qd4ar+N6M+uJAyK
R0Tll1YdRR5Ow977iKukHreD68fOdml7E9/nTchQZtu58TM5bMwFbUF+xsT8DfIXqnfc21l26Lp0
Po59jf68rSuyVYkgE69mZCFZx9pNDp1JWBKxLKb6dI1aHwbUNldV11SoM4b6pQnm+KutRXCAP2k9
95YJxXGcxgj5R9fqnUWKSAKNSUdHEKqzccyIRjkgrRpxVDvotXBV6veYQzJjyEYTbBI7hdpnHvJn
8GJteuJIkBw8WEYHNZp1BgEKzqdF5/EeYwTajrgrlYL5XMzkXYYCA7ApmRzSH0dkVqSLOGuklgME
bFW37cJk6fJFIjo5XboXJkwFX5QEbA6EKNxH3JmHwfLKb341F+/LKVvzDk6RbxjyGQ9m13SE4VjN
SzbWE+kzDsHuNRv+WjjY15XVCl7pEWgOhl1dtuakTlUQ5dgrnHihaOVVio0hb+IDSaPRjV1hGwYW
oiRjOjdN77qg+AEhy3N4XIr90OSI+psE5uWUdxWMHCEuI0L3ehwqhvmYijC4J7IAA6s/445FqOhl
pFj0FCRV77QXLcJYe+MBW5mIhfDUAdmuucZEnBgcTWH2sikn0CAa3fLVUMabRTBdAsduLjQ70gfO
QmhqZRISKTLaNi6T0kI/tom1DkkYFHrczYNmvJy1iJ1gbpNqjjzRg8roIvCxUfw2WT9/IUf3dvM4
FnopIwtFQzFufKbwWXIM8Kh/H6OsuoqajJXEIJbmrgZH9VSI5UyhfZFvUlIjyrXpW82N26GuLTwd
HmyzLw99Jtsjkve43pF3Oz4z3LXNfZF6FQCZPnzXgFpqQIZzfkUocg1osQGa+iK7EbdCLwdEuOfu
zH93m+p/nhoIMdBvG1lXH1/x9PG//kW0He2l5Uf/0cay/0Dvg4aDvpQpTILc/tnGklgmLWeZ/VL4
UNrQlv9nF8v7g1h7K6AnzuCTec1/drFsC4IVhTDcKyZNi47o3+liISTiV/3UevaQJHl4E2jBM2V1
xDLW+tNUMQEcMs7Z3O7GvGMzMxusIrSy4hvDSJH+CG29+HVELGQzy/yU4BKwLvxS6aM/JOlD6drJ
TYNjhr1+mNwv5j3B40xgntqHVWR7J+SDXfwcMfGYVgbM9mfUEPidlG1vRgOKQksSSo02+EmKSqx1
3PU37O7PaLZpkqkS0KBQxWM0l2T1COncwMlODzYBOti2gHs3UcEKlhFYQE9EjBW7Aanb8CiBBGp7
0nuYkq3JCQsTB3qowVwjXp9IlQv7acWsI+dQ1tT35egV8z2bG9W3F8/FgzJ9hINp0vQPhVUVqDDd
AfdWgJyeE4trx/3RjnKY/6Cf1Zdh+B1LMOEzpGRRsutTN5ZBcAFsSUqsha7d3E1Tpr7cxgXMCY0v
658JEwq+Kk6x32ZrqKyD3QR1sdXSWU6IgwH1IQiw/RheZhc3gE3L4WImRuSHDqVmaAXM/J04Kuux
8uxi5TCHvrNdhINDmh5jrJ7GhTJiZe6r3Pe+TU3i9kfHU2iH65AUJrAegCyQeUBM9Pqm2llp5BIK
Y1GgMRwwHzlYJm9d7hLXUhvN52i28hrxwSS3rV9jP4+HiGSqQg2XTAL1vmQywg4nGlhQfe1iLcUU
v8rbug8ooNRyDACQE1k6Ojk5hqF3kEXefQrapFnBSzEvDIJ0VpWRQyMklyNfKbgiKzr0oFdUR4Mn
j0hyQfdPMqib2VTg5YDfVaXRidr5syu4W9ArZRCmSOxbz0mUPvgtKR4t/s+VmfN347uBPw6PFWSQ
O1Yf5nLoapMOHlFe+C9ug++GAUabOe+xwkDDaalfs64ukHgTw1tvHNKRgNMAhfDeTMmX22jSdS89
XdwrhumYSpv4JMQk7hY1zlvT5MlVhKjf2+ZLAVdr6SMHpQcJoNPIX/sGZibzdDFybksiuDW0m6kN
oUHFGb3FfETdHuepumhLh5xef6aImZaqcwj7BPhOee8jitkmleUiJVqqVlSyj7nr9m/NUtGaqud+
R+An4nXft5h+/Sr0nYMZwvoF4tjFxEVUcbJOxhjoPBaWFK+uZQzD0ZSa/W/oZscn0ItI4aNl+2zb
aqnn24H4E+wlka52FVYoyDHnc0GcDfXApmZDqAb2zEkiNiCzEVBlSRx4jffmzLIxSPCKCMCjq9S5
L6Rl1MY1TBmOL0SKxB19dIzWG7dv7WmNFNEROyCjk7lJz4ck2ywFOFXHjsrx2iVUvLsKe1Tva8hC
IJSBxLjlfcwJtEcIjvjtRXN3+StT5gySwsggmxlMmLm0ucjPXgGv4Di0nCzNNBdHbO1R/ZC1FUDo
xNBB+n2geXvq8woloyMUnNBptvLnhgu112QQZ9/zQQfN1gkB1XFMqw3yDIRcGEdw2JZwDgNkR9lZ
YQ9HOv/RBGkNCdQZom2Yqqw9cmfip1ALz9MKGvcO+wcZGwvt0zNGUhqRHgYctlzRfHOCvCF6Lcaz
iIh77PGTBwmLxMgxbmGL1mQNmFQrlrvLF+yoMFXN+NYn4kQKnDvr2SLNl2l8wdE2OwNLWSAlQKS0
qzmctnmxsc54U85oNIDzMUNiSLd2eAOw6V/1GG1fKuJY8NWJYcL7ZmcXeAhwUyNNHmFU2ZGxGdtg
OHiWHq76oA6Ik8bMtvYXBmtqeOOdGLtp7XJGuS/6MmYCgqk7go8NcCzEokVfnI7z0aqn5FLDQl0L
chcfrdJ2Xgp8lTuLIntFy8rDOTHQLgeLDSh2NGDGjhGCEogTI7D+xCCkBDBMtzenLjipSgMLw2KE
YYlZN6boUt0YpGp+YLgb37GTu8+gQ7Oj1/XpDu5LeM9umfh7yrb2kWid8RsZA+4XlvDhcWgKwMSi
fAhYlsbVUEtwIHFfPaS4p8h2wZF+QcORlZemUnSAm+8QttSLfV+WKQgRV/cEJqYBUBg/7+eGc5z3
Fklw9xtCntvLbIH7BhivCUZm+sDxxzykGv6vlAWW70qY9oCbtHO2hFj6G2x/1aEo+gqMM4Z8caYL
15W20t1k8QfjhEfMXiXGqQuX4QcoMkudJvCHatPCPX2q82Fhdo0Fe1fZK/eoXAJCsiwGhVydscjT
QkgWhuGSRzM5V2mdBTflGaUMheGTrblhpAFnOe2x9a6Ghb6sxiwCAlOQ4kd6V3kvHEDNRUKji65G
H9xwLfq9IMOdQJwWawlUtvnelqRzJ2cGdAgNupXpd/h4+ZMnZwLtwiLR13x75Zs5mzPySW3s00aL
fWW76YaInC985fNtjG/rmsplhC9VFlgJceXXgZHEx7IiRqu0OhL8gqrneZNLxOGCxzYJ04hXRRdM
dxasafVQcrC6sGFjv9tM71DqE3SNnamqQa8N2EwG7JqtZv7Quxi+VX83Eo/kHEVcZq8VR9PoBqIT
liIzdctv1UIED0mRKVcQfsHttGdwOMbfIEWF0MuHwF1GaY5Ywh98mAxAfRH7QfEThr/mt7GYmYaU
PQ6XhFxau+ZF6Gbizk3tai2GlpWZL9d6hgRQ6q3GagtykJbnRlGY4foQY7KfONn8WAIAaPH2/Dvz
G3jtA6D1fBDqNCzwdbFg2LOq4tTTyqmONwLAzhN5Y+We3kdLsC8od5JCvIugOcdZNEmOdy1HGwo5
mc0GT03frmXGxIUOJS+SvqeDQ5MWLRbKyZk/6jNjvh6d6SNZwPO6HSUe9bYngjzy3Tpe2ePia7Ho
dlzyxYO0t/nxEumjAncPPb0kFsGfGdtYMSDjiGkBiR4RdAFmkWLF74z2dpBW70FGsBMH2XLY4fxI
rFWY9WqlRa3eymrhOyYAuD8ANIhLN0T34HRdCx6z6RoKPCO8jKA1CrSReJwkl7SNWDOndUpT+UUT
ZP85m1VNmFRFQyaJSZVZBUx27uNqGhfHc/lYBR3X1jQV/ik/6RNE75CaSU1ALmm7UXXLqj9tmkYG
cFWnuFL45MPoKSS2gHWHM7jb2kFPBwg+FhooiqbNVKVlgRZiqmn8pGw1PuHTN01RQwpX3dgxeK/E
Vp7DFIo6y27o2yDXlQN0aNIVGLfT5Cd/QTdW565bjDpP0ayDR7KrMybD/LLrZIpN4I1jiW0GxDdg
MBq4DxmN3tvahTWwZYHxYWYY8K4XKz1OcXbm25KxxUWcVwCikkKTH1ot1LiM6RsndT4zBmVBvxda
u+1KWI28S+aU/A2/HOwHnANqo7yoe44JiXpAXgmr7ByHEQuSMXLAH/3ODGbRUpKcczWwo02rpo+8
h94LEsBzMyFUhA5ON8Kps88iGp37WrFQH7xzaEcClmMremF8seKBP8xbb2dPfvodj5faUAqJJ8w9
5H20puHdm0sISDXjnF4HsZOskYei+EHeGFzEXiXfMroCt4XZGN8qv0gfzHO0iN0SVVj2k/wR+GA1
TnPUVuFqbkXx5bijfp6HcTowUCAiFNdcsnFBZqHXOeeZeNDSpk1Ssgod6rrwDoQvkolAF7Df5q1q
96YW+rKIG7C3U2KChBCKPvJE92Zd2nl+YWYFIEw376eXeQleqc4ZLBKPuYQ/n4y7zKoUZN5MwsGJ
kgb2ZZRcjlFLyFHRvY6mZkSwZL7MS/pLUtr1e7gkwrA1qYsxdvxj0ihWHjciIG6QAHYmG1BosiTL
mCxe2BTjZxsMPVNRvIjchXRTiKSppHtoPac5jlHIaM/X+c5FYr73QdExNpjC7+GSaAPlhvUPRirt
lZHToaHdPTOqeI/L1HU39ghXMKJHejuWIj7WqWp3Fhypg9UO2WUdye5zyLS6k0DPfAjilEYYGqtH
XFbRzsMHdxjyIHqnnGkxicbwgliaodpSTc8SEx7ZCSvJAOBSiT7Zq6DB+hB17QmfNTs14oXNkAyf
nB40+jefIGR2Yrhm5aC/MkIwh2065P4RnL7/ntbYFDfkYumLgRtkbRhTc9ngEKdYJIUoaLP+Y/br
r/mcUZS74bKdchpTcRkevakBmW7Y854jEAK1OOZUm2CBvgoSgcRACmddlwZ9qSUUKUHjcacLkyzQ
ehybS8Zs+kTAjwKxpep044vGvBGzwBxipN7JqcJHbvs7z40u+7F7dubBvWWK7pOnm89ri6YdEFGA
pnydOKOzCJV4Pacx0Wm6zNYpyQLP4AZgFEResOb06XVssPWTZ+rxIyHo69abbZh3pqfTq2lmWOnZ
g3usQgGKE1Suy/K25EzRzbrJVAvBEAseKa36QP+roQLsSKgyia1/p+okMCMT4rWdqv4bKpqrYkm4
anMCzmp0H8TrLQlYGPrNbxHlxhrre7WblqQsCr35sl/Ss9K87x7Ig2Of82sBI8judnUekbzlNoY4
FnNhX2N9GR61pDafWhIImBUa+g3/IwHGlt1vy6LDazc57Te/BCaTB3K8FFCMH4Bu5pxztLmjRc3u
5nnuzjEs78VHDYFaRUVRv+mbfja3VCO3COJkvSUgMFfofKxiWzMYA+qXdSWwHVtqtnCrJiOJUxun
YcNR75iOrWITG13/Ay+Clo8yGv1xbdllyclEI8/U7CZfjW0MEKPzYjykc1K+E1NLe6Jjgh6upJGq
6LZIlfkcJn1F+Z2BAU8d+90mDZ1crtz6alOjYpTu5nTKFd/DseN0s/Mkop6VnMfkOaMZLICgKBv7
tUJfcRgjEtZUhPN26+f1THigEkdJB+g4MvbnvDA65S1MAds7LA2Sj0gY1rbPZomivh+JEXNczR6m
STd7sFr0EHroiQobO/UQ51J/2NByV0ZrFQdbJO9NSuS007YawmYXYXEa6LNwrstB1oSVeKzlpA9t
OTv2VTROFjrBskGPYbf2LPeEIjjGzhmNVGMPxYn/TNATzVTFrgniOcyXkjE6DYPaJUOT8kHooINk
1ZozowqGaz+UOXbX/uyGLyYRDQyAJidEi6Bl+pqUSXNBB6cEzJvWWPZthJoXhkyd4nEINUEw2uq9
UzHGukV3M2YjyclTsUVWNJBrPPGQO/ItKOoi2CK6t/YOzTnJipSYwxqP23zFobN5DyClV7thwOea
Re3/Ze9MlhtH1iz9Ktd63UjD6AAWvWjOpCiKmqXYwDQCjhkOOKan749ZmV1xo+pOZmVtvahlZoRC
ogj68J9zvjMsuZoZD3UQBUca9xDuybwz0K/6H3zkpDqx5Au6inSR3liR437kqQ6emcyAKGA/4iRd
e9syy+uTF9bNh6tiYOfAgZ3j2GhrY4VJ/pkatRHtmiCVIeMHBRXKosWD2U5YKG9hKQYGWNts1S1F
PXjWSsl6uMY+216uhajea5nD5sD+TdfSinVdD3hY48FbUppLf0eeXBid0h35uLdYdLxFZBads2u5
iaUboq9Bvu393lypzOsogVO1fnGi5nJUxvLLntPm+QMNq9B6IiaWNyXXF/5voVjcEzRpgfMkzMSh
IeL7hinGXShNh8oyI0/PCYctasL8DjY1KcbDENbiPcut+lkUVvAyi5L6RjL8xrkKUFUIzsNRWA6g
LMjggBvfyFyrPSfxfAPXNcuX0aRbrneIQKTR0q4GN5EE8Q+XmtNtKbQ4YWYLXC5dRWBsOjxWuKIC
70Mw/wCfbBPQQe+71N5x5nlJW6Ol4k/oBs1DOOcCxzDGPOLDPMFOflcaGI6GyAGAkaC0EnYL4w4m
vRLl0Uov8fi2KfiQFDjZ6nVfVKrZRnZBsTsBg6ioSXqpSK91YaXbrPfdEVtANL72ggsWryRon/QE
c2Ip9IgnZPAv/Bg76zCW+PQ6UgkFL+RNYw14CDBJ9Wu3ozIrqugRvBJtj7QRe336ZlPpytxC0hyw
mWLLxBTTu506hD6JiLTUXLp4PAVBnnj0PXxU5gh/BDLStijptGUg4stNGTglTDcz/4RZZqN0TMDv
cqwpelG0vhI3ErPMUwO0/LkZTAqP9RSB4RqwTYtlZvioILDALFgePCqHborQX1FOmn6h+zh8KKTi
Nj/C8F9Mwkrfo2m4gKFtu7GPrBMSkdS08GO2mUcpdzDiddrG9KU4V0OBrolHffQ/lKfVYy7shMsY
olOxyGxGegvZ+dMSlBazR+4CRrbOUBchm1WWE78h3flXeLOZlcowDU4EAeuW84RqWLDTmCLqgvV/
pseTzDxt5B1h8ry0GNiIBMWdgFxfn8hwjDQqwNJ4FVGKg87HG8UnSdlHZZp6G9dxq4+1aYPIGgyc
driv20vpmEyTzWjrlMNeVEKRYltiXRlLtLnH1OlJ/oQVxlVTd41YDmyT7sIQ4bB1BU5Aw27BlvS1
OR3p40YV5hZpxMtajQ1AjhxJeG0ncr4FIJDVW1hpJdgOtLBVQywXVRk3y/VAu9mwxJpHI7Z5cdMM
WXHBiZghuT5WVYcGp2JEXx5MfZwGSqiWRsMugxJYM0eTymSYhNjPOjDT3n5q5w4ZOGdn4woGk2sV
pSmkmcDJldjSD/s79zVmWISHlUItY2yj61aXpAvywvruMyO4U+QRmDzS8LdwjaqjGS9JyZx4SV5j
Q8uxSa5bls0Yq2Nj3MZcNYInW87TOha95AKTdlgWB6uHQ91iA/h23XL6kXMg86iWtuUdU1yX4uHS
wwc3+PIuA6uHxxABYZNQIP9UA0a4mqc+fkoLNPEFgJz0nDf5S2040bqSvp/tUzaRNX3t2EObro8A
4kflG4KO8VnJenpI81Abq6S6lIWD2eumq5ytUGHfy4sTd8gx2MEJZpZNW8UHhzn1bqZB8Tibo5LL
qh5aSBtGcjAsxKYlzHReURdpZ+EIAdoiyd0vy2hIm0WTsxkZKFwx0nGXqePpc2tOmJaMonKsxewP
887hwb3rGmyVETaxBSYljEQJ1qZ7RckxAg8ujYcMguZ4lTS63szMV2JEV5+OyMJomURZdUseIHJB
5O0CHl8Yhmi/zC1lMqQnhg0ZVbWz1c/H+hKl37Wj5yDPJF3gApe0LeqAk/ukccWSSeL0ZkZy7Rh0
ZdYmum7QzPnwgSADaSpsqD5uiAGxt6WJuM+4mgBGzMBfSCXiB2VbwQNnUUBrZphgyDKRogyObU3z
jDO9+g5tTs4oL8wBlkFrFl92i667DBxoaaUYGfY3+qLV2iPpUeqfck6UShTb/9Zn/zmaLXgF23OI
sv3tsMHDV/5Wxm/l2y9Jgz+/8g+J1vrNIR3lkEDi37PNCzXhD2aD/5vtYPPH4m/9HjT4d43WCn8D
QuOHoed6JMHNAOH0z6SB99uF/BCGCLuBY3riXysZCi/5rJ/TQTBlHRRaViKXRlHX/iWTIrNAtk5K
WKc1uzv2K7krQCrBSgNxEBrF8JUG8AhZqkMINaT3feRQro/CoZ4e0GPI1Mhc91CW2UOtwbtl4oqV
ZY7KfQcCkD6bbDz5USyuHZSZPbTzatPhPuJ6EVXk0scUBYF15b0Fo9Jep5dQBhd1KV6I6idPHX2J
102liDCyRMmIA5cZXFEOzNRgGPB80aoC9ywlH8kZFtu/1i6XWK8cPoDNKVDawRXVBf0LOma/9Kra
5kMF72mGpc78QIlA4h/kuLUslKv2Q1ul+NZ8PLXcs0l22TlVmziG6RlblmGMO3N0ya6mLjs4V6jQ
u9ZRIMvtaPreI65CXF6Iu5TG+7Lb12EaPTDfZlxsm1nGsaERyWnCP4911Bg5U2D5ljcdpPEnBQeB
7VxJKFCoO4seEcSarH4nGUR8VCY2RgPoXMNEv21vumw0ktVQsvDC9/OeInNwjp3D8T3JfPPFqEqU
VoF8tqcVbQASEJdr5cSAe6acX3gsxssPjv21zvjZdYKRuwrUrtJ2dWQbpBiIt7l8F5r7V5uYkBKh
8tv8kEHok2NgwJKZqXVjFyEM2cxnwBRVaYzH0nA6yFVCbm0RkPSaLLV3kyhY9e1wqHDwrm0czSnQ
quROj9JYDGncWwS5ZiodDOCjS4l97i1OmvQwTP5wzQOlU/qPA8onBGe9dZz7jJ0UQdixBYppWv0q
nJXY+UYhn2oMyySAjebKwkZ2RwlvscSv39z4YUDxaVFN9EsNzg1WbHOdB2CoMM2YV7yj0d422mZT
zJn5o5nn+ZAQxztXTsm8IeVBVdXgv9MhPW5Qddp9VhGJ4DD30CBKDqGqllGqkzPIUtBFoaofsdpG
m1gH7pu09HQlTeUugXBVG8p+MROo9hmX2GuByewiFaAnNv1Tiw0sBmHSlRSEhJ68L8Zhx8zqXGPE
1Yl3EPWGJDiUR+4lCz0GxYJdThOu7up6SYcAebea3tsHPgf+NbdccRdmnih3Zjemhxyq7UtLTp3R
VVplK3ZVBxZrARxhUY8OddxSXXC03DZ23Fq8k8mvD5s+7qUFPUhyX+A3RiKshPsE/ME9eQVyr4UF
lYtlwTgy8gf5bfZ0Xyvuwx10q6h9N/MCaKEGYwYSzII51EkWilgQS+BEL6Zz4srklgILsfLTiHQe
Ie74XHPso6WFjqS7MQhAQw4TZV8QXvrXWhLVl5JU5YRae+J+IIk4OwxNE9DVKwYz1l1oN/4ORRve
HxSx/iG4yJi68JnYMih9D3NZPEydXakdern7zvMtvxPRAzwIPKsJwFvbyRtBSJeGJlB+uCsT379J
XaI4k1nQEe+khUOQs0qb7cCpqcRBHyXbWmflTYL7+qEv7BiMmWffQwV0jspgyLvglyLOiWRGs7JF
A1lRdbG71aaOb+YhtW57FYttOsju2CV18ZHyCPOuRo79BLipO+YZeebImptd4ND2YtH1g5ZbzBxR
1VReIjWReSWi2tpRiBJfUZabHqEKo2cHnoe7RBmW9cComhOZL3JjzefXP/lZV9wGKjbvXG4siMyW
cJIDwrX/iG/BdJYaU8fHMFccUwo4fr5ZozErr+EeFxzSC8KSU2rVkPkce7WOjCrbXryO7TqTQXIA
s5DshrA8mYhp2I/Jr2BoRchMws7ajYFVwGnrhqXHB3fNIUduceCQFRjm8r7tUWPhBqF2y/CmT2V8
DSYSv6oTymtcntnGAp18aFTXX8WisHc+Sav3bG6y6773RqA5EQadwvNBfEy8h6SPjlHYZDSPpVi4
kXquqHcGpFt5elj7RfFutXm1zi1D7Ry3FM8GLjkR6OdU5DUO5hJ+IGa9pIFnY6RZ/4nZ5itta38t
WmPiJGvJJRgNCSmxOUgD14SnPXePn+PGNlzu5pEwbsHy+jsgg+U+NqKDGSsPTqIYzXWXG9ML4RiI
nRGYz1s7ch0HLrtRr5Vrr+iveABJOG4KjwINrN4vOYfjfV7jShZKvqdUJuWIirbvYKPQ2QoDDeNW
6p7IMQOfvrN6N70ee6OmyKfuTsq2r8iS/9BjvQNpTb93i5OFehq9LKbRop3DPlou5+lFlSDkLIQK
KXsbQvBHla9TyOQwAhd0W+CjGb0L3i5BqVjoyi22jZMeoH/qdBl5WGiZTGFSW1kB3b0LWQ31rlf5
WzHlxUHQdffq5HUbLoHQyut06votCS1sl5hSmrumy9V2boBILZQbcE5gtoxSEWfFxqa3Z8WgiwZm
bThfRRf3cs0W72Vrt+6Si9ZCmLketMQyXrfsA9JuK4byNjI4vJlUfJRVq2980Q03MiMZVZcI3j4s
+0UYYiPImfpVVXDDy0L+ib0pfXBas3GWUdgNxDCiYXyKouQz5HF/nT0A+EN3zXwGLlTbXHyrUXMn
BTPrqvMKZ6nGduRFoY+aBABvqdKaX424gXnu5+MhdVQ4MKDGlmsO3bR0QjVc+0Hmvbd2Fv1ASiEY
BlZ1HYSOINdn+Bvl1Oqx8jF1AhJGyPFBjSvsanUaxU9MFuptgcv828Gc8sIQtN7Y/kyqO8hx5UN6
i9VuKEMPV2etGCzVZW/ifXLLM3vAsNV51p8CD6iyzYHsSTJgPQC6HQ+NHcQrp2nMfV14cOVr3zvO
fUnNa2DLYM/kiNst9VUfduOZuyDu2pXjzch4BS6+VWF52yzxtnOXPU4im9FL5cr3BsZbjloxAliB
EIK2iteKJFDBNGlQX44LIoTGMi5So1jDdAF415SrohuKlSuMlbCnW8NpAFFXSAJZPXk72pyrN4/1
jBkbRwqvLZRcB6W5gUqEOX3mrpsqckQCaOwxjrh+FvQDXpOVpUdhiuxNnZf1CrV2SYmkfYp7fWXb
07dltYwne7YprCOc9j81CXl39qAA2xy1TiGBzk0ZD80VEkuyNWb0q3ZgVwFG2D90keoeJ1cDJpFj
vxms8WReCKY4PFrmAiKlMW9kKjSg4GYR0aXJrcONw1KWLB1nfOWL+qMES/quCEnh8DHTjZvEJbJM
5jzz++Zq6dJND22wlv6mTjJ37cWmsSulmxz8yPdv6569PNKARhPmKDc2XqIT06vo1rSs4FiYZXbs
aZck4lRn3plPKO4bap4I+ztmcVvGtvfFvZ5kbBeVN85oWydPM1XTKve+wiQKr4UOmT3R8X7vqKa5
8kCF0WjTlPLVsIrummUz3zf0Za3axv+IdR+CIeA+G7upPnWUN7+6btetS9xnQLjY6DkXOWl9XU9N
wckfdu2+KuKWwmuvnlg9ukuP+VhuYPnoHaYBsTc8f7pjTtMy5VL6wIQjWpVGWB6cMZuemLWWN2OR
vKDNRGczqrPXwQyanePXEnqsswXimdGSBCPKl8JaY8Gh3IwO7ZPyU3a6Gp2x5ty0Lk0WZx0KiWcg
856J4hIckkFx02gWPM6PtJpTT8iAPc+Y45c8wKp1j4HV1VQrx1ojh8k4uY1tigYLLTSx2Hn8gIJE
hgMX7CIKbL4zYhlGFfbx0ffjq8pHEOv6+Dm4zLnsQlwaSXHjqXg/x9mWOs8awTV/o32xP7OjksnC
aVWtTA+8DqbAlYnDnqRbhGBRDx9SDvohC+vikKph4rHu8XB6lnXwR50jcmRALYss2g10Iocmg8S6
ydO9n38OvRl+xkFNlAz0Z8ARFi/KkKuPyUiYDoGDbzFN5NnGHioDIx4uQkij1aacMaaBw3BvDC+g
5zHJ1HlAmIP8VdXvhAGbk86sfp/aJJhw8/gLrj4cJzDY7DqkmOuCHNRyjOVEDb1sOS+k+VtmhTMv
hQrZopyTDy5jNllZ6tLTyHAXfdg1j0RJhjuM9T78l9KxXmkKMH4UNCxtGmnWOwDGyGoyzKE7z2PB
pacLrLMCpYLaS0oxwNW17MMw2wT1RCKMUJ5A16Dta1m3vF+eD4RwKseBJ2tgMEjBH/2I+pqpF+I+
W0pF3pNpPdkUifeKA3/fhUccvPz7dbcc+3JehZJCNX8wDyDnzTU5z69mGHe0NzwEl5SmsHp5lmyJ
C1rOpl0b+PFmclWz752q2zN4Q1g0K8Tf3lLrEMbuk+HZ4bGaqujD4MyUg+QvKTpTXrjl7XFp1Ov9
a2fO6yOggOLVDyLN2cjz9pXJkVY7BqEQOmMMenlBuOxwR4yA+iwDM2ZZssQDYgq3ODG9RTJUJMYm
wjabSKXBBxl04aJyeTiW88j/Aehd+LA1qGuoOSKta4btp26Y8xd6tvENJUTGhe2Mb6JMCvaOrLTO
uZ5M1rJyvo0Noz9k3jzeGi0E1IU3ZMjHQILWUebP+5lJxV1YhOotniK5JfhSv9TsbyzxrbP3J7dY
i2ygR6+zTb1oOqocdGeZxFua6hbXA9QP1C31Zc5x/2CUYvAXbe+218KrxBox0KkWGdrJK/W+zdZv
7W9JJ8jBTZKIjMkknXOABLEcckdi2qQSWJmtTla14enr0Z/tg4ps8kzTVLxoL+Pkisf9jO5LDqnL
q1Okeu+UE7DIcXLM06pKyqFglme358zv6hsO12m9oDtgwuJks9Q0bKJ3GIdUuMATlO9rUQTbzJpB
/tWcYXEHZsWusEN3FXKLOdqxRSldXraPwjSo44OPgzaYxU9uSh1vpCInoGG1T/dDCTnTa4f5AEn9
4i+ch5d+dvqHkFPorbYHdpM5dZ4K4ASHsEfSwBXBXhQN8wkPQO0sMCTGR+Wm1nXZYltPoK4svIvn
FZcwbt6Zeks8oKkA18IclGBr5phvhbCyhuHBPD67KEbMWlJgaAu/c81mjSNDXxlza60d1DJCVdS2
bQjvEmIruTgnY1Q/9X4Dbrh2uRiAm1tMgV3dEOYMUCIz/wDiiUZF3VNpaNjFyWsmjlhp12YNYojs
XyzivivPTKluB5qxVa0108M4ZOJ1pu6CQwN+JjS3/MrIwAQWMvWRyrTbrP0mSs9pK2Le2uCtHpiA
JKmxnRlabcyJOzivg2ZFGvF6cB0iClhds8HIWoICzB6sgnfJgkG9UgbSiJObzaHKWo0lYO7EO+F0
nGfAyfGCZ0KQ5jOagvS8VUfm8gID5VVzvMXuei+jNL+WrscPa48YaEYXpfj/7fz3EgT6qLgjspt1
tG39EQxaUQT2V/+x/n0oe6u/1HT31eq8+7OY6/I3/9k//MvXPzPaZRR7AWv+7bHuWX9CpPpSavp5
rvvHl/3f2A0fI881Achwpfq5ON77zXM5VHuesC6otkul/B+5G0uAiLGBuWAxF3SSuYBl/pzpmr9d
Qjq4VRgV47QBB/PnL+D8b7Paf6mpjMFe4ApS3+FF1g9+4bF5rLHUROpmbQTea0QpVBtAaohjjdw3
cBPOGj1u4tA/1qXz8dNv6o8f5a8q3X8dJv/yrX+hCNrMFOi7bpt16GYalgVafZLOuzqL3ocGefzv
fzf78kp+nl1faHBMqZiHc5J0bfsXSk4a9SkbWDkBWMvcQ9xEMA5Sv16NgZ1t6BclnJmmW95pmppz
DTHd7/0li5W36oV+6asSw858EceyM2b1ay8dl47OPXzN0XPTRFSTY83m0ppeWU7Zrv/+T2/9Jz8+
5MDgQvrhWeGB+mX0bivkZkGgZU3HBUQuh04zrouEVprendZGN9PsW0/BCvrLeA51Ku/dyLuxx4tW
S7M81/vmJZsxm+KBfDXc8pg47tauQIn4qLN48/YQlNPFOPB37WJI0f/AD8RDsBVsNuhKU7OnTddk
77uMeKOcCbCRr9ALMehQeGYu00Suey+5c710F0/DO5o1a1myRpAHadAz65XZrZ9kdzWjQ7f5nJRL
6mRc/OCOM2/9SUyrzin860qhE6C+Zfsw0Jp2V1FuW2p4Vl7AixlL58lVlrO1aUB7EJl5ixuBQUrI
d3YIaLKVjdNbWnT+tgrTcYtiqa7wGJH4xiLnLwTphpVraXkzKbgXLryIneln8cajLWHloTkcXGOI
jkHAnZMe0fY89GRX56JFvm+r4AeEG4biWOJvAu/CHQrrGIe8ENj6onBNK7z9Duei/6p1Zx5664oo
+3CiVhh92AzadpM6WbWBJDUfSs23oByH3pgSvEN56SKX6aeMK7EnQU/W2Oa66QqLE00NWWZKDlGW
v16GZY0bPsY9W7HPW+O1k8KCyBdwoZe7oYjSVV60zbUVgDLT1QPJ0vL49x9ImwXorz5OEJdcVwgH
hrhvC/9XGHQYV1aDwmutdZ6XhJ28uSK63lBhvURIrbfEw50HKW3aVxM64JOIaemivhgfItlUx8B3
Hke7X87E6K8GZr5fY0mJvJOZ+bb1onYpwta8I/6RPbeN1tf+GJnfv7+E/86TPkz11//6H2+fhSxX
su2U/Oh+3p181wPHQMzTviwlXNMukL+/vcWt3j7V21/eys+/nN5Apf1l99Z/5fIv/5v/sXor3srf
/2gl9T/8Fv+2HfrOb2xbtgvv0vs9hMqD9YfEycbmw0wnPOk71J4F/74d2ibboXPJjPLpstmuWP3+
2A75o8uDyL/Hy7n8k/9aDNX5VeL02CFcmzisBQCB+9gv2wTnNWQmgt20nj3i1rgOH6xNvEmYyrG4
M29Kl9LbmO2d84hDi+bdOX1sG9JPxTP1gWALaa7CRogP+keInTNLdgl8Xm1s/EBte6ZnUVvsk+B9
ojoiqWPwBvJZDz9s2dH1ocTCnO8vyslgTzfAjTBzEsT4VhC+dpF46JkvfSYl8RgPxjv+zoHFUi8j
8Y1csMwUwxh6YywBywwfdWhap74oVxP8sDyZ6GPHXizY4kdapDyD+ESqNilByCWBBWKcP8qQ4W05
vJth+dh25m3RzMlKxj5eMmeq18Rglm750eU3Iug7/EtZt7DYhRzq9vKkWahpMfj2GWLQfZwDsnLo
pZ/sneEWhwzoA/mBIy1h6bKt6xtqurkZxgi1dBOR9jvnoCJoakkBQldfngZjUzbuq8lZmbdpDVl+
Tdx/kUashy3btTth3hlXqVArtI5rR3bnTjgnrIYfmS/O0HhSdCA8fbVlP41yeqy4EqBAEqCBAIUi
ZS0SASIecgn1SYk8x0XNrY/x2sIN5KnB4JiO/wDvbP0HvPjlc2f6JucQ8M4+THTW1J8SzllvtkDT
jHA9zsUjIke1dN32PPbeLhmIBdgmmpQvDugH27y+8YpxC4f/CoqYXk0mliTSW+hLUbgXMt9lhrmR
ethQcAIjJXLODt7acfTuHTJ6oOPwOznyqimvTO1uMc1fWdPGMoI1WC1ifvMtsdgdKIK1srhk8xYC
r/p2lXfnZa/MjIAhe9icig0NhJuYpKpS3aoZnFWVtkeE3ZU9VpQWGbt6Ns/KU5vecc+TGR6xdV+P
IDLCsdgWSfeQ1ui0ltjO7KvWD7pSF+msD42YT2bFSdOoCGz7/kjWl6cSFsEGbvQxKK/9Jt8akYLs
HbwXHYmF3NzFVJ7wWSJGnen5OI/dOqDCbqq9TUXEseAfJLMq24VhTQeWi2fbjk9p+WArda3Yw3GV
P5Tjjzn1xqvanlDmgS5gs8bLZyRwTlJnndTWFpkPagVOakuEADfVJ2NMMEfFdBNPOloE2H1XYefo
q2ZgRxPzj59W1//kWGxfzr0/H1QvTwmMMsckjG9SZXzJyf/0lMwVAxA1lNFaVNkXXerP1IZzBbd+
NCphv8Ts66s7ZrKnmYg6uP99OowXlXNhoSZsusY/Zl6YrpCb9qBpbhK7YO3q7jgf4ELosnMK9Lr2
yn/wdCMp/fJzC1Zunm8WcDYYywx+QVy3zPxqLvzRuvGVvwA/yWmFH9irlqNmbsHgl1NjEmwhXKyw
x+6MgkWqsfSb7W/Gutw2SY6l2iA6pZoB5ofv88zGNhRvuUNHIqsvGEHL/p6Fdevk41mm+r42rMfZ
QS5Q9id4vPuCWA/DChKDieo4ahCSUKKr1kjDLI29/W3qhMtG1xlHpxiY7c8Q2vJ6uEv6/jwE+qoW
DGykKK9pSEtR4MMfjT9bCyfrH4SV39DSNS+0V3+DNknWnlM/wP35Jp2TLwMpvoWR37cifSlm5Mm+
zTee9V3ncpswCQ9LfoK42TPdXcwc1kCBPZGH2joB6puv3ofE2E8SFa0Y1q2F8ZMIM2Y0ydC4BF0+
yGTnRuMaLeXaNOSZTDleedMG4RHuDAtuU6IRIBEOGpMhIpWdc9Y8xnK80TZjw1534DU7uN7NsonN
ndeU915CgBPjddmlH5FZ39NactA27DJs/Sr1ViINznFp7rHmnQkYrOw8AEJANaouxEqb4Tq0QuYM
3iZOzA1v/dG08vVAKFGM8jkfm13vazgC0KWma7M6dtG8bidvA7JtmdPKZrUv6XwfCYIDMqAf6yrk
zI8U+6z4FW4nn8R9GsHdKwtcnPTBDijXyum+aWlbjp04a6RCAE2vTTGjKbdpubPt3FzOJLkXqfC7
57TwbyucFNDgG+B6A17Vuj/jsfxocnpJDIZ0QbGPjPDZJVaNIP0ZxMYGNGqJSzY6YlDkK/rq3DXZ
DvzVJq3qe+a2d2RSrlx7GlYzFJwGUWdpwGGM6AZjEkUMbVhFcVuyM70AtN/hJ98R4AixYkgMrx1z
nKR8iVvvOCrnKe8CKufEizc3D2OhuzVP9b6J/G8QQ1eRThgutkwBcyu+mmAuLXSHgUaBwVh77nyE
c76A9HZTNBwvfGW+ue3MQH5QdxW5xqzBrJPp7oU4CwwD0D1LGU5n5XaPuEcPvQ9l3DHl2sj2me09
AQIpl51FEVWSPpCGfdG2vjLH8Z3mWZoaynxl5c7OGMbVaJrnApRz5kVPiGuLQGVL5YZ3QhvXcfbK
DG9RBXoZgjJre3nrACeceNrdtP6eSVVM/MbGMbwfp4sYJbdVN++V1dxB+u4z5t6zSYAE/7s9biwd
fqSI2ohZPWYh7y4KvwqfLSNcu8ZJBacaYcm5KfUdMulZGQVoBkh/DgRz+Ktp8AhKe5lx6qjmblkK
Bw1zXNnpVyanbTkE66x98cOHgW5I2GcLJ2foTp+g/arjez8utiK4ZDBvL+BPQg93eJ54XAycZ3ej
LetFMh9N0spMj4maTTsp3L3yNx6z5Ox34uil7/fGGj4QT5nZOy8daFsx8bnO7JcgPOPZgRZ0a17Q
VqyVz0wRMsrFCAnJ94GrYqG/x7RaFnX4PjpOvgn79t2oxU6qeJdJ67Mf0m6pwwTHN7T/CegEguqw
sid8s2EV7FMMXgujx/ocxMUTKdd4jdXc/TRwlGK/CvD1+MGGxPMVZNaHJCakN6fWQ5gZr9U0PVfZ
/DBjKZrJ/SzRfiWhFsfdx12GgTSn+9YXpV71Q/lR6XkbzP6uM9oF+D1FJonjFECle7wNdPmZ9XoA
yEh1ylsHzlPj9BJDhFHpUjou/Pei7w/hkHwFk36AMws2JbXx6U2kzFuOJvBK6ZrwMQPZcFrTvnvI
nZmjHSP72T1WtfPNtXGZWtu4EwcMWiurUtc0kLP6utdJ450m+CswTu0VObd4o1zsB+6Av2RoQgl0
l3xc64bdOs8Iif7PZI7s3Ncc02ovPGeo2gtOYA/SLF4AHOHfqbA3xG105yTWgd+NXEdAzIndAJap
fEJUPqQZctIB36QQ9/9Vl9b/L8enockp4W/fLc+6TN/ef7452uL3L/njrih+A2jNiNR2uK9iC8XZ
+sdd0fmNWRg2cDB0/uU+yCHqj9GpY/+G8uiDKsKAxRyFC96fV8WQeavNycTDSSvoc7H/pcnp7wea
nw9qTG4FF2g7tDHeMuH95Th/ycMDN7XLrdZ9u1NWpt9KKWp6sJ3oDFymvRoac1rlmL4J5PI4eEUZ
79UYpFehWfL0e17wFJST9xkqk1y563NNtNjUKCQbkRLKZD27iPvK86KDW5Ctj8f5TWiX9JxcOdqe
2GiLKwQ46rvDgNLtilCYCuXJmUCA97N8siv3Ewf7EmsAtzCOaFsbytqlRxwKSVMz5UWzkuw5vvWY
e9IIFg3dJwdndstrWI/zDSfk4gNkJHXNVEm8TxIvI99vuGFwbGxs4LGXMzAYVNukUFwZ1Gq7Ewx+
FUbZDw9S9Cqe+a4ROUlWKXlJunGT2btNFT+7RTvsjbJyVj6q5Yp9/raWWUUSnnNIak3FflABxxcj
CLZV4o1E5dqK+uWsGvU5IdqwMzJRXlXxoO+mosXHJUobcF2X2o8TUfVYjQgfqROf2sQdFjYFZVuj
8M+2W/aPXWjGX00u1YsUg3tbmIRAOHmHZxlg3BlVVa8LEcl76jjsfWhPTyDYmnPiSYshVePtNb9r
rmaRxAYRlE9DNJpbEtHOYsRViRmLDbHB2zM0tTwlSZAgS0k63BZ4Q/t75orFid33i+7N4P+wdya7
dSNrl32XmvOCwSZIDqoGhzy9dNRbkieELNlksO+7p69FZRZu2n9eJ36gJgXU5DYJp08f8TV7rw0j
aIWf9rJ+kShKfCJfq3e5hD/mZHaXwPGm55jcdsQwp7430q2qBAJAF1WqIm/5NnFG78WSU3VFqK51
NvMG9yQF94eV6rAZ01VYjb+NQ5Cl8KVYqnUYTPrVO3vAel9xMxzbKWbtFDfjKdet8DLCWTgwM8Qc
KVwYKIVmXAPD/R42Z2G8mAmPDI/ae2ixW5wyG0kKCm7HZpfVV1viI6MIB0VVLCh68/wW70t68eKF
hD9tmZ8MULZ45XB3RVZZPxMRPl8ySKVBpA/61WzUQxDVeeMjkhmDXvABkV1reNf5iHsJB0bVHvQ4
RFFRMIPINPmjpzK9dD1e8NqovZ3s6smH8TsdO7quC/GIT/CkahZkdrcj28vdMS111jtuQLqDBELG
Gmk4LYIR3yZpnIs4Etuk4ZqqlxmHR6FpgBeBBGoz/bnsSx0dj+J2g/l4nUs2rkbdO/sM6g9mXuem
mJp9bkIZd9ylug7d0ArsxPXZIFMnTNWe/fGmIlqlQW1E9gXOMKP8BtV1L6xMnelhUFj1enpXTQSe
V6sRL4VibYnU2kkcdnsjVMWZztF9TdXEvRPpxXAnVD3eSwjtlsy/FQQT20t71RbOe0K6Mhd46h4q
rbF2DZnhHD7r35g3rumPYkT5ttyPrXXvCvQGebb2+XU4P0SeYpU44gkMSYJBiAQ/wEbdohAUyc4o
fNFLUpBl1T/H5YhZS6SkraZSvwGs3PnlXIgz+rXuVLamxS69cr53BP/sZCnN66Y3+TExKNmGwIMe
oMjzrk4WKKPZm/x2WAPY0XHt+B4XW1fMTAro1KbnKA/do+nQejH2aXesfMrT5GhqtRS1+6FMYEeW
Nn4fCNHy2C6QgcM+XFi+U74Dh1+bwwgNcjhP6/Qi3MwpTCobkA+C07jbp16dbbWQ9W01MzYxettd
w97MbxVJQjV/upyvumbFh6OThnZQhs9zAeENtw5YA28cTlArixOaa5fBn1d8wzrWndkJ6L6Ljvye
Hzk1t4px+7N4kIp4lNF8kqp0wI3NWbVFNd4zIrdiPGVAolyiz11zlwwJ4zGMhR+TR/sw1vWWcc2e
roOk87Q9ZFbpBFwY9stQaHd9S/yr4pWHiR+DcfKbYbYxqrk0pmDqlm2OnB0jfdftShjYQdhkHgw6
w7a3ZoO6sfV6fv8dFP5WQRjrClu/bZ1sm+p9tokjjzw2IJUJS8E+sXu/N2PASaZ1ThZCYzGOPBTL
MJ0xCaDusAure8DmDfe7Hz9S10whnUYiCMPhGtnTXWJKMnQTDd6lS+C3gtu968gH25t9WO1NmxPc
FghvJ9ymGEbZq2A1vYsH5ymRVechRTIlzIBqfkFsvFbpYZ7Yh0GGUEWwS/t6pwdtFjZ4sEk9WPRw
/qrYFd0zkBzO/O1+5g6HcIheu5RTP1OPpulcyMXelmDs/TyL8m27ssvtjMluPLUxAm09OU1lah2d
RILj55U/2+jdX1dnTKBqNz1ySxyKLqyYg2rNfq770PbFAG4WaFZRvRDMG51rOXc3Tj5X51Jzuu+5
Z+HoAqbFNTizzkrzYteyGg6cpfXuWwk1BoPiVuo9XdlwCZP83I/JchF5xAw4Nrhms8IPgdxQLteq
1HEgcqiSanyi+V0jglumr7Ofs3TZGHGH3TUxQfKx8RSYaLo6oW3CvpgGYumOAEs20+RWV4blktiQ
Jd9xyHv2ThYp72LWGs0DU9/6qnK/wy4ie92Zw0s9wXAYQ9s42zhci/2APF0GKC27t4Vr6Huy6G4A
azbDlR9XyPUkVg6U/MPyiDsCM57umVqAmzQ30Mmo+m4e9C5gutdca3MLAqhbfd+gavQvHD0J8a7h
tG/rol2n5eNeNwoRLC7C3B4PvU+4s3zQ0ng65u680Mkh+4kDM24fK4bkU1u7Ny7im4raXiNQA+Nx
VVKiRHr1Paum6bHKnQzwvSN3vZVxe5tm7t25VvllcobbsiA1uSjiS6eaHep2aD5m/wJd+qlhUbgx
i9S8Y4OPjs1j4cy1510XIQYOLAGZ85KQ1s6UxzhGdvqexNYeNAyJC4DGlHMYu7EPxtFip7ZYeZTz
yyrhPg0cGIQDlIkNIRHXBUL0W0i196kev3OhfRmb4aO1rf2KSbiAfQDaiofLl0nFdxdUHPcuVVjI
yKqQDnPzZb6uWkv3WUdYgTlb9SW0411mhxFWoclpAy+2ejjkTLucqiYWQmuTKkhs3Xzk+HWv5qWl
ae0GDYGY6UHlE1SdVsxQN1Vn7K1aoIYRtPzS6ndUcfNDmWSEKw2jfSvwooB++7AiCth8svpzzweN
+qiHW96WJy0utU1ro6G0WwO5KyzBU8iCJGBnMx1MbdB94FVvyQx2d66z7Gp0Z67osJbMmkoW4q2c
gnKJ7auWHpMgDKs+uc4A5xgi1okFzznXpvq1xzq9MkAZaw0qRpdEoAyCog4nbu1WN14oQKwn5duq
gqatbmhhuX0wa8ljrSks+XX3UsvmrR6YBysD3/Cc13vZQVfBm6I92+TTvxT5qG0VENCnwmoCuNrM
a+xZ9T752dp3TMj5lopS3rGriPwJd5y9gW6APLtOMyKN6wOtBVl8Yyd5U/PoCnBgdeu4XFJRmQVm
V/TPZM8S1aPc5rVUhJ2kDPZcZp61xsGzYtbGFEhNWDd8d9hfQX4IfcSC2g7hEyJGZrn7aujDpwLQ
L5MIww1qBL/3ZlOZF2CQ1ZEajMGHkRXPTdTAtchHzNi2Pd8bWq5j9eqyjzIXJMEzNP3hVVW4n8bK
8t2aCrqC+X9lCGuVrWlF/oYPGTDlwAR+I0bXOJf6rB6iiCoP02CtvsBg5cpA5B8YfRhdRKbr+8jM
9YsAxxDgmDexn7ftMVxywda+iL4WFsNZ4KYGyq0x/7Dq3rtACbG/zEKg2OtGyTCob1+9to7u0zrJ
HkqSQ06j64LMSoQaeOtJsGF2rbb8YthOtevlWsR3bWLtlsaGd46K+Esfs0DQ2mm8OIBWfTnWxcVq
IWrkTMW3Sxh+H4uxwXtcxXJXZDOl22SGOxQX7qtgzneGoWzej4tst1Mn6nPUJpL6U9qHubPtr7Ss
9XbJI+971YVG4NEAHuPZLW9kpNRlELE62FZHQW4VKMBMT+fWsLwd4ncX+Zi6TbWx2MIlQT6rPIGl
RNikGpAqYSzNTa7HzMImm5xQp8tP7pIiVKkM79ghmLmyxyb9wQutGWNUzhlSFvKOrMOkNWbzDztc
3rscO6ILjxePBJJ+0UwCDaxYo40jzs+sCM9hHF2GNKVyFN61Uc1pQGjV4CMBUc9KS+YAFedr6Q4L
4+LEua56xND2kuwKHZdoabTjeW3ygdwUqFmrPSxFMoI6b96GTewFaLqTL3FskFPkTGCNYn5zuLck
uFImnEHfN+LKogTza8MoniIK+JBebvgS4Yhl9qs/MEkKd1a4c8dwj5AwPYX5cJeM+Mgioo3CmZJc
13daJOZV484ShdHjxpwnfFztN76eRDFNeXJBAEpc9dywWmPNQs8t2awtyH2QTBdMuU2+qFkIWbtJ
5A18ilfsLJeI83Ob6Ya+1gZqV9ZsPIdKM7b0eeHBhaEQpJZq7gb2BGj7W6bmrbdsMTjmB26K5CQG
ABD1kLs3/TJb+xbKAkGv0fXAshxXaKNHJzX1giUsOo0ATxlEY1GuZPHFM9iBUTxZrm+hyN7ADyWs
qqy01KfwPcTlVeq6LM2iYbxCNQL41tWm4aG1k+I1Dw1+PMy4wvcmLBZtNbZhTtXjetJZTCR3eSO0
+8myWeMcG2uA39TFUN0XPnjwiGlxSbpEsFQumkulZbS5ccMTT1JMc0DwWIiAeXvpzSX8Yoje2taI
m3k5CvzHJi+m+QjZkWUcUvU91AN53xRTepo72R/tubTvTby1+34wmnfZEIISgKVQr2Xpde8TWVbY
jSp+jAOHJ2+Ndw4JdjwCfHQPnrEK2KWV+gqnXMBfYL3QS49fhl7lD109WpfUMco9utSSdbje3Jh8
pndGbvBkYAZ8iYzxe5UlxpZOSJ1ifRA3s+B/wULwfLZmA3MDG35GS2DYDbct1gALLgjVBxkSs3al
JTr0T3jGxLVBJkZ+q22yTIAVMeDOUqaD0rnolec84PbRkF8bIwV3mV9jqtsazQKLN7I5sYYINfRM
zoLXgK3yuvJxkulbU43Xy4xZFnPgRwr6/ujUzXU+NKavzxM5Meb03NL8uPyGHVPM17Amv5bAvE4w
OeK7/1vDyr9KPf/X/0PBgibDQ/ax/3mi+aBSGCt/nWj++a/8KQZ1/+VhgGVayKIUiYvDdPKPiabr
wmDXJcoTEms///mf80zD/RdIYzjNyJGFvUpI/z3QdECwe7T6JsD0PwSk/w0pqFglhP+eZ5J8bpk8
KwPaO6NW17KRBf118RyasV6MhQEzZ4i109KM8L9LdW2FRoXRA8F7TMJpYMX4L8cqmp7UmEanQtA7
1zoMauG15MgZg0tN29Lh0fHfo2CfjiUpWNf5uuP/yzv7N5vydb76u+e7LqT/sii3tVl2yp0xsaps
PMwWI78KpgK7z5CqEVsA8yCQdbke/kG6+I/Ruean2vJ3D/2LdpWJZ15RIbHyiVq1QYmQXFIOth1k
7HKb9FoZLF5G/SGalcZj30xDM3FZeXngOeSyoMFvsHYWNqBxdPwQQBjeQrpn1IzgseLdk+Z0k5lh
dB12GAyVU2IvaAr9QMjVfTWQ5pippzTRgf1Ag0EcWNHHvqRKmxf2QGN9W8Y5Z1iX9w8Dt8RV2qLi
SbNJbbPKyE+4Y8pru8cc2+C0eY37kepaq8orhYljOxP5sWuqbqsX7/MQ60cEfnutSzTitmPGc6PQ
n6yxnI44Csd9ZmaomrDa7BL4h0njtSxjS6N/qZSt72P25DukgQgColptm9gu4eQmT7YMb8gBuoOh
2BzbMRgz7cVqC+/cAdc7zYn33C6GtocOdm7AheKsIqAyWaLrPMezUTHKCdw5QR7Sq705QsgZXOet
y7mfaTEw8HrJiTpN2xjDfDPpsb1roRJueyzSvhab3akaJjDchDQGYaYuZbhAlGn0QxOVcMunU7iQ
bxU1GPvonwzoQti3T1KE9iYy9XqHgnhCw5C3O7UYw54hChl2Y1VvuLfAXs16ueWFxRi3iCewG6l/
HaMm2spohJZgC1aFCG7vxt4zT/xqNkrrz+HsITB2DaaS8fSI+xaWb46ibMotnQl7v8OkWzH61IBQ
T+OWFaDHqJ/PJC6JxfJ6nICY0rMr+jYkwomAji/Do1tIfd9Byz1aJBVgvCzjbc3MjhQmaftej5dt
mMzlkYboxPpwq5XD4A9xflzMxgwywLlA/vg2TzYAu7HCGoI7n2Y4hVMwsvVnLNhB8B3yb3DeH7vV
1wKMZl9zx3ux+4i8JWgloAIj4720R8veyHQ4SBMfd1qbjl842B4yw4UG21cUVCiZBs8+YFx2NrkV
7qX9pShaZunEFK5OPnoeLNkB0DL4mlmCGrim4XPcZA89+l4Uun7WInhiePdHkl5G4lqqzjnPZZU+
wCXWgtlx6E+sh3VKGKTuhKVujnWW5MlFuhOr6ZhWAiB353egmwMgmHttbPa2QdVmyei+N5jPMu5h
UJseoTDfK5c+mDzDx25SZ7tSftfFl6EWFS06vE5n2E7tlyUDK1FDBXT0/j6OK/fJqFO1E2yxC71/
S5VBSxGhUkohGeTFY6uBDpy8XR3n77ooth0rAqRhYqDCbWOfgeoF7xTxGAvw9aQGheqdtEbcTE50
SsLCYC5da8YmxIO2I8WxWB09ZftN4DbgfS/0hwmQXIuC+h4xVbQL1ajz2x6m9wH1NAlGjSQ6cjK9
tzhT/H9e1nGCIMtHBSHaR65rbsK6AtAIdgFt4epTrc3i0FTw+Y3UIC+jJ6y6we9454YGowu4iyzN
6/6QaRFWf85Fil6CaBAIr/yj8TzrOAwbz+Ww6JiEmZGm78dYMNpEKYKwsHD0K+AX+tGr+1X9hHt5
ZNN/UKUBM3xM+IMQGtl50fLiBNevZB3e4ME7NQapl7ZMH+ci6U7AqrkfUgvAHPF0TeWQbwAbbtMY
SPY1o2ouRo1wQXeZFXUA8UA+I4Unh2pBYNKqY7SWwInW6HvotWrr6MxlvLK1X4j4wje7cN4llp8v
bnJAXZAEhiOXQzNiWNJE+cOJVr6G6va2JNRZo2E6tJ56NZnMby0V3jmKLDoRh9oOBzjojgG23agl
4phXSXGhR7v//QVqorX99QZ18Z5Ypo3hQGdj+vMNCnVlTHDz00sPOTId3TI0TA2AY9yVnKI1DmOc
WqQPoPe6Qwqp7RKuv64YJCWz/bA+e2OHML0t2VwlzR1qfw/Ja8PJF4miuNjOQgAoZHN29ll0wE2K
RGea2m3DRCxoCdtoat09UN7/YCpFrDYCez9v8jueh7YFKfj2+9f7s7b3s8D56eX+4qFIrCzD8WCL
AzmZ4X3bTCSt0m4EjAAX//cPtYbV/FIguLC3ABDxHxar0Z/fWTEy2gG8Iw6qd350DrTX2ba+IvUq
gsauXn7/YCsW6reP9otkUFP0s1OJZsJWw+3S2+azSaoGwsDoQyi6rlqm3W0fZ/HJ7YwFmQbsQyOt
CH6VUXftJf0h4ZPE79vtM1lPu6TtUYKF/OCjCfeGUnyEqT3q6AeRhSGdLG4xwxXkTKzS5EnwtzFd
2rSmdjWtF3W9XtkWd/fvX+fffX6ubdiCzsSh6P1FYSjIvhJ448QBi/BdqeBT5wlqPBXb//BAYv2b
fv34/vpIv5TCaTcVsW5E5mGIehvZnfddLEC/aeNLiMDymzQYsk02MmJvrRQqZyyD37/W9SP75RlQ
8QuJu8J1+Q6tP92/FLdwtHFico8cZA05OZU4+nKTnIvck9qtGjSI7n2Npfj3j/p3L/ynh/2lpja6
ksOtZHKrWUSw4ov8cFLBzdyE+J4bXTsV83QJ2UreZmuV44xd+g8v/G+fAh8y0VXC9Vz2RT+/8kwX
U1vlShxMRWRCy5Wo7PYawl7oh51Ns4ymirUc9aYpv3Lq17vfvwd/89MlfuTfj//LKdGPhC+JIrIO
XdZ/NVs1XboiNE95LfkRa9E/GGnWTuHXz1m6OrFJOsFb/PfPrzYeldZ0JVx62ySUT4wpfvYWcvrv
X9Pf/HJ4P//9KL+8ptZEdJHZpbXy2sQGcplgPmFtOybS//Dx/d0jrS9FN0AF2cZ/OfggyhTLIvXD
EqK3HF3xnEnvyO/2H17R335N/vpAv5x59B99hwvN4tfJalmN3U1iONbeI10JMEdvPhA6jiU2Wstj
qL20AlVX/YPo+W9aZgs5P2ZCVycJjd79508vjKexdlRoHnonqQ4LW5jHyrDEkSRi81ARJlZWXhpE
AztnNcyUb9DKfKTtUK1z7U0jlxxIBDTdtboozmmUP8vGZEGmjC9IEMp/aJjN//pls1Bm2LD7EJfr
fMd/froasZxELjU8taiHaARGVcQ6+ssF2azUluvJk9MW9cGhb2P0lyMSR5pQbaemlPLdLjJgvlwd
zVAcKVPDbcLCIQehs2mR3OPlq39UZIse9TqnhGMjLNDMgEQm02mYid2tNGwu1VJSW1UhkvrsO8QA
sZnHOvd1OVhXbdv+UeL8f5PXP5i8AKAYHGz/eVB1/Ra/NW8t7keKqD/M0MeP//k//vz3/pxW6f/y
+F7rOqWTy/fc5ev9p/7O+Je0WQyDonQlVq5Vmfd/5lXGv3SDf4CPCgMz4jz+pT8FeML+F9UmPErK
29Uj7Vr/HQGeYDb10+HJ3225lsWSwjRdqQssNT9/n41+dqfO0Kbt3FUGfSUD1GAaWhYDS2z9iFaM
ut+B7yD10xsWpLzRUEOLiXRx9jRkI1uXXSa6bIDCL/lsed5l6PX1TxSt8W7WJBYGaoEOMVk60nMM
omKTOWC50XonWXVnkyD6zEWpogd9ZiJyVxtF1gJlVl3ql1YxkpBQSGYMuEybJkhiEsk3HREhKcaj
NiSsOcdqu/EMWArQa+BUoHopoltSXcUPkZTWNpnQPvl12nvHmkyveyONNQP0yTIQkRXTT4OIFXV6
MzL3vdLrLIcek+ktLwAxV9dxIVBulkN4CXNo1nh6lZ7eu6nxwtZ9Zr+pwZWnf4YY4Y8hUSaTihFc
LRN8BjYqJh1r4bZxDn0bon9ApA4bsjpK4kcgl7ncYQqKmc0YDevzEexacsNNA6dKwdCTNTQ7TTdn
qLqtO2QHzY3G9NRMFWEGcF843dYcyGoztx7xEhMzlDujE+nsV/pqDLZtjokE+QGzRuOGpJTySjRu
fMcCqHpthfZuNx3xwO2Uln0AE97eQohm9lT2kuEDWqpn/ja54+xtbkObvLUji8WRRWSRLe5O6pF1
n86Qxa/XxEDa76y3vM1ENhfROPOCIAV2Cz7kkJHpcm11DnlJkSMqCXULVeahwWPzDF1p7Pd9FaFm
CRvgMECgVGsE7mjYt8U0idFXbtgWV65O5gmImQzBcznA3bM7D31dO5NSedSJOqzO6ZSjGXfZVg4s
6ce1U3K7deldGuU2gkPVBR2Yu5kqO1bhjlzvITvqc9nOW5RGhiCWo5IIxaJqemzjWAN0OpnWN/ws
9VMerwLOqGk+yjYU04lvHR4nPQ/nZjs0HU46W5TeJm70/hhla1phvTgLMm7NHXJSF0J5gpqKCsoT
/UREe08UFZaWFrWKZ/CJzczNTmypUXWoqkmRSAFqbJRzS5qYfGpbQij9Lqy1Y9QLepBxdMg9EXlF
TkUi7rU+br8uDDTOnp0ehtKA+wyDyDUeVuxJjP6EoIlHJl6O3Ag0V7Xf69X8oAqTANw4X64HG0Sk
T5BvLG6aPsIegD7HGLf4XqrhsOhRTo/jNd1hIvykDvRkyF/J56hvAACg6Wu8CthRqHsko2u2aT3W
c1xZGx1sEiWw5prdlnRx+4q8iNhm7IdaZJNQCYpzb3ImbNoot66biiVWQJzMDLMzydVXFPjGtMUa
wLddRDSYokJrG5SIAZjz6eEXbcnC/eIM4GSnsvjIKq0HzxgrJjbW9Ey+Ye7XcJydvaib/JW8RX43
FdPVm6gkf9uyclTFejY8tpFMADuiHtsgbZpOyrLM28ZbMTyWZyaHfigRqzDZzTeJPhj5odZr6wm0
SHtu5zH6aqdG7G2XrmPNlU7KQQVhYn7aewySd0TPxN+mSlu35THTSSRUgnkeLPRHJXWTsZBD5LiV
FWg2YkISN1YIMfKjsuPmZGI/g4E3ucuXHrDVO1vbwdsNmTlF+5gbpwry1IlwQIwg/IdovMR1qR1D
uBhsKtE3jA/VqACrkZy6umWzgkSvhqAKcZJGWJ0GWWX9Hg+JIG9gATYZIMWSqb/A9NJ9W6/b5yGZ
EWQONG2eo7SvIgqd4slNWsIRx4kfCnAZVocYf+wVJ8ed9p5rs7nJOPT3djPy9YyfF6Xp37oeHhHT
04Q5TdrsvD6Gos6ElaytPMcUCYBM961I1QdprTyjFlEMxz4l6KmeZ48Mrqk3LV9Y1bIdLPQV+Roz
TZQ976gEmgPQxRZq3GZrVrXeh8RW97pBhDWLIUs7W4uRvMkhLIdDpPQ+vbbWVGwXgTM5YIKsbGJR
dAnesOlv8bxFj8LlmAuGaBId54XysETYpGZtvD8iuSNvfPJmbDqcVwJQcss7r1Y8jrzDtqUZDMUK
NJ/qMwKcJSNPxFiTwVUNkNfnbGDUFlcK+RtYY904KnfNGfdyJZlnWuhKhKMIIoffeuDLvGjHvhDR
cZpK5qMD9UF7MDTVhLuutr1DkSXqQ05e/Vwg8b3Thg6b1FSr5R0QesZ4yaFb437o3TLgIVBBDGu4
uvjMWW9tmPMbhRYXbZtcDGvjuuubUBhYMMY0T27bdJkpEBrTfHPrhYvOXXPe5zXxvdSrkdTZdAJ8
aq3h8DQPJppCnD+XSZbq3lyj5Mc1VD6dI8/cgbld7pNcZ2ceuX07XKe0/4/E65BQP36m1UdpU1eH
CU3Yd2e05gO6d3EJR9Ye66qH0PsSpB17gjFaysAd2MoIQk/DG2tOiOWy+qTybimVB9xpoxNfa2bj
vco1yTUxtDO0TMaxaDju+zXvFV0ka7dwTYE1OeQwna3JsIrmghyib8maGqsqzkxDb4mStRvgXn5k
LO5zp8iabStml/GaP5tqaxRtWQ/pUZ/GlF6EC0Bfg2tnYHtwYPoEwFyTJ/6A6+leqwvnJGpHN/bD
GoObr4G4WcYyphIRnj3Ew9A9P7NzSdEzaHfsFNlUuKBEXHD0IjKS99Zn9m68xvDKNZAXyMhymHK9
9zjjFCL+ajSFn/Gk90lUjogLBOG+XRyNZ+0z8VeXI/Q/ZsPOFg65w8idcGDcmdGHNcr4NW7nR+0z
Q9j4zBN2BnjKaqqsIP/MG5YOU0c8qSanJGmABpaEAqJSra1JxaLIDO00kF8sLIKMjTXS2DIWZGC4
rh4zSS6SLViDXjBTDj/Y8pKIHDkp6ciyi0lKjpOR1GTbWFKfcLeKKPvPXOXSSqdvkUHYMvI+NXwp
w7GARFaK8qNGO9LcjQiZnK0BGAez9Gd6MzIbIoijyOtn1DYEPJvRmvXsAX4ajuFnBrRGOYcK+DMb
uijM4YGRKonRKtXyh3WUYR7Lz0xps6nvh7ZKy5Pd1AN5gd44382OWei+ucTXgv3FQdkz5up4arp9
8xlc/Zlh7VgxedZrnAbSRld2t2ppYmSVkXsqEk0dQm80b5iCopLEDFhuuwnIQFjC2SOlGn9ISg3y
0Vh0w3bhxNveGQ1Id6TEcPC6XzTUxAz4Z2KsWFdlsnibP1O7OWi9x1kl1kc/1IhTI6spbnp0XF/6
KSM/+TP/20zn7Ko1SrSaWR2JZ4OJLD7GRru0nR3tvWyIoNB+hh3Yn8EHOmuNzTRXVe2baWW9c0Fm
AVcWcQmaq5nPXdi+GU0d4jAdMkIVIsakP4jTxanwGbpAMhEBDHbYU3CgAiy+1FEfPY6fYQ2uxOOz
OqQfxvozzaFakx2IN6t97zPuAX5esbHWDAhBGMRETf4mpkX6PUERyZoYocEGxUrIts071eYaKqEv
a8BE+hk2gdKKNZX6DKHwPgMptM9wChbGBFUQU5HDW+cuiX12RoRZqJpci9apzencr2kX7WfwhTIi
A1fMGodhWFzl8ZxW983cRvd895fDMiyYA1MiyvugWPoeP4yyfFb71VmHbbczNKoCRRQHcBhCOSpy
d6kb3QT2e9LO8XOOwB3uHm44gkzZkVMxmLq4rsy6v7WwjmoEgW2mvldb+PZI6HOv3Jq6bP2hHb6m
/ajqXQ+cDqVi5gCvgxtooyz2unsm6ss+Mgz1Uk22eyzwWaS+iSK5PCjN02SQ5hYrGV3G5JZbg6a9
xoiFtBMxUigUeshCT6C/AWGyoREma4ahfNcz15mQDw7xJbLW5gzUc1pye3sYh2CSZ7uSdBw+Qnt5
NVU8fjV4FjJIxhgLgMv7jRzCJBbRMpvpa21EHaGTGDVu0JPqjxS4nLAJhBsi4RrYPWY5fc/DemZt
5mQYXsNFHQYwydc0DW54YmNsfMNizN5V0M4EFBmL48eLh1dmSYkHxrsZImoooFtBKA6R8deq8sHy
YX92UjNNtvyYoeyMSzp84+crr9o063CpCp3bfUBSfAiJ8mOpHWe7Ua8dE1WSnd8YOsXQNqx1JU4t
bFa5oyPWIUqj3KOror2RPk3usgfUZXy1Oy4wf+l6+leygSzwhn0G5zGUnpyfmrAVCCU7k5ws1Rbx
x1A39nGIe/GaQ/gJ2hjlQ1pxzONvBqlio+HANYJDvykYJee2i6sdNnNd+PPUk9JLTHn71dLY5kWA
qvZYYGIAiqvMO5rh1u7g2sm7hRFqe6pLI0Tt74USF09UyK2bT8iq+hGw14bNJnUNwbjTjVu5HtHr
nfI+FMPwBzKJnuI14h4OocShhdiKr+7i7ExHEZ6c6u5pbtHXuRCkjhVBSbeMtfSgaqRsttzNWbZF
0tveNyE6abPpnTVCU7XvSRfLbucZXtdgpyjWVOu4+6i6ZbiZyJND0Y9/BY5lGUVc0kSLv1kdO5aM
z+GHlVrL/RBzwVONyisLI/hdUkV4aOMQ6suwnCOw/zigbIh6RNIOh9SS7y2BVrepXKeNRjHiO6FL
Mmp93yYZFe8gzedliT/4uk28xyQu9VJ9ZIPCARaaeZAprOh5QoU8CXmx8HCdcrvlCQ1ldUsAAhdo
10RfqSly8IZqlg9W+saU0d5iW1tT0AozUDMBkcIq7WMKe/EBaqm+b1ZnBwcnXoDW3AtVONCQNXEI
CTo4mlV6WAoQthvZpwn+gKrYJXjYHvAlzOTuuvo3r7GKsxyM8a1vqhAPb5rnO6+b9emQpaWMthyS
4/sCGheaaipqvw1tF4pKTdHFvjzJ/GHU6jc7le68XdinXDEeBl82UdOnoDj2SVKNB+y7tPtDlYKB
MOeLRBmNvAQN7NU4DVSF7tgt3+ekBaKTUkH6tpW7j7MtJaa1KvHlOk+PJ3SOYwUO16CS/55peMGa
jkRFLpMX6DI9mkSU+9et5BDtZFIm0Kxxd+5z6DaHTszIGNx0X3RMX4WJN2+T4nJ5otwFop8BqfOn
z55jqqKgbu30h2vGHgITMqtH8PSvIkMoWZRzz9Ke7F3UAoRobpAYCKhFHJdMbvZ2mR1HA0JX/L/Z
O5PlyJEsy/5KS+2RooBiXPTGJpgZ55n0DYSkk5gnVcxf38c8sqvdGVHuUr2uXGZE0MwwqD59795z
CxOVam4Dss4n31hbTl1R7BglGZK4G9ex1zkkznM+7T27fR6VOPPMGc4EimfnFiVAt29LNd0UwqZx
JJLSJzwzf24LKZ6J0muA5yt1OcrR3ILdA5TtnNpnaH2ayjbRnszONd5suDdemh4BWaxaOffQErxL
nzIPwapnn83I1SikgmVDAE+7razO4YwMIUbhjtoObMY7DMXYv9y4PGehyra8Mv4Tk+qG1j8OTDjq
cNXJQr2fC4/g31QM073rTnrHEIRAuzbonSvCZnyXdGB3vkCHNG5ZcbFyy6rYoW9oj8sSN9YZ6CIk
UXTTDkg59YsBR+/ecdsOMwkuh4dlCKj24lw+tVMmQoJZBXd1EfsGjfJaVXG39QgOxYAwjcVWjMm4
GRigNKG95N7bVGFENPghU23SL+iW8oPMmShkfahvYawSfQZa6pK4AH9rR+NTl7Gx9iZ0p7hImjp0
JtTWQO5uk7rwLhsnKs1Vx3EAKRbhXizOo5OeCRRkB08o/0N08tqIKLs1gdQUZNF87dqzu52Mbl4T
bWCgYx/oHxloyKasO7gTApTVXC/uo2uVzouTE0KlE3YS0AVnHrTccOa8AcKKwvYympz5bUkL+UDG
ifgcVY8Sbgmca7LLQ8CuS4cgeM5HECsoBfhbyb5civcWkQIiDKmnPaX3/Jmgjb7OtWPtW/yAW0U6
43wjgB3ZPZigwe9QeYO9xlUzES4LmEGAP13nWbqMazCw/Y2QJXhspzLZ9P6apPzPWOEPYwXpmiYT
v/96rPD0obv/tfog6qr4eazw7//ur7FCIP4l6NwDRPU8kw7+iXv6bxGsA9uUWAIfgNBJN/uTrd86
BWAhpghw3Qccg06zrf/r6zfx9TNyZITq/SBk/rd8/b+Of5kpMB0LwBBIlhbv75Au72RpLyjlOQH1
+a4VxA+T751uiFyieV/Nh58uz/Vfk96fKajmaaL+/wbAPz7PNqFReR5XBA3uF1FDZmFtDNDmYEzQ
MQVunn3Y0m5vBrNqthh8x00ZLUhyev4tvSKgzw9oxTn946Kigq67xWs2RP7whznuj9Hl1+9l+eiA
GbtYATKEX2crJ7mTnc1Qo0er+NZVfA9ELT6wT2eP2ekYBAtKzgLIW5QW0yaZLxzVi+PvL86v88q/
rg0Rs5YQlmuSsfblO+R+60anxk/YpBP2tVxHR1zK9f3vP+Uf7jgls88InnkVjbkvUySPi5wlS+bj
w0N6mNP2sz0wmsAKVu3IfvX7T/uH38Rhnl9j07dCGfRl4K8sZQqGHUEYVJgLCVNGUNY31h8+5dcx
/I8rBxHRJ/rNFa6LHfzXu2dF1EGjE3mhQxbtqs1nSqOivx3K9P33P+cfLh7zP5eWBL8HndOXD3IM
erw/Ht8oBYJdGtnnmFKt5LK6hhRw+f/xYa6UiOFttBLiy4dNvV1zQrNBu0q8i4Vv2mjRLI4NC3zB
KXP3v/+4H0zgL+8AkxOfUTUrAuvUl3uVMsFclBdjbjPsfMWJMTgfvUjcFphLiZdIcmqZ1t0l3Wjt
lzo7WTPL6M0tcASN1dTeZrmvQlmVw0ai4DGpnNpm7Uoflq2zLNed1VAm+UkVtIc+q+DrlKXfrVSz
JKRyj8SFcVgwNz3HEgxKmXujylLd/P43/tN7jiKAMSK9EYDnX59HWlDWiCXRC+MqsQ4Zk7LDzEBl
zWnrwTjx+LKIiZiKP5kKNFsbeec9gUH+Hy71Pz2vDIstOJ6ecKDK/vq8qozKgWygIIS9bB8mO72s
mEoz7kncP0ic/v5JDLTZPyxf+ugsv97TpEn0yDTIDz24BqDpyCYCkfFNo/fa/uHSuvLvbwftb3wd
mDNs6f31z39ScbWlKQ3P0l5oB4O1zQe6ZYoV/9oS7nTrGjwIVtvdx8z+cA10aMc7X+Aph+SA/LMm
0i3QTQEKjQSKle4d946MIufVGVp/P5KGVaxpq8x3NGzt864b6rMcXXlYKVyeNGNxuO4KP3DWbc+h
SJRefxDB7O+bxHZ3garm0Gg14y/VWlvpKED0bS8AmTkMmKJw7Kx2HZdmdNEnmXPFfGLCHZloFzPy
ZG1oXadXlPnZK+a88mAPwbgVRbDs8YnjZB9a7wAQ23tOYclcjbT7cTjbem3QtFzhpnWP6FOiCxNr
YJB3cltEDVxUB3SULk165cSw39uWap4tZhCvfix8cFJtBeF0bqN1VZ+SyaphPhmsi30quuzOEE17
5YvSZ/rnNSOZLhMT/2mULQ2jIbpQQxI9JgEl6AAt7Z1ss6km8lu+5Eb2RMMXEGhu1O5Z1mH5wlN1
6ZXJhp7IXtpGua8GzmOsALF1a5o+nAOZuP6ZsKW+WgZCTWKSikPdqjzk5zQwYGk8RPRnNnqBrnoc
6nQSoK44TQY9mVEExPZlv+mtCARPb8BAK9px+KBk4pqMEjo3oAAGn7152XYRiDFH4gxpa1tDTKmG
R2BEWUu3hM7fKlIieKRsmztq3aB7IGzXhgAjhjWcCGOtOMmet4NbbutWRJgNiGOJmOGw9ZOCCQ9k
lYGPYIQ++Ome5rQi85r7bemTYGIwtPMaEYzBOYNG0wq3W7q1G8d5SRqL4zlOpxeZtIK4ZJEnV2Ty
4mD2URmRJNcL7QPwY0C/gril3BWaxuBx1E5XPOJUILZSCEh8DvEIKy9yeOKDIdN3BagTJLnJ2HCW
U9GxBGVUoP34XGI5M7TuU6zxHGCiLPQ5eC+os/v53MpLDmpu59YbzEAzr1AsVkk0wUtZKHAYaVrl
myudIUARRuR5cIpEYZjoITXP+/1ATtMFEU9xusrsOAhreLGMv2k0bPwqusz7KUagVzMHmyqT75uM
isCPxEdhtqZDBdzPMNLl3BrVrh/M9sh4U53FXVXeyWrs4BvOIC695N4SwbQlgqYjxHhy9yP4013Q
dsEe3HbJ/Z3KTcwojEEwPTwG8kXv7miVm4+D9L0zObcfNYO8bdor+JJJ2wIZDlyTAlW2B8NUauUa
mbVmqogpwVycMTTwem3QiXL1wYpe+H0V0N+fk0NSKZ/fChcEiWP5iruXTOPKHPe+VNH3XC5ORBrx
SB5oJjjKc4vvIk8K5ksGjEdsQaExsQtTijJ2wQN6YwV63tOWLkOlwefTDTV3viCHprQwKg8UiNMC
zRZXabadPFo1qs9I3WmOMeb1M8jqbYdwfuSgoGPMHVn0EM+DfdYqM74yiFY5Q2wSvKYIJGAZOMDa
4liCCo1UT1Wuor0lnBpbDTi2yYFc4/gGvlgygjZuQ3FcMr88i5vhmfGgPvq1yNfseswd+r7fK1LZ
L7rCQfnf2OOyqYnBIndSAV3xjALqMY1IjDgU3gSUXWrZArXPvOXOaj190Sx5+gZiuAT5ZtEHIt0c
/0s+XeuhHgkoIkmziTHqItoJEMXYy3ZSs7GpZm+5iGku9/RNw1qXE4BQuOexex0V5a0QxF8hboAE
30vO77TGYuysIckExq6W7viBRKQjdKDJcbv6vWE+M0GVF3ahL0b6Exu/ySAKjGJe0wMyz4tO0qll
QFHsVOHlG6eox12NRBsdBhiVzIRbtig13EaaYMGdsj2NCXyxVlllfE7AkMrRc+4pkpawBxBA05JX
2TWZlSFh3o5jbV4wQIPfpc5lVsFxxU62XljBgU5Ur2ZdM8bnl0uwz2kc03exO4QTcCZIarehEo4D
xoNRXrZjH91WIiq35ADPZ5lvX9j1UG0CJPqrSbrIcsa+/RYFcLO82azX7rxc47f1d9lIKM/KnUb3
mSnTtKUXNu/IX4Hr4os4SmFXGwiy4BI1D9Rl041VpXLPMC8KVQoFiWyc6DItESSZrRHckZHuvJC0
N+BUmQrF1XBLuBJ6aTN6c2hNvI3X1pGgAazyAVYvV4TBweJdF5h+mdmxeD0NidJvlkFbet16gUJc
k80T4qOqRA+jl8/ZSgnbSOmej17/ShMEkdKsyLrzaVBlNjmwUERasguLW9b+jWDxgT8g2nDJdLRG
fpe/YHhsj1YMtNbscamASmo3eREnsK5w7Zsualhijc7UEk2IqOzHAaXABv4DYTJjs5Zs8tcuY7id
RjaRr3Nsz/hp3JEnN9fFGnVHe2e54s5LMabXDTJaEvvEnmgcIDizRlAMnf/QR6AmeaGrFscWD8WA
ET9EwUFGKUlQmPi1QMZlFVDLS+u6PzndK5FUEAFsvW1thzDQOTtjlHQiswT1JxtSus2qsdijJB4e
YpOB1jqdnPFDFSArVrWoyk2mTkSfJRDUjA6UFSRee7+oocal+rO2LMhQ8D/upBngZhTzdaowS8+L
4+A4ksjeAEQMj3hw4k9nydU24d5ctf4sDp7TRsQxBOp2cQqyrkuml9iOLgGhxbsiDaqj62f0w/Ks
z/fTIKYTJ2Re91GboagWN+2C3x6VlrWDaQTYKHKQyMR2XB0zhycBm5nYmbLvVpOVLbt6SvMzeyZU
bIVdMx3XU447rnei+t2arOIMKUPe7aqOKxK4WRFGVWAe7KQGE5a4Z7ndP89qqi+merqcilp/J86x
P28b2WxO4II1Z8PLHvPXNoi0fpXadcJStMOhdOYwr41Hhq/IEfulibdtFVXHGoASGGzC7OLeLR8w
InWXAfaGULAJ7mk84wAo1YPdJGTfoghCATao7201LuzcFAW42Ot0XfcxfV6LtfnUoAd1V8U35kB+
mxaNS1yjZeQwCIt6QyNjuJ4S9dQw9UUi0Z8n1lBgyhu3pIkOG+Ifm23RTxtVT366GuolJMJswDMI
225pvAtrwfZrpWl6Q2FPxz7Oos28RAz3K+lDOZuqR82Qetd41XbIxXvlpvt+NLsDyWEEKiba2sva
i4GMDezCUAX2HVkWYWGcoj28na4db0c0CUympjH8Y1BPuLokoB5Z3A8TvNmWIDqIjc6mammqU8rn
Wz8OMHsmWRQmQ4A4g89fqdJ5R+4SPXsl8lQkjhsx0nFdSLzpmvZh7rS/0sN87Iz+0c+s4TrBy8ql
fQk6gz06Md79tH60ZH4BY/KOBFMbYbV5VUzeR5x/qNEfILCkiF7S+J65J8PXtjk2jneeOuaFYS3o
OLxenxfKOFc8Qec2crcwGqX/Xk9etouhhLNLIfdshlC6bfm0yO+04oqdb7Xm2hyzkgk7PtvemQ1u
oE7v+5q83U5XMI/8RxdCh9u2r3kTfZtq5zwxixfyFboz+EJkOhcK1keZPCRWsHfK8h5v3EtltYcG
k92aGJVL6ZIBhOIJUWgzjNt+mGFBZMhiLQO/p+3Qv0hai6nv2O5Gt7jNeKsORZa80XaAJTtvDL91
IDrT9qZbvGmzJNq7oKqvCGJ3rubG0x9Epwc0zZhMRUZ5DFLH3Q3EkoXlGL3lEvuby3H/vjvJpE6H
fF5ZEpDfk8VsdqUmkTsqnZ1C0XCcc+TyFqKeUynltltbEvWXFH6/0VOVbXwzUKugqi4sG3eUrsDU
Fw1siBM5B9sgRwQ9YufsHYMahh+cWRn6GIA3DBjtarPU3G/OrfWKEf8dBq0rW47p2rXUt6Fcdrqj
zgdkzKQuR+MEn2Vloj9dE2B9myzyQmbRUzdXl8ArbezI3HeQQWKVeYU6JMnSsOlXD6KzJ6hwkqlj
1jxnJjgVEwMD6UVvnmE/uQU8pkWxZ8+N5qYpAvks2ZPyOZSPE81QzGxOga8xNvdI0+otw/6ZzEed
vaZDT5KynZQsKXV29CqBvsZrjU1bksEae+pbZfZDiHiAXyoyFCPZcOWYyAuTUtbbBXvvpzcn8iqt
J6o7F+rxLES9MwK80HMuLirOLLuM888RRD7FEUxrx1LXquOA4TR++5w0hkMwcNSHtFju2p6xZYTa
wxli5kpld6Vbo99OrB1bm0nxRY2AlaJ/4tycmqq9XCxRER865TtECS3Vv3piss6QBE/FzsICtY2j
Llh7ozvdW+QAksDTUEuqUezi2qvfJ37U0VNesSFqgzR0s2/2VmL0EOtHcdm02OnjOq+wE+2RGWdb
zLnWhYBjtY11n13kUCAetVm7j/7kfCA4tzYwbQaGdVI8FUPR7SszM+6aZgAYz7N93SnfvSBfEEu3
lEaIGWMIp5Ic2LEINJmrugSUPVcbL0lQh7SoaOH6tPxGbWrvAVzX2ujjDmkbEkZSnenxEWesITv1
SdMfdImaDGTby9xSKsZ0vN4hhFUgrUxirBWlUMcROQwyR9KrzqiVMtFjWaucTUYm0rFR3fwCtmbD
gcndFry+O6HNHpEnYQtj5owbVcaQ/IWTUS3mcCY8CAOVdm8SGlHrgSkaOJMg2FuDY+4meik5ZJMe
hIAGTDEpwg8EMOpgnHYBLzpnqVKdYUUctlmKqRYhDdJffPaUsQWcx9xk6rZEyaEhRyHsJ8sNy6Jz
zvicedsT7RwuDj4CJmP+MfJxo+u+bjcypZrnAHY3akt+y5Esr92pA8Uox2czh0HlLcVFi4rvCeHo
d47j6jZAAYQJVhn9GnM/AK5cDWeG0A+W5TzxsfpYKVxRsHy3OqEc1vZMoklEy82aNAkWgqyHS0sY
9IYqRZZ72Qt6QaVh0nVM3XXsQ2it6hrCdVJHhAtmlv3Ux0SZ8gg2yF7ZpqP8lLha9cOqTQhdX8+Z
W93Qq6geGmMMENImzWuWJ/I2HVJxbbUt6RczR8OVu6QK7HXwhp0guKUfdzLuyA4/flPjEliydUdO
Dw2mnqQJXanzqm7zrRtM+YFQYlqibeRuW6MuQ8NIyITSfrWSnpke52RGqcK02kPNV5OwUi3fRiB0
+xho7HNSg8goskzR4XDfPOysFAfBDFLHjLe6lM2Jh1Gv82FOkQxy0iLfOiO0TNwEtgvshxFru59i
mZzHQ5Vtl7pOz6xhSAuwhnRUz4qpLzxmh3K4mTNhfx+ysbWOxpLPkAo96aMlWrxn4AqCWPDRm5yt
6pP0s+Yh89ayYb55nsTdTLR6QDhmIQwVbaEldTYyX0Vutuv0zD9HTnpLt9xjHrXDZijYHefchuLo
3GVuz5oZqPwdEVCyy3zzhOFBeSMq5E/AmZ2HKMcE1hGnXZrqWBDktKpz9g7e1WK5qBT5NdnJF7uy
oUL2q6RqIWZ5Rf3IB6kH5GH1M+xkYiPr8hISZL7LqsY7d5LA3BUmScsE33TVS4PE6Ng5pQVd2qvn
DRjeaG860fAwtvNyl0cD2m6k1ACHAoH/HP6EqACjz0ZGl10XTbE3mwDdZOelPQHG0eKuCAJjTSwF
+69RF365WoiNRUFwot95dWuv7AThcIFoaNd6Mb30uc2jDap6s195fW+A7G9JyyB4pnl18xNCgnuS
33usP5d96fcfqnIMwhM4TIY9l9o/Z/9G/ZNa6jZyNKtXfuv6QRkimydwm/4lMlIRX4wOqrPYdBCH
8X10NCCSHqAgn4ArZJJCmo1YeJkj7AxnVCuVN4S3EqfZECi97l2Eb4ahN8aUY7QZgja/cAh8XuWt
fvRagEnQtuBi6LJxX2FaWPtg8K21Utg3xwDhlYdK6pYjZcT7X2ZhCQd1C4OJb9Ulzwg2qG6cftoa
5kkrsIzfF23Zh2oaSE9YRhAFyb4FBxnSqcVn7EfiWp8wBVDRoTX0MLyK1LMBjVbFek7y9ij99NYF
CbgF4nGMbAHcgqcFlgxd4S1dHVLUdGa9EY6URpsyK9EISDF7IQixgWwW0XRntqf60PMcQB+xEv53
NxuCsJ+t5on2R3ODGai7JROwI73Az6648pyLad3tzEF5V9RyCHnb2N+VvH0bvAYfCHYVkcDmdOXA
4o1WIiiiN3qwVPj0y5uzSsbEjNuseaAEted5ux7MQA5qsUVTQ6pBR9yHjSMYCW20QPkaJ8aOpVMl
rJmyIQSvznviC2VBN8shnocmbh2p5QA7rqkpugUjVb/D9VN75UUHGOUhR0e/NRO/Pcc4QVIHulO6
SLgDEIWeCLCghUGqsPKP+taBZBiWjSmuaIt4/GlNnG6s6eg5njfRRKeWxZ41tVZxRbL6tgT0i2Qn
mtaVqjZOYw9XUVFsOqSREFizLSegaI0o8rNf1EPVTQEhYiOKGh3PmbeKK11uPHMBJjE9wQMlP6DL
rR0I342hc7wAzSmra0YtE9f0hBjoYNZJjUc9Gimx0PQuabvDNUugkcFG3ZRlcoLpcupqYzIZfRFw
mCVUl8ZLouSBCpY4qVQhm9+Jjl0RkIPfEJxcjwHMYJ80SFuPKER9I+nhXwhhXCLgmmtk8OUpvssL
kjvpSeeMoq8+WJmL9DdNmjt3mBGIeZ1rEgReaqbUNDzQ5C291V1rifqHBUy69yJu2r3KYw6RitNK
vZGRrY6GtKDIzdDKdrmvobvEtDXF6LnP/K5l10F6Pw0qnPpRLkMnTyeW4joScU3jZmnl99lqKXqN
xoAbGFQmfBG/bR78+bRY5hioUDvJSH7abo7mDA6kEWbMENje6Jc8OVPuPXdz4p0zkaovCiQCtww+
vYNrSfkgnDhuNq5jJBlVtU3IdFfo4AVva00hY5QVfqylw6hvC5yz+PwyqvySdys7xYdu0KObH3Zl
y4eeV/gxEsSh5F4FHLMLdHlVtcJixNBmYkGWZOffW8MRh2iaJ7A/TnqXltBZwWsYmn2ndr/NZIxd
OU1WvBVwNuiYxvFVP9X2c29I/AO6j8vXzAmWYwOAbsByENCGKAwOTOsJ9es6aGrnLqjx4azr0jZf
NT67/ag6HF/aT9zrXMCFgeOp42tjwcoQJAD/yeB+FDroPuvKqh8ZIkVPQGrrF4N3f2tornzG5cwP
LpXkfq7S5QlZXfJcxdYpBxsCyIulDPeVLrD9rdAzst9mQUIgAd/ZmhJ+kYMHWdc2j41h22wpWG5K
uOmf+BZQXNO3WeMwsUkC8PHPzYS0PxpOmRzkJOYLNY7BS2YSoiI8Xa/E7KdHlzYz6cpG1+yaWkWv
C00WXoC6aF98GM3HhVqbonop4KxTAK46XeoE16Bzz+ZVfQxVX1+7FcAXhg3wJx0HjhNlXgZ02viG
GUXgoUZGQe9GRJvBjItwiPPsEh0HVj+W/XYr66a8ZlxGYN8U0+9y0oKipLLK5m7WIxpnNOwo/Wa0
hmsbueKF1Y3FwR5n/zBFJCGkdt18zyjSYKKbnWxx/Hgo08ltKO51MAqx6fKyvmDBwFFlp9w5AJyq
DjkmT9Z6sFpO0XUJThITWJFTZ5Pm+W5maryhYT1eCxG1d87gEbvX9sVFJar8uPRkChJq7IMfa5rz
2PaA4FvmID+dvqs/cisfgcAOdf9SIT15zpTSHk5xT7kbH9U52t3RtlFnVZKYrxqKdcKA9F47LVpD
Hy4SyuGIeE/IB/Zj7JXl9ypWj4ieSf3TVCTDTIb4yitiwh6k0+YgTcb5tUSb7KGkKwmd8Rbsox6t
92WvO9p6DtE4aELHiYvcNwMFhuE2izhmSWuXUEtM0h3UFKWX89Q59cZh6soaEVf+ThJGfZZk7F8b
QG3dblxaHp0SwHOxtnw2G0vnDKIb3xAXQ2tPjK2q3roUvUfDDlzwvHZcL/6hTMXor/SzTQxDtiGj
KDkMpapvE26Uv7N9bWOEbNW8FWXrfac0IoEqSMv5PYvJcl8XBbDcPdJaSSFlaZIHeJozHUYme+aq
U3py115Qud/6OnAxAlLyn8WRHB/c7rSzBe4YxotB196ozAA3yvymFPGyTI7HacXRmveEGolfwDDB
hHhbt2y59LEn5jjeC4GNxXcVjxEty85ZJ+6MVMQ0z52OFiZ7ga3cEHOdncDrnidrhZqUgYfkH9yb
3TD0qwb8XrVtYlky6TC9utvaSUrrTJtEi2m7OGATdPCVIZE3N1jtUtTrUfuuZm9m17VNtn9GN/NZ
nhsFDtvOfV5apg4MMTi8lYoAoL0qcvk9KzpxNiMI5oB7cjDPJFyGhLO56yLrUNajh2aY51eHEXAL
+esM067dgHYmM8ie3URH+n3JMCrRnTTUU+YlJcJoqok6aT7lACrUAax7zFBbXY+LNDBz2pzWYL6q
i3nujQ2zWs74c74DWAuxiGlfyNkGpAGn5uaz9QeStgIcbdeJ71yhnE5DK27j+wSbYLq2tDHts9JM
hh1z+2RXafvVAYJ8a7iZ/W6A08K5fUrBwBIExSd7kF5C7uEy1mStuYhwA3bzcyOuzcsCbsQtkvY/
CTFOQotfJS+BsFFBsXFDqbTtk3ziJ8VCkguvaZLWP53pGZ5yYr72MGddYSSAQc9sVlwNppE9iGFg
K/29YML+J7kEEhSmoBCbEd580fcsluHCL578cIZLdBW4jdoPSjNFEIzt5Qh4lkQ0ttYaC+/3cWFL
UX1f7pohN4nA1O95o52175c0OxvEtEXFgKmaXLkbKeOZN1vmdRWPkrZM6eJ+YEeFzuXa9RE79HLR
6fRSWwOjCofeoESpVaz7MV9YV6iA2esLg8Z2boXllBPlhzpo4+LhWOG6xC08OvcYFpiMjbN5DQz7
Patqe214AzJpgwU/A4JI0luC0g9LrPzDpbP+LiMMAnq2AGalRXfwKwqh5FHi8tlU62goOTeIa9ue
yLjsicSoTCRL44w2QwbM3c0Zel+q+3kXYNFqeJhaBEybKCXnfV0mA2ijvnS3WSCHg6jhzdWTcTbh
St36RU4BLDPoZhmwgt/f/ZOQ9OujFxDZFBApbaJngA7xy6OXspc0Q6CCUKiG0C2AdAupisuUnC1G
d2tOg7sZ2JxhdunkCJui/2Di1R+UOKn1aLg5hCDyio34Hyt0G7//dn+X7QWIM/HyWRahwM5XkWBM
D881oRGHuUmjilFkHJD9Vqk/fMwXosxJuMf/bBSPvAIs7eYXMWLDwNjWUROEjD/nnO3bM/YjEurN
hOvtzeIAzxqZN+vKjKpNBB3+FgK7njY0xvMzNDvBVTH7ObIZXhZSPsurTvaCdJ9oAWCYivumy/Xj
7y+N+fXasF4LuB4C6aRN9usPzNxPawZmcGgBmmdv0BaLwmJVzpq0NqjZUd6s6Pvbj0F+VYu0fikI
mFsz/8FlOIAjI8iXJEmVzt+dLJj+Qiv9j0j7DyJtLzBN02aB+K9l2qR3/2d292X6Xr8R7H3QBSnf
+mfZ9n/+pX8Lt+W/AkSXKEqkoGP3I3UNPUb3v/8jsP6FZE0C7EAo6Tk/SDH/5sGY8l/8P9CRXBtW
C0ssr70GoJn87/9w/4V7/SS4JvabNZ+/+9/iwfyKTMOiIdAO8s1MvhlkkxN45ueti+oKqEiK5SYZ
S7nKHJKQGj/fSo+qKIkUo4+l+ESxgzAhyN9qk5DVoDY4TLLkz2ktV71f6U1EgsY6GtPHoQbY9NNF
vv5rG/1F7H3awH7aXU9fEXW5CKgJuSKo3H/9iiBpHVpVsQr9EnAExypri6wNH14SnA+MzzDJXrqa
QVJsaRoJ7Z922C/UrB/XiC9go3DnUuEQ+0LNYj9v/NHmsBPFfAG5TMO6IdVzJdNom7SNxRQ7AsIa
gP9L2h5dCN/j99fgyyr/4xK4DEtMFLyugB706yXQNj07crfaUPUxjnvTu+8JJ0vb6k9gtdMf+nqt
CaXjY6hnApyzv34QCWrMyua6Dat6qPdd3AU7r2ue67YMdsEcpOvZpZ9MlUkoKAfHNTM/aqvJusEx
UoHD942tNGT0qhlTbBVD+1uJnGh9ei/CE10DqEE9h6q0863RQMWEtu5tHbfhDN8PuH2aeIEwbF3j
KSc2KeJCzq37QgF6EEr7nNTa6BhXSOrhjs6hdjBhz9HDMpJgDNTkvjZ9Z2dPZDtPOv805ZJv9VC8
VUbpbwqkKosffMAIuZWL9/T7O/SlBOQO8UoIgE8mHHCb3fjXC+ctYEVAWRDDICN/S8jYSxZFG84A
3TrCf7u2E9jDXgvL4/efa52e/l/vmO1I1/UQ4ls/lpFfP5icU6/RNBZDmEPFlrYd9Hp/6faWhT4+
lgTNkdMzkP5iOWflzAtdEUpDj7PihnLWpXEX73pfQ+HB9LyCC5JvgsjD1duOMwFtUcfMwGLzno3q
T1pf62RF+PLdmQ+fSgOBYIsa69fvDrjAxrGVFCGy/GpD68Y5ixP2aTkwQxn7ept7XUH2dVdeNpN/
gK10OOHTe6Z0qwiZ118LkD3tGJ67HFtWvu7lKjD40d7Mr0FUjjtMLu+/v+Z/v9c2rSvLdSi4qW8C
do2f18zOgm6CMrYABYWRm0M7H4wy4K8LrdyG7mbPuJP2jvWn9/MfLphlWyd/ApIgJ/jyevZWGTGY
UwhaBnyNAy0xjsOd/oMP4ktpwrNMOtsJaX8y1+Aj/3KiqIqmlAYhQWEye1XoKbI/VJS8/eEi/jDp
fL37dkBtSNEGsdL6cvchDDC4BHLLYLL4jDwS1VauDtB2VVKvsBTx24yRvWXogFaYCxhPp/g0Y3u5
odMB7qmH43HCR5noqNcllEu0r4R0F5qHHBUmQwUiv9ey8u8N15gZTRNSNs3qkI69jz6NOJXBLIKd
AYNpCwDE2tJlCcXE+oZsG7d4GxjbOuVfw39tnhMqQJ5ejyc4iPjv7db3Vyfk1YomGwmg0wRG5CTS
gyoT7Jg0VKskaOydZenHqSOew2qAIkdd9kbM+ZuTyRvc0tExarBK2TL7VFZf73WPKFYE1d6YAsEo
RQS7ok4/VRxxuqCNjNvTIzdlCHjgTJ7vKtY0q5rijfb8BI0lfiBsYIEWFNwnPBxro8v53vKmSgMK
YlwfW2l1jOt428fT6k2xrJ8gA0ByMZRPtVyhgyVd8//wdibLbStbun6VijtHBRI9IirOgAQBSqQa
yuqsCcKyLfR9on36+sBz6l5bcllVkzvYEd6WRYBA5srV/M0md1Pjm1BnwrIG8DEfk9cumhxPbxoN
tGWOzI1mvpQtE8WoL7Q7UJskD8nCQbxYys7O0zemBVSPkXRoqXO/kZR3rZb9RDgGjDWa69EIfHEA
ywactO52GQeIl04YThet8myr2BkZYetu3Vh3PBNz2G1v0GMklpUBBjmvusHrMFc3QKXjBM5niY+C
URzRK/uSCve+6QqkoHqMGbPQiQOSH52DZTAY1PNqyq69s5IF7k3d35BgBGgcvbZqh6x+j4qVgnLa
zp14mwUjzC3tZQt2pOU3Tf4GxA2n+GY4NHI4LEX2ltulG0y0Zb3I4It2Y2Eyt7iizaQhmzNglaXa
11lYaVvRcAYwJMw8rYcLH9as82o9MueK/ArD7Rpzy+xNiRRWLG8WN/c3NMb4kdqYoO4YLpRMsTca
JrDeFEZv1eoeUcZEazUZHQ8TsOPEuGoTZ5zU+VK86lWRo/8hEDIbFOcL6uX+Av7H0lVgv7PaHqzQ
vldlznckPT1aaU9utb4YMoPrzmoR8RIcHue1O48sG7V2EY4Kaf3XcfLqYFEL80E/wc5xAznnrw4m
N5uMFS4kW+O8cNuF+w7LyUcREJp7YQVIet3XLokMIHhshdYtULDChNBPHU07j8YqKxLZp6tyWiFl
yZptKHxeVdT6xolZQQAUQWOobJe6r3AbQI3iOKoIYIsR1GrtsGgrmbyeb5zbJYtBYdVPFc40JEnb
AzPE7ql3R9fvpUq8rhGOz+24BtriAhUfeHf27Ga7BUqGgPnsMfqlfSFdPCCn4Vjhx7hNszD1Jxni
bk0AU7o1YNkmv8P3YOlm/3zBeF2dtLx5rmr2lTWlb0h4uCjBp6/ncNHb2ZsEFA4BgMdQphEX6Gji
yZwTpLaoDFshcf8eeYgUA+RDiJtsyZLtDegOIPBaeswrJ/OyhqhEoAJVsNTPplYdz6cTA12a+hAR
fHy9w0vNSt9mNQxvNYhX2Lwz+bLAErddCSwChgrx9EeZE0x0jZULEAlnyy6hCcs+NhQ+dyDWZlbF
A5nMAMTOqyS/WsPZDBAS7L11fQ5KvUl4iWX3nE7cW9Jb11qFqnuTmyfqnRLYEFsFROjrrKzqUnqb
onfPyz1XE/GasFiJruzWY8eq7OvzNxzn7G3dEk1intajwLa0k6y5sfM7qDUXJDJ2dGoZMk8cj4hi
4CBZrsumZLgeaiZsDtE+q6lBj7ZN37I6ylFVZ6m0KovxHOkcg2Bi4sJQzSYRFXbDjmgy3nTOLGF6
s39TdiYD/oXfcpA0xEk0vJTr28GYDjfcpTrid656MDT4q3qZLs+ROJnWRMyKcm9MHM4MKGEgLp17
O68bALmr8AaIwMnv4DaSxfAC+gQhmgSTeB+HSdw2MKD1HLPm+OmICKxhPn49V/SMm+rW5DmzzJMA
YMFcew6AfbARZx7kusKmhX8J0PRkEml80Dxw7SoWXesSePKaZVWAf4GBw6vRXRKK9e12KT7POLAB
+CTqUwWVQRPxgc1AVXCOv/kaHcFllAESEvpGcatq36Sd3K1nXOtygShmVTOvJyFbsiPaHwiVNIQb
uskZWHDS4T5J812Pn9qVEubzA1ZZ1d7GBRb4JsmVOmWv57VSyuI1deK3cpnuGQLOHBgtargDj3o9
bUKXuJhJtkDYyuxqsi3c1BQLH9ohR99RMno1NZCePdxD3x4wzTKsNrkekfakBbbm5/Td06aJ9/SI
OfBm2VwTJZtDYsSSuVKJjzZiSLSw4snrxeL6yO44O7yzQi9tJOjqbgRuGcYmfij1Er3G9tS3pNNG
4g+iHkCnJ5g52zGpxgRApqmeQ8Rb/InK6rviZssXPU9RCyozPHZr+SUFGBtQ56A3hKfiMwpNOOYU
c0lGrCceyjChp6Nfto/yxjcXyqShitbUoB6qi9aM7VvRF3Lt9uMOPGLpks1NdeGsBVwWkyc3S3ut
CybdtjGJS2bcr70CITm1USeCiKRvtXHp/GxUlwMIf7xUSoL9WuZVdp15sQCKyfHe+aY5xntXKZrr
xMwznEXSZItgm9wh9KFuO6TpNlMeGeQozUCBhi9yudpWD9rqbErCJgcwIqKBjqaierLTbAMQQvOc
rxwjt6+XzQBr42qARIS6kt4FtWjTLfJWIZdP+TDJhxlgIzfxUsIPE6L32968zKvhJcqj8WcmW3QS
Gif0RsaCWwqo77U97tJo/t5PJM+KiAlaYMwYeOM3pjSwA1kNLfyoMkGCUl1thSsab3hpIjcD90FJ
mWPr9Et3q0oWyfOtguUTQznSRBXDmblFIDfinUbxFSYoh6Qi/mLh+cA07bK1sP1BAqkmlCs/a4vF
h65Xhm2JgOjYK99MSdRNG6FfyMU4MROFS9Kq2OfqmVdGhEw17TuvTYSybxJUZLupYNeulc+S1fC8
FsJS0idvYqpcP47Jn0RIpKnKeH7QpdGsbxjV2ZwTyEBk921MFUTKhJM/lk1vIJmoPg8aoUIR3XMZ
0uIosqb9Hi2uQXgDJMMYFL/niiQ4RsDDxyazRYl1mAEYKhqBa43jhpIddZVzLiI40AKVO4aetNjr
lt9aK3rTJbmzdbapA9KBQ0ac9MnBP7FMMK0pWLfVukQpmANjHF/dAS57hl83wyFoES6GxUoJ3AdD
4Lf1PgdHPQm6D0G3YidCTmvoFulrL+LXDIliIPjkyKZ66pYp3Uj63tsx7qZLIRhgJarde7WNenA+
HutZvFBANj7InvbQqVr7AGDoK1pJ15GEzqzN7uXYEtRgY2VX6cjdOGRVEFgk2fUaTpmTL1dZz4mH
0kbtj6ZzDw7ytZ6LIwnGdLvYE6I+MI7qlrxGEe4RGT6LutHBAkcbQRpMxRcXEdZBi0FtaDnfNWmR
FRrT+FZtRf01UXn2IJTlTmT2RW6wwuqc1dBD5CDB4pkWQGa92LCdR8RY4NMpyXhfNArD9pblpq3N
qyTCjybLGAo4xLWwI8/Jmni6VoCR9BvLXYN0QbUyDDW5dycXviw5prYMdVAm6aap2mrPoDkI1b67
EG76VirxW8RpDxlK7rrSvI507vN8osuJImxNd5p1rTJ8wwrBwG0qIieguNZ2qT4rO4Ubxl2ZM7Oc
K0RX16plmWgQ2ZYJ7Dtqnyt8rNEk6sebqGZLYQvAywbHFeD1FV7OdCZB2+TTTYab7F3TD3AMVbFT
Iiidkx2T3VHR786nHLpX5TEZdNIoA4fUyHHFMaq5TK6xhqdYX14KZog/ADRjBmzzAY7bY/wEPwPa
KavJncPwWz4iUQwQ6E1dVPW1CIfymHPqnVc/9Sa2uimYI2N5ownBt8qtO2dCuNDVTiXy+vsu5ORK
a/xsaVSZxoJrbeQOVybgjM2crWdgxPrsKw0EHjkUQSGqT62Lra4h3XqLN0C61dQYz3LCGM3IDMQH
E+rMlJcKkjFE3Powa8uyMxDA3KxgiW1qkGAlinaTt8BVegPRWmQhBa7FHMOsdo64nlc0lMbpfPa6
E/s0NsL7vxf+5p/aC/QYoXjj5KMiEPt7+2RIB9CC6ZwFCnRK9Gdp2JoSX+CapmCqAtdfmLrzLXjL
csEAOdaKnlBTP5rNE7Cke9VJBHuYQndNMxjdKTuUKe+zIbpFqXCBM8D4B/OsHgC1CpZ2HG6tAkQi
cyASYBmh4so5eK6RbKH9AI8Sv1kT/BhTWieRLSW2uFIcNWueLq16Ko6TgqY5DrwkpTY1kETijHop
w41ImuReiir+WYT1QnfueudHqoTtoewaF3XbNQuMExga1LyeGTnhRSbE9L9vkTMR0BkUAAGjK6C/
60ilIPBQFDUhp3TUlI49hpfoRyt7SyPpwlHqMTkH3pV5C/F3rZJIGv/+Wv/QFAM8TJcNIUBmKe97
eWgGNGaiZX2QIjax6bQl3ncteVIMfROSeAqX0cKFesgT/ZN2lfhDG5HyHdsTRC4MnJHfNZLY2QIc
utsHTjOh5U5Q92DcirtktArPWOr6pcd4aReqC5AFM72thmL44tZaMOuTeP77Y1g7cO+bWpZq47bj
gLxEt/L3xd1rvVrH1ZgFxhoE1oYBCtik0FDC0MEyTklEdP37JT/27BGA0EyEIJgpChLv3y+pl1Kl
3IS7gSCds8ubGSJxxJ9Ejr1p1w4bnClHZp0tpP9oKPZ/v/ofdjNzAm4ACaDzKOv3qxc8VCy1FRk0
YP9xh0OvoKSg+GSF/+Gx0mXWTMt06Ht+GFNxmiJ0Qy4RLAJlzR6GmweR4gWP+2uU8L/OMk8+ueL7
Ae3aBUXPCC1D+tuC7v666n4d0CLfQVpSyCBK0u6ADZeLlJ/RXhASaOWMzj1e07g5qXTPNCt6LaYc
UPwkEOqMGrAUQ/JjyT8ZGq9z7HeLa50jWqa6evx8WFw4AreJq9bssSx9qWpz/vnP5DdLyfEQof5E
OeY9uIBHYCLwY8MWQBVnHUT+/gh65uhWWGZd4CAW3KJ45JUKUoVVaCTI3HMAi8H6ZuTpQw0RP1ft
hzZB3XtIxqtey35IZ3UOQAPzEwOZdSr77jGYyFmZKJ6w8oR1Hon88mZ0Z6rnyI66oEAgBCl0kmer
IdT0KqZ9vaZdQEA5xjTJnnRZo+Za8YqUuKClq1TPop1oTJHH4YmkAcqqVuK1pV9DbwSdn6bfrW5v
SmwMF4MURNoXeqefsMZ866MY4+6oT3eKjDAOoFNjLxHOeSh0YgBGtY0/ArrRK/e9kMh+6Gttraoa
aO8SrxYIdDwaWlnr2O58sKWL2l78fTe+h7TwytZJMqALHVAE0kLvhqWuGCZJYQipMqRcmM0GrXhE
7Tb5WNAXs1dOS6wntA4KNHOHQT1/TVqrWyNvKhJCpF2jkJNuSdsMgcFe2ZkqU6JhzZuXjKy0K6Ll
ipYE1GWHTmhUfBrP3qvrnL8DSiaIB5kIEQKReLfsQCibRkuySVLabZCdUTx6aogx2e1zryFQGVvF
EY2WFhVru9koOdz7Ua0/CasfZ642quosL43JvWob754kLml6jap5EwAMvdQgt2w0VgKAG+uTC2kf
QyijQ3y7IBbgi2S/jzRMQULA8FkNTZmuIJqhoI1AUDXon77lC2Kitk1XKlm7y83UV+h1wvrReng+
WNhF3ljHryixvELI1452Qb2XUQLyfLNdtdaMJcU7/e0jfqA0TnPacAreHru/L7w/vTQGeAxATbSI
zA+T45LKVRNLjEQmYjSrlCf03XKqt0VH1gm5Dkzv2P9Y66U5o/2EIMIbQmmfRKyPARJ1PKyaQEIh
dvXhmMi1vrNrIepANaqfOmYMWx4DF8tbbQs2+JOraR+RCfbqqucy99UxLXTen7xAix3V0mrml2Pk
ZzUw3HUsCSUl2roiMmngklAvkiEHyK3oBorHc4XNxpWFucjGUKPX2sFOPDeaZT9QeG8yfAA2RkFl
r4Qo5af6ePP31/TxHOWO0aYjIbaI6O+BBK052UU3sbVsZcbDqqulp4BM3vUq9ROtbNUb1PyToeUf
En6uxopAkE8lbL/fScgEOWPVaFWAQAlLuNINCvEJa+LKwBilkPRTo7KgooU7SXvq4Oo0KteeIf12
ZVdoFY5CJS2EkEERuO0BoQ5TF5e0VoTfkM3WOiUm0kKZp5vyWVvIt849kVJQOK3INF/aazRLTPq1
6/jF0PrklFFRbYtKj6Hj2gYkdFByuJI95I0GPVhhqFejBAEJpqj92F6T+XB0A3OdUCLhc5pG+iTn
2UaVw/Zi5vZ9rYStRHK5CX14Eb7oyjRt67ob/WVhGf79Vf4xbFhotgkeLt5R71GntbMkcQv/M4hm
Gd8iFERTgPLF10wDbWv6mJyBFLmJq73SNqebbfKigbw53thrEEAt7I7smR7ROdYX2shodE7gPRvQ
6jwpta/n0aZRCxfMT9FeFoy7r+OUl/D3b/IxgXWIrySvIE5UJGfexfs2MhjBtnYXlDaHcQ+7Z4WC
syWMeDhECA5tXWcpvhpOaHs63i+fnJnGx/iL1YaNwKBBwi7Ee3yP60wZgO8SuYacKVqltdMtlkoS
5CadcB1ayWNZm8U20ePsogdr7KEzTVdBoY+drH8yM4gqvWrD1V5YppxdTJRsBkDWbLyooscIo3pW
cK2Fi8D8gdYGKhp0qidEI8K4fTbrdRpg0mRPaUoGarH2+Ka1nbvUyaltRuNRzTHRUd1jO6DMa1qL
6cMWoGsfuW/8x9AjV9SfBrLNQekAsMlsxo1/f0l/yCwcjewbJr5rcCpb61P8JesamNWViLhXQcOQ
4jwgKIx1JCyYCNUJ23CRORYf2XIBGxTdroSMAeILw4Ma3xHGMIvaA5xqsbfhtD7la3xrrHtAxAlz
8fpryUQffXJmEbZazMHf7/5j3HM0i4yCfa9Spr6vkXqp1F1B4wVtJyMQIfPFNVRkM+3IczcqD4tP
ot6H5NlmTZGfUpSB8edgX2/pl+eFDzNOURmVIK1tDLtqudoZchyfZzHd+fX2DIUwGlqRHIBG4CEx
55TYgCN63+9ahNF2JmCWDVCNz4LH+4PyfHMmeS37bUUNrT//5eas2UlTBeXpIInBEciWe0AZnikA
7ylfn8rfH/8fLrducZBKuqCY+HDsZLWJZ3aVBaO5rlq7OM4KCZXRsXaoHT+riJ33FYJNjCOigOgE
yCaoHH//enE7MG3ETyuI49iE9opNYmzAVpkM12fU5KJWkZGRoIrGmUEaionHCJ9XKOW1URn202gU
7m06wMrX+5vOciaMF6S1MUY0lUf2qEd3pTvkTl0G4NytTS3L5FjqqQtaBW5FssjS7xI+PBngZzG7
PiW0wy/SvhR+lSKRoFQaYjyOU++pYYx4q1TJ6BkwDrcqPlJwmEafjiQCzlEDmRJT3UuwHAoTleym
m1Vju+qyBram8wxFmxytRkk9tIiim5I62V8GZfDy0nG8HgoxRCLlVaxoOzE2/QkxXM2HSJIib0Cl
hj/SQNsQubeenHvBiyxk8JsV+iUAVRMcWOamnlU0pV/WRnLZp+2AAIUBZx1bBz3QbWQV3YR7UOow
or/7pZbGTRQnmqfQHT44WGTS/lnESz+6eiDtzPxko+nvE3XMfknC0OKkXAWG916c0o2a1lVyTnkQ
FA7eSewxPQc1gh8Dk21yqVQr1Ju6acogrEcD55bZ2Gn1+gIraOZOK9GSSkGFb+zWTpHCi7/nWqr7
DtDDDScDGhksoN2s4E3uECA9A6KqzxDB2K5dCd/RFwVvpNE4uuvHp5W8kbF2b9qgTUZkwHau2eu7
vi2wp0s755OG0/vDC9gfG4odTB5DoFHfLXUiJ7yAJnP8uF2Qt5s3tIg+2b3vg+f5EjYIQ9NVLWGq
a+vvl2BBFWbSCFgpyiifYGhI+3VAF8rLarTOOth1PBvls6rofVLARYmdBsnNqm1Kmf/7RSNE+FIr
bm2/qWxE7CO33UJOaxi7ZYDhdUZ6im52F1Wrhlsov90nbS3xPrdH13hNkKEh0lnV6bj8fv25KfIh
LSrI1VYNXX3CGQA9l8XDJ40LhqZ7UbsS+WOh3dN2yILcsIaHv0fNMwLu137P+R5okUMqcgD9Ou9K
ULZNa6/UTz+1MgWGX9PtoYCvziYqMl5I+rtbmPLdt0ldwmsepHFdTaBO0bhzviiZvXjxYCMOClHH
74vFeVY7jUfZdGR3MQI9uM7fjRBDLszW5utIGLxNY1hHux6bRw2BiXJVbkwCePm3uh1hijIo+SfJ
11mO+rfvSAKLco0FB4fGNWfzu+ecSDhaHKF+z646jpjC+God4XUwVMPl+Uvg6ZLfqmNkH5H9EFsG
jyEGLuqC5QvYkYUUzINU1271OIz2bhQ7GCWlCvta7bDa095qsBh7ZcAKu3fQh0oi/YTtlL6r22TA
pyDu9nljYQ5oLk5gTfbAVBtJfTNNQXOgVJTjLADCp1pn7KXiF7W2eG1obqI6hm3dNt31xG/6tTUA
sYiju1kxFRQNx/x2Xmq0kxBtQRX90sQRDLkWlFyjJh6utMSWzwoWhn9fMu/Fcx3cPwVNeDCVNq1g
/X2tVbtumCzUTT6mavROeqXd2ulwTKLxS1EYIYKBhvAXiQh0Ys3I4dHx2qZoAO0zB6UPOFcoCDBf
3uYu2ywth/jQZJH6rVm59uriLgc+xToO0FiZCBvlnkZSv+GhW0GmDitL0D1Q5anbVWyUgUpn+I2G
L00BMWyrWNVjn8+9jwbYfUFD2suW9rPMxvgQrSA+Um3SNjLRfqJd+vuCShM5W7RTTPQVOLwRANNf
NBRtUw4tlgAym9qurxx80cZJ8XWlUADiNDHGcNLZz0ZSYzkb9psCUbwHyF3AOxK2XbbgHLJxzBQ6
91izMK1I8VrAcZ7askZmiSuJSJx026uO2M0IQqAXigSYZnwZB/3ZUES+mV37SxgnP6h14H4ynzoU
UrH3EaCNq6hMnFtJPrlDE6vZuUNOOV5iFlFAzw0segOBwcjPZzDJQh+45OTm+ic9nA9Z2lpLChRS
UB9flcnfhdwZI1tmlKydITffYBs4t+teaXtUJUYRDZ+0ce0PJ5fBK9JBqNHJ1RCRf5cgFz29KrWX
RFjgVB6it+4zwLL4UC+l2KpLMfm6GqbXMf5wB81pCXgt6ZcYeejT0JDBO1jQMk18GtzwOEbWVbig
aiJA+UzW5RwhP9rM7OshBfLKv93W5ISe4rIu25TjQxvZzaTtb1XXLCetAswnmmX4ie5mt8cYTDA5
nMpj2qnWLov0yI+BxD+MqMbcMfAPPaHFA9qdyQIBHZwGnjC0uKyl2UUKpQ1gLveCiexJwo/Zu9lM
5MCV6qqwSnQSYFdcjSphuauzzO/W22FiulKWi+HBnFlb3cAxo8SDUyDVhdYcakTsQqmkKBxVqkFv
TX3Rw5XTPgjG2XFcKb672g12Q6T4DQ9yE9vC2sX0gshA2RDLJ1nBH1YLi4RezIpHX0/J3/dZZ1l5
VkSgYp0WUA4qjanf1iaHU4VXm22yIf4e2j5ej6kiiHRSLAp1832VbmUlyGCcgPwcERbm2+wGYHPu
BZgjZx8vEJf/fj3xMbGkbIO0SMULTB3S97v94ABvQ5E3MnxwTDp+TSBD0bG2jlBgZVAuanyYkIdA
g8xCJqFv9y02WgjHIAqFzL1A7qxkFIAsHuqU/MntOajUgVetVsj7TbaQQY3YOQjMqr1DsRlkTLke
7mbYcvIk+a1ZVt/mNYxEyLyDuGbRWSL/Bn6x2aUWqNC0ShQvojd5XzkcdovlXOXDqvDT6W9NhYHp
MpqoZeTftJh7V1Q5+bMTLgf6WtpO9BONlaq97xbWulg1e89Ha52RarVOFD+DKNN3bgHgXgDyBSPC
bsLCwgliluChgmUNedKQQWWtp2mBTEJUk5dkCecMSt3LRl33KjTgFFhPP7+WC/EN2jlToYYlnqGA
sAcVz9mTEXY7dIQeEWBVfJ4b4uYtN1TbNip7JWe9q8RMAeYGLdvzT3PWewK33G/tlcBfgQzxeg2T
tQlowWZeT9001roLI8lsNgvhIhEj+YCcFh7i1F3EUnWuRMMAv8/5X1dGzr5DMv6qjPknakQGUYau
9LoK8DeYbxm0UddeJyi6gzsLK84FvqZiivR6UJbFqwfR7fq5sgI4Su4FVmE8O+SRg3yxHqzZ/o6m
idhmuaFdsDuHI5wafUcEYxWbsxMMTU7KkpBGn7e7a/H4QJpyBRwGEWUh00HYmCG6q0uKdl7HebX/
f+N9rhf6XjEKSdB+6P7xH/+6sPdNfvvtf3al5AA+IT413/3s+lz+4z/4zehntf7L/+kP/+3n+VM+
oXQKPAQoC9m1/z2n8ypZqvZb8St/8//92v8lcBpMf5mEci7a5n/Z7qzszbXyRMiGuY3GJvs///Yv
9qZm/LuBHw8EX5iVprBNCqZ/sTc18e8oq1kUUoQxftey/lfszbUA+DV5hgkKs0ins0Wvw+T7/h6D
J9EtIG8xsisHA558VtZ0WBrUxFNxrROOLpJw+Ipr3gRKv/+pYfJ3FZkgen95ZLf/vN6vDE33POh4
fx8aPAYUnMg5yeV/vw/djRQcWcNhbyGAvJe28A09gzq6tdCmjQ9Gs2+Q6AbGjFYvaCSzY1AahVdp
PMlN0+r3fQPdADuQ7nFJrnW1POgpo6MEWQ1ag/SrLftQo9i5GcmxDVOeIOPTxcPgxwRE6an9w9il
R8Rg8Actd2nR3U7ZdDNmwH30ut9QQIVd8WQUiKKnNY7eZnbfJ3q76/Tom4FbmAcM0PJMa5hqsPIt
FkJcyOsdGgWbKnnuuvpeX6WVwhmOj36LQ+xK+0L4hgfb6bp8ji0sgKNqUX0bi9ZqIkMuC0zY4mg7
a1eVUvlWo8N2eVKy5Q5nxS8wKC9h1OyZmlyWCP7RugHz1nyZJvMrHD57M0/ZNfVpj13kYCL2UTl7
3Uye6MNft85yaSF0WcUJ+lQvSqc+2BGXl/ZVa7Z3iKkHGt6QYlK8UdOajWZzGwDPtnOf7VaSRpUP
P5IGmZl+QekMt/k3zOLCi87UcKhddMzOs77xJns5SDFeKQ7taNBo+WYU2lbHwbDIIwQE7rrS3tKP
sRghj1+aKbrl3PYZ06Y8LTcDzjnvADdKa8SlU38oAAhtVMUgqn1pyultKJDq6dSvcOBpjqro9o/1
czQm/ozrmtboJt2GCBsn9LFs94HltclMOFyo59MzKDzwWrtZHa4jpOJDlArxabyjiqVitfsHoXNq
iB9VUVx36nDoh2nVo4+8alrGjZDobrZauc3C3EMh9SXV5VYzKPLUKX+2WZpNbD1QV6vIu5U/qqZF
lAfFk6pLEU0GbFak8rsqcWEL1RBeJPLDVrmzxYhcavyEUMm9UTzZbbvcpHR/n4alOHSZcQonlOid
eXQ3rRWNF4ZmeYwyDpCHPKQ/9zLOnq0+/ImdxtW83KBr2BmI1AtkMKCOqSdN2vhHjssFfn1PyMaM
q0W9hwfT7RLax2Fq8EAw/cHUb4z51Dr1FdO4bdfGqCEac3U0sA/vexRceiu+lZi07qJU7ikfQQFg
nct8zcz2Tnw7RAJpymKL0GZX6iU6PWCVHfcWleQUYMD0VEMtXTLrFQ2PHerxOb090V41rlg9qrOc
ZEbfoRfkdQ4st9zxESKiXtuOtTgVGEOIyvBzdXlUnWI/aPmmlRggMxx7UhK6KkoesDRsTwXyd6FX
KIQMQsUWebCuq15cxppNf3N5SAbNRELa/prAi8UnwoTyYkJm0+lyINiudQFAzm254P4wlOOOevu7
NRi3IkzX7aTduCpOCo00bxIXg/XMfSmz5iLpzR9VJi5SigE6rBAEtKrws7zcm6U6HnM6rH5lM/AA
gn63noHbJVRvIrCAu1LcttayVTuVJw8QJFKVC6dOroqkHFE70Sk92sFHrhzksmXemm14KnJUT1DV
v0+cMsBkxcBrMhZwberXynQ9FB4eCzS6Lf7CQ+rYzyk/vXmqyLraB3tpb4C+fu3not7Hoo/Jk5zH
ZZy/2OMYeZML/0EeqihEH6i9VxX3ZtGbr3g1vGhS87GpPKpz/7WZs6dstotA1nwPcDuzgqHsgNun
nWh3s6HcuQ6PpyDZdOzyUvaAfnoYJdgQVFjK2G26t53xYlQduMZ6sKDQp2dFgN0y1jPMdMY5vCjr
WLtqQnZ+CcVqKxrnJ52Lx8kkiaL3uoNj7CPCDJ4VD4Ydaj/I+oly7yzuN60HjNt0LutPolZvxchH
p8qDVunHlWy3Y4ddo6D51Lgl401ahEaBhpZadAi02mwMhBpjOX6lNryFR3GvjM5RHeQqVYzMW2pD
HodyolXRxRIZP0lHzQ12Hrknku648FiVMLzKhtFvM5SbjWpcyCmprhQFmfq4ZbSPMtZOV7MDW+9C
ir7c9YZy29YD8N04ykCmKFeGaqLAHyU/2qoOuiW/g2kHgUuJTl3eB43NekCBMbazXWvZV72rX1SL
cTl2I8nvpRVjgQIwfF9hSKkCcbbMr7haPIRFt8NSNshmVEBHZAorgpBahb6Mw6BGTKyuXmLEwVFc
fRpacTHlridz4zB2cj8ONbJxpSfoL2zpOF6oybQ6lshNZn9pwtGDybKfk+umkk9zwZAEMwHYQHAf
xTOp3A2OE3RCMP2x3SCRIdSZLtwvSrwW5O29FcpvbYZ+c2xMGRpyT47b4pkBohxyaOmik5f3R2Ef
p0X3oGomwPjbk4L89jwRuerJ2rgpW14x7Vtzin/W8yFC166y1Zt4eiuG5Zr2v59iXtOq+hsZOOU2
Mud9Lg7kb0DDkzcMfH/EkXGjWxJx9HafZNG9iiq+2sfRxmzdZyeF5NK/STLxZiZ0Ip7Wme212Uxs
wuqZLfLYzOalnb8MDsj/oXyJmJ/g23Ds1f7GphLA7o7wEsZX9AafoOKd2q66tBEc6KEGznVx05jF
SxEpuTcrxqtrN9dDr+2rab6yo6TwZKpvU1fsC72jp9J/65f+GYrULkdUifHFd/phrxhwHmIFckSI
FrlG06kyNxbUxA5UZZGLbps6mzH5ohWXOkEBT1SDsNzT7JUFnfAeK/kiGPUrzPnwrM1vVDf5OTjD
TkefAE4t52dFR2kCnZ83MEXVK5hDIYzfBsm67NSWFrQh665H+jUGN5YU8mt8VeZHrXtIgU7ojeLX
XXpd01OloKo2+sCMN7HRkV+0XRnztdJbOs9lbwc5XlxV0f0AuHSIE2wfVh5tqx2NAslba8ov3Gat
nvODgT8ATc3HdmpfMY0Id9IwCgiBMZBvpWO+Lhec6jBWQHzhNC4uWtIx0v/IGZHYoFkcYO++he54
meFbnEkNiJRh3mL18JVi8Dt+UU+oQASARYuNbbSPKNbuqzF9TG2sqE3kV7UhiCaSmeV+wB4Gi1ik
f9A2Nou7pga6F3bBLMydPaDnF10Nowl9Op6OtFqRqKi27viWx8UWSIlsYIgwOQxlcpN2l9g9e1Zu
b6e7aYn9qgMLXd40IeRJBYwBqpQx50dCXd7f9RxF3kxTNR0DLG8iW3uKRvUuwR1y7Jwgie4RWgzA
xe37xLhdGPfUbX+c1OI0iFvk73Y5xK0leVFU3JYakW0qFF7n9HUc5d4atWNStxH0pulyclECHRuU
CstHnJLwp40uae5BM6r2oUshUTfAXI+JwEsgd+4tcE2OIb8lMDbAb/QeZhzJxiF/6BX7KZN6hUDH
Y7NEMGWVi147ANaDoEXIMkhJp9C6bArriyjuB3MXVbOBSUeXNfBfgScRrIuHSLWVbTn8J3vnsVw5
kmXbX2nrOdKgHRh0D67WJC9VkBMYyQhCObR0fP1bYGVVRUaprsmzHvQs0zKDvIELdz9+zt5r45Xw
mQp3ghOZvv10EOhOz6Xn4qQC/8X8Zyr2QWDh+dNrv/3mDGnxVLWka02x06Eqb9Vn3rberZ9wra9T
q//eDwVQ6tTXt44D2xu0aNCDQvOWpueM6wI004cL4PzOszL3qEN7BYyWutnON8v0qWDatpYGLO+p
JzFJaW30mlEN7yTzUbFIuPevW3woB9SJZreMCPJazwmGOTDcvSFUuBO1rf/gV3ofNOmmdy1z9R35
IS2mmcS4L9za2hgCYJsXIS/U8yQ76pqo77nvUR9TmI2Lvs6buypLrQePT7zUfCb1KomGPVqt8lj0
drjvNDKiBTbr2xwUwSpQhrcPKw3ge4YgadsVZXXOiyRcc9aADARsutdwX53NXAQHOtDNwe8EJB8m
TWAKarinonDLc8tofZmb6lx4Jn7uUOnJPS1z8aTXuvoo4bKS+OYGm9CdSFqALvwCZMO/JFZePXLR
Yf14TZi9e4nbfdOk5QwLSuPkxu5b58Hxk+gKdULdNYNfXoyhdq69nYw3deFHR2U/9bGzaDxQ8/7U
jtegMOxHqKYKGGuszBfH04bNSFI1wv5R3tW96HBxTuKkODBfQb6KXVZ0Hu38cXxP6im/7eTQ3jqY
qG9Ihkv2WQzVgBb4PLWAFhwVXrcxVA7ymLp+4VpEraQ9dG4rMI1lYSfgsSMySrL5gp2nKsa1Hga0
e+VA08yKnGcLYfByZHt6TRxpAirprJ2dCONIV0ixp+Qhw4T4thhfxwjSaxw5y76V6sbETxYuykz1
9zC2l8og905lpKgZ+aqrpg9HJoRaDE2H8ifoHwLNffTy6cat0hc3ljvbIfsPlY89dSBQ23inueMR
vvY6Loc5H9xZaroXrmzNXzuK81cX3wat2gMghCxh2N9dyWFmJm82KhNC3JfMVTdkr8E7nbMOeEIj
4nbPdy9eaOvbPKhB8BcPZm7vY927SLvDeDkto8TiE3fbPqUvDY7UaP11qTXfGKtFCxXGVJSZ+9Db
/WOgGTelovensRPFUXpSo7YPPcWEJuz3pVHZK0cz5Q6KKJPlybxRXrdAtyWXRZKv/So6V/HQoJ6g
KG9iAIKmvelrQn4azVyV66Z7Jnxh0RbN0Y+8Ba6oTSjzzzJvHv95swMdNc2MvzY7GLI7yGaQJbuo
kOlF+780XXCtUzE57rBz5TPX/Pg4jd14Mw7k+DDmUQfdzavLWITTHftTdB1i13kwsLbd1EFF2lbj
5iSqpX32Lr6WCqmv1aOa148zr6RoXlPpvLqqeZ0ZXytuXnvFFKb3xBzSQClYmt28Rr15tSLhmw5y
XsEEI7KY4fk3MHJS7RAGrHU1r3pvXv84ssN1lk3VOfMbf4uXbk5JAy6yhzmnVjnm8VsGa6TOz3uL
Me8y0CKGfRiw8+gthO7KHqwH4Sj2JaOhPg+jqL3Xk6K5h3mYHdFg1QfYxO1NOHEb8+edzgxolqOK
1Xlc7IMg8z3MsYXxw5x3yVq18Z4w9oVPysc6/dpMu3lf1eIQu97XZgvuZ9ip1IteIfM7OC6Uf7WT
1F9Hlpk+wQ7lwjAMbN96NLjHSg3Rne0Xxkfga+M6Q7hplQmH/NchAIrS2JK8BhdqPiOC+bQo5nMj
iX31qc9nST2fKvRziidjPmkQuXDo8G0W+xByw7qazyRvPp2a+ZxiBBPtx7E4FfMZFs2nmcGxFgex
CQR8aqbvNAmPMJDIt6lMo3ka4Kt/81TXogmLpfmsHEFTK+tM9TKAHGHVWF6yKUMaUCnv5rpzibuZ
Mgo4EyXnwhrzi2hkfkHZFKNiMaNL2fPmWRjB4cli+dIiHzV/LYI3O3OAyjAamLjcFK2xaRxd1Khq
v36jVXPPF5kHhXgMNJHzMuVRtGyKQt4WeeK+eZVpHrOETWLrkj1U4Ye2qRQYWuYDlgk7fbf08q63
JFOPEuFvtYkCi7qE28KyqzQy5PoMAW3SCrpqTjmu+6q6Rtw2iXC0X+qcVk6ng8qPYUOuJl5fJbuM
w2Zc+1rwkCTVg2yB8GsDESmTlmcX3HyIMrmw/+AS86x5unO2CAZdN6X92MeUnr1mWqCCexCQbeRB
8Anl1Rtc7eTFc8KUhds40NP4QehttGCAkhwi132IjeTBw059TCo/3REw3TC90A+hZcAdIhoh2rhj
T9HT4nDHj/4aGzq9EiP+VGrOE6imiKo47damoU419cdiyPjfgWtGy0T035zOKA454+pN7o420/XC
3FZK1iuEk1DDJ3vrRQWGoXzQFhGglw3NVNoqev0mO/2OutBc6O5YLag+HstifEI5lt8PWsl1zJPR
1u663sNNmyL3FSVI3RSVIwy3EkiFYZCj5ZYbT5By59l9s+lN1lrh0dcMmoIbWKhA6I/N65D3Yq+M
NP4WT/mrY0gqCKestxIENzYbC/bdJDteK3JWqozcxdpo4kVbulDnA6KrZy7MsiViiNPRzygtSp3r
/K2DGQ0IGRUTKSlwabygeCqClm9YcWvFFewuG79/4M85+9ByJMcuwv7HxnPzY9E6wd4sfX1Xcuye
i0B8NxBxPqSmNvEWsKEAj//OLeYzsVxYwS7SECMWhF+F9oW8jgQbOc9O+tF3pLcOMSlkkKYVcQFU
BVAMVfyulPltkC8E6ZwR8vNGAIJQubiFb24SnJR/us10JTDRpRTuMGzLFku8Bu4U8EMcXpraJKQ6
YXM0dC4eMGA5rJjt3feGqT/iKmu4vRofY6Fba6dKHgUOPAP14VpjHM3NuCR6NDTIXhHWUYkhopfM
+hprDgkQi/GKhvQF+KEJW5A8kF1MWPEeLV+0C4dw+pZ48yWTfNfNNOJ9JQQQzfQyafvpNYjTbAXR
MFqKDv4ugaXmjWgTsmsiZe1DzdWP0eAne9nazU1QiPa2x4986wTa+B6w/xwNsxK7ca6o+rm2quYq
y5rrreGr8pprMFPDG6UNhbYKvqozdlz7EfDceK3n4q3jiX8dvP/fJlQ/D6j+e/ujuLxlP5qvOdVf
5lZ/mlT95V//F42xIEv/VKbMs7LfZ2Dz3+K//nP19r1++w9IpP9xeQvBku7e+h8y/pup1tdP+dNU
S1i/mfOMComssGfLMDOqP2FJhfkb4fRMvBl2MWw3Z9XZnwdb+m9I4fCVORa0YddkGPbnuZb+mw4R
T9dtnZnY1zTsz4O93wdIPMw/Dfr+zkDpl1E/1TcwNm6AQD9x82IM+OM4KUlac7QCGawHoBZJMm6B
qG8oOKC22dufntPf+VXGL3Ih/u6YzOax/SyYYjb3y+8KM429gj4WQLligzP9qkgZa1KxyZEaTH71
kunOsh2efWujiekmzCYwvNY3ydZixuNxlCXRpOa/Uh/yJH+qMedvhE+FtMKzHP7B/dUjH5QxxPqs
CtZlpNYt7WnpEqAymGJjhDUYDgiOWrZ0a9QXQFX8sF+pgJZJwE3FaRGklHf//DGZX8/8r1Xv1yfy
TMtDTMoxD9GW9+VnEWjG4aIBkwrW5FVEWzOx96gS7CvW5OBmjCIYMY5GoIvsOwLE3Ql3Dp2TdnJo
aaS9vZ+i/FUjkOguaA15tDovONp2vCdhcsONqV5R176K8UOSuta33MOK/OzSfUqHxej1dModDG/h
wsdTbTV0ggGYMGGg+TmtKi5UqJ7POoF5fknpRB4g6dxnP+02gM8PrnYdzOI6BdmKfKmVXWHY8NTc
dVnBUuRiZB5CN9h2VXFqXHMXZzkjyW8q0/ZaVC2n/l3Ljy77KOpv61CqhTTtXeo/9V3/3HegmmvI
2styFHu7fYLOCGWHpM2+2Fqw57JGkvYW3tHWjUVykZ6zRLi49BwFriE4OBF4OjIf/ICUVweFXp8f
gMxvxsZikhrSU8raTZV4BLUOzJ5MsUJajypomLXa5z5yNwg9RjHAGeV3EiZSFv3GqgjicZ5Jdjok
GUxpgkUM6aByIL017jchiJsE4H/dDMtQNjwefo1vk0A2XIvaueP7pL1h7brWJZFq6JHyYDakBDOq
90jcmHl1ykkki2OPjhudad0/lDYrs/fWOnmXWnyfDsVOqy/kR25cP3rrsd7b9ns1Fq9N85HjRw+Z
B0CtumnQCfpzxiwFPFCzzBObmNIiDJruAg64vKfH/BqKTDurim9OIH7XKOWvQEyKdhnyapltQLct
s4uP0KqCOW6Uh5b1ZUIXLJc/GpVHd+YUFm8+6aMUF+RhIc100YKQZ0eaxL0wOvORVJt+3xB+8EK4
Dw5ixtncEeasCkIdw6esTHMAgxDwwYdPzFNTqE6LwOmye48u/MZwG7Fq60njlj0AmORTuOObUyu5
y52MjvZY9eE56sv4ZHXWjQOc/66eenFtzaza/N8h+T/UevD6z2rYf6z1mI/Gmdb9y7H4+5/7Xezh
/GaaaL6Q0QoTwqtr/vlY9C3OPhxEWHp494T+s97D/Q07OghTfzbiUaCidPzzuej8ZnCY4cTmtHX4
keLf0XuY/q+aSdgHluWxdvFMcmT9an2fvIb5lUoy0LeWWufiLRQx6QJxnV0iWwWnWNIuAnf8WJQp
igaYUtuKsfbbaDvinHjQu0fayaRUgL0qh9vc4iJk595jiOEFQrKPKaebjVsKOtCQ2v1dXzvZYjCt
GptxJ++bCBdK4tc1w2KbAUmzNBv3rBp2BM+JccUn3Ar64K7DR0SAFbexNACDRjA9UY/epp7FXyJz
Tsw43DcRGyT/UA83hUlp7vnTWWYTp8bQ0v1HfbfomTKANho2Q9OX7ELeZqIlQ2e6yyzSUakORkPM
eCBtVfjDXRXZO77B75yTi6HMTlmHFrcxrwj2jkVdhkt8n0uYOp+OEY8HLQrmYVLqTVszqu9jnu1N
EWdUAZNWbkcRP450011tOHUOD5NwOuuUKP7KsZVeCG7fVloA+YUWq+V0DMl00hvjsf0oTTVdgqeG
PWfRVJAXgYIfbCOSF9rIT66jVrLq1tJe4TGwq6Xh5Z+tPQcXuyhQEWSMngsFKXmo6IVHZUbQl2Cq
C9BnoXP/XmlTstNUd6eZTs/0pBkfu3hy9pbI1iUz01WcFmtVMq4fRRXSDA2je5ST18jq3wNnvu6R
LLMZR+XhVMnsG+eLvegQqKXwqS0VA6+t1yJtQ7vm7BGGqAcrK65WOmf8GhZ9vySL1L0ug4kLS9OW
W0Sp4c3onv3MeQT8BaOD1MzboSb+CMLAOdTtm4i5W5q6z6FUFzh3atl2VHLJUJ/Cutlr4Pj0KXwe
QnBWY7xWjiL2pWsudU2SXX6vQwxc9UhRd44oye0DyrpujbU99ksd3RzBX5a2DMaJGsSsLqrXT6kz
UDTgoPQ8D+msmpUmTE6fTFmOkEvRfI/u/LuTfUUgTU3wySPUt3jJ2e3A61mYzQZVDuM2bzC2FQC8
3DHe7ECj12f4nzLxzxY5QbaeMaeobq2W1FVCjIvUvNZTZLz0mFJ00BLx2gbRfO+7mKcCOIkLU9GX
tdCx3kyR5dwaw9RuYt+ItuRuOx+lXXVHUIVxu2yU497KyioPVtCoI7H2HidKFaEizcOjBruZgJK6
2wPols8JuRpAqromJgicrNwoIUBQMRZ4aMRIvFXeNqgpdPUC7hfGQzUUt5FLTokQuXxNVSDuJxsZ
s9TTdOmWuXuM3MI/ojl0OduGYdMaxjxqmMYzXfDsYWrj8QF0W3dI9DJ7zCiANlVv0tatS79+a4Ne
rCoj6sGW+c4Zxld5ojoY7hiSWxfHmLpDC8vsxUhktxZhMQJB9OnbSTfd15Hv3Ex1Ef2w7JGTs4FY
/h1lacaNGD7qeeqG+IzHYDg5MGiPMvAMmvR9r9963qhfB6uvLhDvjFOWFtEjqFQfaYpTn3hVxMnS
Bv1ErYBwFusHPaqsFFtDmvLC/SBkfIpuMZGRnv+LYt7S/yjT88j3wIJIcgAbN9I/7hl/rJ3TFPGO
1Uzh3gtDeSntuuj3SdM3l8rKafYH0EZKYxgWZBh1K4P0nNWA8HvtABxdM9F9xFqibaSlKlZBMvdd
CDsGJhXrGzqSDeKJOHxpgw5zPZ54h+g1PTm2enYRgYvPo/Kn29I1cvLDPHlWgBEXvEmPTjAS9kip
vwMIkC2Rr5IJqZyHuqZ133VDduN2IZa3gYTIh3IYTA2Cv6LF0IipyldRzg8GhQfleukKYPz5hG9i
2aA4HLEwA/5c97ATX0AsVvGKCqhYO5ORP0JW814AJBwa2cI2NSFmCQ2sXEsAGlqyMlfOsmpFvgJ1
h5Y2I17AClElZEbLp7Ku5dieorK+DyAWI+kn9rAfnQMMkHE55UEMsBgRiQUDbSmGRC2NCPnVZPfH
oC5OImb5x7FCbtCECIljHNcd6WKZQ/ZiNbjhR9Q7wyHvB7JNUQBDHHGdS6EIeUbhJDciSpNrObkE
YREUeOmmQWz9AAl3NwneqgmU+mkoyY9XXdIQIq/5587RCQPXQ/MUxm51Sbn6XgvD1W9JQWXAhDW1
PfJdjyegSTGegNY/Gy6p5wsPg+F3ESLsXHCtj35gSMmXYx2Mm3peKWpeM968esx5HXXzipKN1x2i
YLQuqZaPd2UVV0TW55zPUdNfyoGjEtN/g5knQ+VG0Q/ic17B/ryW9XlVByLNH5Azj2fH4PRBzTJs
qnkfQKPuH9VEf720ib/uq3x+DyrvHmmQfEX01e+neV+Z5h3GnvcaZ9512nn/meadKJ73JJ9U9X1K
6/SUhy5b1ojf4Rk5Y7dP0mx2oA3hkbzbiPat670l0lTHMtBKJiqpuI0yUPczCaA7UoC4H0QiRNsR
HTzakdi95f/WbroqdJcGc+Z1HOMrRPGoZlFQUEPVbSafCiWl49BsPD+VBgxBkQwbgl2RHyBPcrOl
EVq1wmMXZf0lF4m31J3KQa4u/GZamT4DVEQPfpAc8qkJy2dcLTX3MictW7xSVtruirDuw5PJtQHs
cBPb9aJrvb5DfJGDh62rGIWiHhJqCcY6UuHKV2PFTGZyyO4bHYfeQm0DbGMZJAU4s9a6sbTePHvh
6NyR5E0msW816xoLwLWZaifFzBpk+hamtJRrrTawuQRJ4SOuKoP32SfE3dCHTrSoxRRp6y6TVEB9
Ms8MBdvmt0nCY1tyOTfYWxQxlLxiRmXAimnNa9pWPJe8uhOBmqBEJChpGlUuWzPfNY6nbxLRPrb9
yUVeRsK7foaQUp5JUwTIjUNmSY1KfGiNsg99bcbtSYHr9kNCVotyWKCOHhbgwl8xHAwbgn0/jJyg
Rq+24C0qk3jSargA8TaXblO/x+IdCZ5/UCaUZVcokzYBx4BVVPYiEfpWRAVTH+OaMLlfjdJD7Yej
O8oEwd8ZAfRdZYtj647uThYBLIfYIqxcu5KEy5kXG9ZJ4/xf61P5IZtCm78jNBGqBJEcDbcc54+T
Ucafjj1EIOIZEA2ymI5J2tKfGIr2iVg2tUqMSn3SB+UdBF5YWugvW50EZz8W4f81Q/+nmn7uULOr
8R/f81Z/SWmCdfu3l735D//eA507nbDdZssbDbcvGs7vPVD9Nwz0P7VHuYf9tQfKf0H5T1MO5zVw
0L9e9miPon0no4juHelMlv3vXPZ8rpp/6AHi+bWQAePuZq7moe7/Y9VQ1hrkj9yw0RLGn51wL6J2
tqXrPyRBieQvMdZScV/rGZYxLCUUw31hp912/ms00K4ytPAYRNNT2rlb0DcbAzp+coL1cmgHFOUC
CXDQn0FkPlXIN9M23JSTs02meqcTbhvRtJEl4+el23kbl0zyBGyZTOqdXcl96lp3bu1cmJRvh8q+
swMDcMJi5uAxwtyo0geeUt17Wnk/oZMMXIsAHHLoM30h2/dJ3qsQC1M2bR0CoYU9nEXp7TlST2AK
Lrk9PpUW5vo2v3UdfV0qgmhgbyc01Fj+DxM005UX2A+NywB5SG6ywIbJE83TNKfeTUQ0L5JQ3rWh
2Flo1ZDW9q9t7QMOrb8lNo+MKwmAdHfPkHIN4e9Da7lNcl+0QZH/9Ob9vfby/CX93Db9+hIF4SAW
vXbemvlC/5N3XmF8bSJk73AZkWjn7hf8IhyqG0epG1FD94iidJlOYq3BmEVb9i9cc7/aYb966TrU
E3oZNDUgqv3xA1CkeYVvklQFcRgUZnzyunoz6hx/vXKcdRqZN3aQutsumG7RPj/1eWyd6P5r+8zl
AisWP5TV1puJXjNocCveCCPI1kExnUZZ77pqvjN4obbXW0aGwMqYNslstc0HNvuUKSGFjFwPsLgg
gbuLoggcdGbWsRrhxkXER627xvxQQ6AWwzjddXq8JZQXZYNpPFuVeQzEePaS7kgSdXUoqjI8/vsN
s3P8URdN8dn+Og36w8joH/5f/wutT+yQkF0Y69B14h9MmsY/vbd/Mz46vX1/S6Oft8q/+wP+tGt6
7HLsfowBIIjN4yBe6b9MjuBu6WyMxBwDPmCo8fumaYnfcNKyhyFcw0cJSeIvm6Zl0lcTHiYAdk6m
HbzAv0yK/tnkyJu9VT8tOA38K+CXGSf1x/fcli3q/bQF4D+IbNPx4dkxSji3S66q0OctP5+OQsu9
bYczinLXEYfC9KJu0bttchnKiW527imHOHne7CdHCzrYop56KpPMt5cYtMnIqAEfykU8VP6V7lNz
J1LdHnHYZ4yPLTEVcbUowxDTfdkbjEowMNOMn12k70hwtXLfMx8+N6ZjHeRoDG99oPL3MkoBDtR2
Um6LLKeghJnph8wQGmbc0GXc11ox1F9YhT+qrdJbnCmmlH21p1IJtFnJbKODLo2kOiSeG9+NyGTA
PU919eBQeN13UB3xpXY9TlRVuy+mSrPbcTSUthx7MyWrOKEO3JgK4ws98kh/qcAzE6RlafREfG6v
1zGPkaGQ89F/JI42Hvwksw9GF4ZXZyaCVl5s3ptO0j1Tazu3GbTNq8jYVbTW9nccJNO218d8jYhN
BKeeYwOxK45dK0SIbHK6eBvmRpAEQrOLPuZI6minyQa5jTRdkpKzdJiOpeZanwPXSxpC4fQjHrIM
PH9YVi+Tmdo3fqc4EqMmwT6b2Un4KGzZ085khnIbISO4UN6OwwKqNXIYYvT6bSpjyvQk7IdHrNLa
EzcdXE7uIPRHD3w8QXsuJol1rEn6C25kvifGQATf5NG0M1scW6MeNrdZ7mpoKhAKi3VWBv4x4SJw
SvII2VBlMdsQSRVjREWJVC8I0WhfSb/TUMbbXfMjJNLwwSE+CV2Y3dJO9FrNI1WvQ5ZU1ihRwiKX
ctWSfrpNidbwb1AuygobV5KPSxK8acopjZCo8wBcPiavqCrsNcJ1zdpg3BU/MMsG9iqSFQ7iMsnL
ae3iBTdQk2YJfG2nLl8nW0bf9FkY4mbxmN9kzuj0C1aNangYMhtwwIiOG05Qj90yRrnP8+tpyy4t
fhENR0dFV4drfs3Td8NvWWMFn3FSCnWopYmlKSAsHv1QZ3wwHtSzRVS7Rr+1sgAeM7+rhVxfW1Fx
S1SHcer8KA8WgZTePhqG5gPD0sjNpuzylR5n/HtjNtrJ0GI0XH1HsWMX05TctlHv4u4ZA2efDCp7
rNrQ/q6wUb+MIWJukk4CUa7ymIRyQ2eym+haai9nI9W+jLg8LKKECyN4dNe1Vwy5JHe/Im0xmvth
t1H+nIUVTcr74fe1y7ir8Q1sMdKhRz224o6g32bf06eBtJp14z08oubdr53mOUki/YJGdtrQJG6L
VRaNiKLK2u/vMJM0z+hfnUXtDMVxmowK9IKANzB6CTrUuA968Id+i1CniGZmUS55FrR0CQNJ+hKP
RpMecyN1ojWwHEyJCR2Xfd6G2AaMwJqwR+a0EqQ+FChdHXqbfSLctdsU/Yc/AQxeGAmS62WrpvYs
U6murj9FdEwD0orwJKhxOztjtkYp9T3JHwPZU3yNL4QbTd9brQndtdnq6qyjCTt32AzPPj4l2pww
tK5DVsb3fa9x85O9a+z1AfIoMb31NfaG/oa0TsRDM4RhFRZd/q0oIrHupyHaNKRpPtAgzglvAza7
wUYn1ZwagVS+1bnPMwNIXvN4KG4SWTvrZo7VIgl33HdBPX3vlFV4UG6jwtimaWGJhdsrvntmtRG2
zSEsX5j4py/CCM3h4AMsI/BtFPWCPbx95NuBIa6r0LihC4OkTLaVOmjOOBBU5jWWvy08yBJBrHFx
1BtrKHlXk+JdMjd/aO2Ol7DSO4R61HjJK3a38ptTDbj+qqouJENsuyWh0p1MEqLBNueLVtTkdJul
Xj41iZGkV9MriMBolcWmQ6FarQgs081jlCh9WPU8/gk195yu5Zaqx0EqB8tGM68a66asyvqM94pJ
6JD7inSRkFSkuiKmaYzC6DPS6mJVNnr8EJp1I8lctzhuhEwZCVVBEi1lWIg1KnIGAWFOQrSd69gm
tQLjgN1XNMYtFchDN/TY3ZxeZs1SFm1x0RMTuaIRNowpvGC8HcoKUpKGPG7bAzPdGzQnaV120l7i
J3NGPF9WcrJqQ3OWZtFa3DisCHj2Td2NzAIiijXm6k0/nQgYKulaZMz/9crWU6JHswThbJqvdWkd
hzEeEBjIjj9V8AnvykI0z5b0hkMLtN9agsZ0GFOkcyxZMejxKqQVe2DZOMVzRigOcSVtsxOut20b
jPoLZcgX6dU+rYL5xoFVAUVb7stDZM0uCSMhDHEVNyTSLth2cvYhR9vWxhUm9R0B9P6CALTpu+Q0
4KCO2weZS++IdnRkaoGlxM6b9pqTQ/dpc/hsrbC1DgREv4l6wEbb+ZLYeivcmW3TPFqjY+281BEs
XSlhg3gGRrXYRyuOgde/7chLw584dDQ+hVcejKDN1q6KO+prgzG1xVSQqV2cjCf6My0tNziqfh+k
Z+mwkc/uzYrwnRFbxpKhmtYtWtcI0mXUawbZT8onlDqu0v0UN8UVvYc8jLxqJ89rk+Pkx/axizoG
+XHZNd8QKfqrxsm9D6BCZs7oz65u7Ex61zzTxS5pW5AudklKrjlq5neEwUSn4/S7qxKcwhXBGfY6
S2nz6k5bPuokkaNO5usv0H1/y6JUzDNIGDxAi0J9YYhEXPLUdz+MuOWCWPtDsXTrtpxveSgs2qp9
qEzEBmNolLcuXZ9zXicMvIY0QbXnNGJtFSLCKq8jZwTjabXUXKZ4xfxMy7gACPHo2nPzzhmy8EcQ
VRF3TI3pX1eKbCkzViHzxdbgAC267qW3lViLnm6oBnBVZwMIwheBJaRahHEPpd6NtNcUyUaMGDbh
cusn7jbySoET1bUO/jikn3ze+hamuXr3p468iKlUDeVZzGwKI4jXPvhqyKpF0gxOsrLC2COEkCvk
nRfW3kYgHnma4A5sRJVnb5DyKDXKJh1CRgXB0C4IxcrrpVlZ4ZavajgZYQhBn85nfRfXFu3BonRT
oLyTZKcyi7GVzBKjOj6IROuKbdfWdbAv6WaFtBNHV26kERmXpiztZ1MMiA/NRk/VJiZYgQkz8BAo
52btHeNQMM8F89u0q37w64hoen2ylp1ZIWQJ1FC/DG1cJytYjXqxjCcZnGNG6Uw3WpdOm5H707Iw
4/YtJFDLXAwASq9pL3j+9LptcKNZ0u3MMZNPth1V17KSDWBy7kPXRNn+qjf6cKkBLjjGNCxvjLHT
f8S4UCWdgoY8W85dElWEiUeE+XPt3CNBjiNQL5QEi6FuonwdxkBYV4bGFebWc7I+2Ay9Y++ENIuC
maZdkpaJ8tOCiyfbmevV4NvjWwjD5egXYuvCiL5KaZbVavIHb1oUvrQ/k0zzGdT7mvHoO5p6iz1N
/+55sutwpk2c5MBRWiwqY5IjR+oqaAgySUpsXm3EvEeGn2ZYxNd2Quaq/NKIN9SYE+EwXox/t6jv
voL0agFSjbhPz90oqrYEpyCsfPwRpFDpXeotXLcJ3vyhMq96Tomxpur1NWAtviPXIyqW2R4gtU/G
7RM1Wlfv/Ym/+GLqq2Kjkem4roXFMrE5l7E2jozbq0Qv3iy/Kk34meTr4d3Gxlua422hSwa/eVkM
CJpLkv2gHYHlDrIqug1kau+t1MP5gCmsXkCBxd0ge5NwvNoaPBKk+ZHhI8wVPpNRW+VTOQivWVVI
pz4LiWG5tqQCOqAzqZdB1a20BKiU6GDX1zVJKC1yrDVebEQAgU4FiDmFPKoQz9i6m7DKo7hLnYWj
h+VbJLX6mEKOo8A3JmjpLTNfZdME38Lwpx9BP05jStLzU7yoQbksPIC3JndOc9taXXCga11/KOlT
NE+M7K+c3BjQLAT8RxTQOYMOHeEYrgFrq2sN9rUKwpPgDFmHNYQ+14xSsO2JmPY2cWMLjfb5mtT1
/8fdmTW3jW1Z+q9k1EM/NRzAwRwVXRHNmRQlUbOsFwRtycDBPE+/vj/Qlq/ldGbevHZXV7XjvtyU
RIIgcHD23mt9q501Q9XACquNnYEI85F9AKywyE1BXxKXyE0TZzPCX0YkZQzGkZ9j+ezDqLnOjIZW
U6LHcKG8An9PWqjyylbHeKnlGJxmJjz9MzURbKfMyFsKy/vAPtVdq9yTS5Lpq6Xhuv6TKJP6w4A7
Bh00Iip4vSJ68qvMvvJHrWK4ZiThDlFwvB6VJEFNUPe3fe8dhqBm4qtitzNlyX0peobznmX2O6do
u42Rx/6ZZeUR592SOydAtU2LUprrLFLFQ1GOcP4zmVnTDj3RV4GqSlzIhgHNo/ZDdrORVD+YLDEb
ybaUKQ+8xnPwBFMQh05xXIJlnQmyJmvk6GO8xbPEJlpNZHaLQMJZsYWzDhb6/BtjzPQtHgDlkFWA
IjpIWsPMD632tlByv5ux8ootMExnafdtcMut5+HZIe5m7sAnZ3n0JatL07qkeaXMYFO4ugzxA+vQ
0uzFBOI4g5zpZL+dm4rebAIZ6BcSSZtDnFWISSgu/GFhqmgUArWxt17iEy3rNWF9M4hY3qHjaw+u
4psfuXe1g0bI20tRBdUK64EHMUAMgQIowtAegICwq9eicGsWVggQAv4TAxd6GUnNeiWbRjBSdRJ0
4FOWcpMmyRqrPuZXjDMo76184cVGf6bEfNjI5kVmnpIWbFn9DIdZrDcPJY+6gHcr4pWqarwmDvcb
T2AcrQOy02ZDkwum7fhyAEEQB4djpz/PELdPJKSOhqdhB+mtlmjhyjJaknkM8cmmGOSpXETAkftG
qfeD0dt0sY1y2UaRk17HvdHdWzyU+S7HInNWkDDq58joh/n/pDiPcy/V440+oA+s47LvF6oV4qwd
hwBtAY+UZkG8MZF/f7+ReJsl/O9Pu4j/vYTn06zlT4Xn8wBBnURy/qZ7yEjly19+GbRY78gSR82G
zcmB5Tkher+0DK13tuagNrZQOn/GK722DNV3NsHEDFMQQeuwbWkzfhHV6eo7WohoXCx4oczKYcP+
jZah9rZjOCn90GeoE9yW+bxBgNTbzmETWHaiJuGAy6ks7hJ4s48FxeG5g82/prAs+/e1on7wIq18
YTqZPnVNNRCoHATN0qi6jK1fVi5tpv2PpdZmuzbJ/YXmyPjZjP3m4f/KZfaHzeo3Le3/ThcjQzDc
npPs/I8nf3c1hAk62d+LPP/xt19a2No71RAOwhzgh1w/01Dky/VovzOJ9BD4Irgupzb16+WovTOY
+iG7NOgIuJbBgXy5HIXzjh9MfF5bny5u/upvXI6W/f3ISIOEC82LPo+NcghIyNvrMfCGvKSbINYE
GCfx2kb6D1zGzNDfeLZ5rKiwrrSBzUeRR+oc4D6dQHbflljpRlWvOtPu9hCqiHprVSJpw6aYB/ld
Q65d2rbIYkBwL0hli7d2nbcfAtnUWzWUOuVuTVokaF1A5rPWMfGKk9ASkS8q1WsvptpM62K8FMzU
ZnFh1JswbTgK5oMBqchNj9az2yhpXr4ggkDiZ08sEDeRCEtdzblQ60bufeY6y0GEcqHYTbFKhB6g
cErksqpDh86pNiW+j+W8gJ+yxlzsPocYuxKS3gcVB4hnrLOhUW/sUcrLKLcKGOio4hO9h/Jn1N24
wzclFqpLNq0YbeLsdVoachYI3HSgu9nU+3G4TpwCs4RPbmnHZrqlWWY2zlUXhz4sppxGpGPkH1QI
qBdGpO6N0XqqXfWc7j4hTwY1+hBDwLXPRnO4ChSwvrRyD+jszxW+ORjzdr3SS+ZYll9uMU729SpT
rDgGjp7kMA36rl4ENEVvGUGwOaaY99QFknIYpOFZGbERyJ3EWHipWRczZ/KnB8nAcLN2S9g1aSOy
o6IrA77f0ntyw56O5+jkBx5tTTYfhWLdxgajACreCg+Xop5jz4ix6NU6iAmnnraqrhZtraS3N22F
0YtVqr1rGR1qDC/MKCGiAEuqrmh7lk5lm4lC+VjpNVDHyCSkhiuNQPK0sx+62BJnqYCmhN4LGQkY
pmGJD0U+S9bSpcpVuXGDjK1eZhISTd81fWpNYV3amFJnMa65D2Weva+dwX4PWNJe20kaXSfojg/V
AA8EKH48yykN94jN7D19Hh9loRUsyqrfe1nv76epwqosdGXjqkQteL4hrmz69SRcoeTF6B9xRZsR
4A+NcY6TBnQ/eqNKZ3EEIgqQmLYf0BvSXiRK6r62RSDmlYvIIyvkcNMzH9jSBdQOQosbY+mbeXvU
TbpLTEwNtDdViH55rJ+6xOv2XgpkCzeTflupjhIw+Mw65Dth+RRbXlHOo3CsijnsY7O4IM0bZ4jX
EamCjx6ApR1FyjKi1CmWXkcsALj/HkmdwtukptUdWstK7o1MKRkUKHwVRdTbwZImqm3MUgKSz0Y/
KeZ61SJJDQXTXlz6lywXKI0iKeRFGEC6dGj1H7p6rPctwVuHXmvRRQn83DfumGk7I6orwB2Fln1k
suhfqvXAPERooVi1ZQF2qLfVKdPaVs4Sj7z5ead1mcabpuGlGPX03GvH6FCVHQwaj2lPHWsAlRxC
fmy7swuEwl1+5eSddwnGOt8HiYPSK4dGNqtALK5wxVQlM5dY7kXowbXIBmuvBVV/poIJW+M/o4ml
5t15kMTJk5nHQJnAAIF+EcNdTufbnZu57t1qZSI+aGIkb4g53ZwuX3ljpjmDCqNFVgg1fI3ynHuL
jkp0QYHbXTHu6a8Yh9MqcbKynueubS9YUpeaXW+UQi03dtYGyIo9FZav2e5qWykOmuUmB2na5n2h
WB1MMzV76agwySbuM7HxRke5sYdGXLZM/O41r6DdqQE8Pau7kFYWCbFncOe5pFNd/5QypVhkWpff
m5mqLZS8L+9l0KBY06OmnsVQRJa6NkBAQuaE/yoKVmoVdFBf/Apffhm2MwVZ5Y1hJx7Rz8yRZrhM
h20WpfreT+S4HhLLXDtu7SAoKceFr4XQzsrGfUyVCbNfieaaEdWEy5qaPXVnP8pOS9aJXwYrJF/F
hbAw5qDgn4BbNUAzTSRPKOrdJ9dJkkNjtfSxSftd9CPZqBHKPPJ26S7NHcUW2zKa4M14hwmviKOA
TJy42eUt/e2uccqtMWrJIcckBApRfhRl78yttNrlTNHWNk81QIBPuT4WNFIb+9ovJLKuftg65PDd
FmHcvqQV7XGoKv26LicunU2PSaMfOhIlTt0Jrq8kTXqlIDL15zUdhH1uK1N9roazssmYtzqkqnkq
2jYTovBsmnIZ+mMJncVspHKuZe0m8Ul8tKV/3is4IFiql9oAQioJsQwioiyXdYlgRuvjNKfrUMMK
IcxSj3eRXlcq7mdsDQEZICBoggacZB3G26BhOjj3NT9dlj2zmqAsn9gUszI35B7MnU6HSTmqmMPK
ahwWjSHGpSg6c5W6SXvNgNZMlojN3E2v5QhZMY34sCPdWRde29NEm2lUdVArnmc59DBawyL/UDhD
sutzTg9iW/OWzS/R1X1unAdVPg1mvXyhVelwpnVTP4MOCGDMEUWHiB+13nuOeGjFiXcMervadAk6
IielwUJnoTb8eWFm3haRZQa0UtGv6SZgfggz9QaEC8ymUgH1EpDzxOzHIRdjxrjZWFhpr62SRgpm
R6ryqfdKa6eJjCm8CpeK7naz0cn8nOIXs+ekBnjqiNze1SIfKU0gs6tBepg26JNtZFz6beLd8AUk
nFPhJLMiQj7vCCKdjKoILjQfwSe/qC/8qtfWORGmB+A96h6uSPLYtWq7bGG+ALFXWohpHakdG4ZV
vcripBK4pOj63FMUomTo/yGt1Etmdb7TySVeDstYW6kMtqmRKtdwOX1cMb0BWKmn+ThXqtSCROWm
2TX7C5mexz6A34WSxIiuWQbmwVattJHYsqIIu0uGWuWOvmmMbVKXLwkrDvwZw+rmDO8c/OKWvNOT
JFyGbHfnDtHCSP5b7B0Cjx7/39Y3Ccj5lR4K4P6ZVJe6q2KbdITc0PyAhG93+XXVdZdKlmBlIamv
x5BRElK3aPoW4r1Kv61mazGvyAGYl1XXP3ey7z9BO3mupFk+2XF7tPJWjWam4WeXdCYmrmgDJdKW
cp5mere39RKTRg6JczREuci8wZ7bFcisLubxVKkNQ5DCuRVjh1ZbdNFSMFxeeOCPFgF9wFmcM1gy
YzNdBVUjz2iJdpe15ilrL+uUmzoio7UzNWtuCLTOVjh4z45eYNctUcOlwajzNTTJrTQz61zqjn9Q
mcHC42vrlQImEJZYbN2QJ1ru9ZRH5zwUY8h0vqbzLpj+7ogqalcVKZrbEkvNBy1s+yXKNu+QyLJZ
Mlu1SYPmwQkg1LxoMkLsldjTwU4qPg0UHcFt56TwTaXszeUYo5U1o1bJ5kJ2NgFgarACkUF2ThN1
iK7czDiznbJdamVvbJLe0m682g2WZQ7uolGEtzEHIwL/12n3dYkshA6LvomsttvK2MsONsNSbdYw
YSwnEKV8pOFWb4ouyq9R4NSLXkiYTTK1ycgbjXsedDiRrNKhOqDzvjQ6J9pJLXE2tgdLrvHz9JOT
Rs65VZnxXQuEfW3Vqbos8M8BAoXb4BaDsbLJfNimba4tjMhzedQM9K3ZDUwtobTfV2p9ZarVin0q
5hx7DJEHlg8KFG0kjsFFOyjvEd0zXvQzPESEpc8sh+GVzChacsueolfUfpfjl12WhKniMDZkh3IM
G6jVJMgvuDBwliUkkF2rkWndqsZoAkeoPT5Bb89Kr/J231SWP1D2id8p676v075T1pEQOIaMFINN
P8ktSaOJFkrr2iDWHEkIH1PiEKbHXeGK/hafivs4OG1+KYLRP3MGUbz3YCEvjZYNPsxD4a+DZshv
e90dV6qpFIvIjuQiIdrokLYl4+JJYxOxoWWiRnA9WwnFE/IRUauisKlJYZuJOl3nrW0sSWc6c4CJ
f/StzGd+3GeAj+Nqk5TWfVNU2lapc3Pp4Wl4FE2DLppk5Tn0E7j9HPs8JQ7qwohJJmCqXZqLpHBG
rDm2/cRO3V+bgmGqFnbHrDUPTd3cwHoGJEea2AIfDL3LMRiu2ibdg6EY97KNbHbgoEpmKkAdn6o0
wLgc9+XIsu2X5rOoC5q5ikGvmCkpm8IlE8jsYRRJDNlJOhFLbGC1e8+2h21QsNulAymsK3IakBHE
I5kcPcsBLodIvJgoCJ9zb2wXuaHYy44kputsjBAj4uaejShR1WU2tNYZvhplQyKit6jCMSugwmGj
g4Sl9i9t1T9WwVis0saUK6NM4pXZ0+IEkQUkJKf3rTOzP/eYRrW4EMvanjUmhJUma2mTa6O8HKOU
J3SQip1H/XqQKr4N0D2tvOZGd7c9I7+tYGC9JUQApa4cqk95ULMVTLquh2XSESHTsF/o5k4BSXHO
eDaDwMg+uz1tuePT9ltMO3GewmzKUbpVaDEKQR82pAGtdsAF9WknjxiJtcmZ9vfaaaevIpVgfWD/
j+yq3rtTTRBN1QFTFADdDF1Il/AV57IKO41gA7e6TaYCozzVGhY7MxajqQTRT9VIMxUmyVSiJKdq
xZsKl64MeFhbnZiDtyN6QIcHtPQDRhDuqeRxTuWPxngq39SF3aP6t7RdX5rucjByUENlxIXrRky3
fADrxxwFBBzikB5+2tYHA/HoenCwnbKIUW+NxXiTY5xYxEp+rQgpN7nCCdNBO1zjATXmmWSnDP+x
V2YZW+Gd3YPWagOKNKP0CHZrwobmtMM2jIlO7UK+VOmfF6Y5b2hOHsgvte8LvgPStaaSMZqKR1gU
1JEROcnnQVTTKaDINOjgz7tT5WmdqlB3KkhzTY/WxVSkNlO5ypzI3xdUsPlUyuLY5WufylsOcip0
KXnLqfhlJNYerKkgxhhrr03Fd94zVn/fV2H0wZoK6GYqpUnESJ/SqbwGI0SlPU5FdzCV3+5UiA+n
mjyeyvNkKtTbqWSvp+K9n8r4+lTR4/bwYChQ5qMkULYhi3TiYWiqGSIls+bUGYimJkEztQvMqXEg
6sZd/PmKanwveNcMobqGZlm03xhWO98niriuTpFQKOuhdoxdGsltLTwHfB0MOyHYpwsEpAfVQNox
01yMISbQ5nUrbO19hZ0mnZeZ7T8PbdPtktgYzhRHqw5g+N1HNgbZve7k+0ampDSo7pizeequmWYR
FwMCJOI7Rdw4G+wh2kCHYpTl1SGGKctX7F3l+Ckc8oGj0l3RsrPyxvRY4qIpeOZYjM/GaSGLTmta
eFrfxtNaZ5zWvWBaAt1pMfzzE3byDX4rLv/8BGIzLaY2F7iWt51Ct6x8hiODs2aGfTM+6o/FUXks
rruL6grrcXqpxH+ReHzKyfzuHTUVJMsEiGGptL97x44GS2LV0lu3luN9YJqIJQvl6nAR9XIUpPZk
+Vk5FDUuLD8KPmjmWC9z9OWfRmQ/4CsH6a1IEcXaLWx21MvR03mGiyy31TXBJ8oDhmLr1iIIKUJE
ksFYjAymqyBQhhJ+bFbscc8CF07HfstOhvWJdsrMsnERkqu5btl+0mxIwlVsIKYbqq44czJzfLK6
EMB958XbtiCTAwq+cpdI/MdNnUZX2L38MwEeEo48G+KbwLXGo4F0JlrEXd8tQnQY94avT+tXIuL/
5Jb+f0H9ufal484d/Mfd+l0ADvqPevX85Zdevf3OJchLIyDqu9mRo6McZ2BzEqEDK/raqxdAHBzi
Cgmx0h0yNqb2/muvnvwN7hWmSjYGNRMx59/p1aMC5g779n4A0gPuiOEWL4eJaAJQfGvvUBM19D1l
GNeJZtC2htiWpaxNgEEhUpoNjFvTsx64TdV4UZWEQy+R5SBn8IfS1xZVJXCueHnR3nRq5+oz20Qd
WMdKcu70Tb3SuqC+zroBrqyWdXPGASMOuiGWm6DJ0jMOKIGknXWbzm2sDtKj0/V7K1PLMxCKqbw0
mwZpJDdyIKl3Qzs4K227EiTjZPE1tnBzmI3JMAxz0x51sewLNUXfaFMyzbJQovZsgKxAvgvJ6FHd
1IT+3XrhdduYxYbgbTtaaH36CDipd+eNpzXPfDjuWKfykFH7enNrVxZ8ZYKLYm/WJZq37szchqLe
WV2GRJFJPq6s1l+VemFnKzl2REdVvScvZK0xu0BBZRCqbBP8uGOnNtEqkYYT1ulEHqoyjNYq4d3U
g0uvNCRrrNVZ/VwGqfKUNZ6LDTIe5B41a3gs6C7sK6ES1V1mmS3PeoJ7xwUZTxiPp1Q165RHZOMz
9xxyKLLmfSyijriKps5eBHCXT4FhgzRg65zvST8YzvsOFzESapcckqZyB5rIeR9tNEV0B2VU2qsQ
deVHPSGClW5YgBgG673yWBXGADSNBJBsbRSVdQDkQMdFGPBKZyOiRxQqaIluMz1u2W/Uak024Wjl
2bxihPHJylV3GiUgVMR0rHurRsHiDlB5DNco/nBz4o4msiK0I2yKjae4Z5rM85WWp+1ClFVxyAcl
PwQtHSy9ziAyho56UfS4lWfhGCbdIjZN5v1mkh/Vqu4vkE7qDdSAQcxZpqOdUhLYDv0xnyOlrxaV
pKphuJ4O69pAFpSZ2rCCgN8/2IOHNNhPXcyiUXXf55l8MNyQ6ZE+4lN1VMd5ZJsx3mhZ3x9wBJPt
UsN0iDS3uww1Vv04MiWywSI6bzQ4Gg2vxTiMYHhP69I18AkCbpGo0saZMuTHUhBEKsdzhYbYLPNK
bwePNtuIJHBXqW6la7zYyX2pGfjbHP3O0hkCqRYY0ylloGjP2Elw5TOxGmZl10XXbmvqW1C1+bxr
VGchHVmdFR6yIfjedJz9FOd70/Q7vSZxPrBJAi9UC7WIBZEVCqjB+Y+E5x80oAdXuiDye0jpfnGt
6+tchGiSAzZvn5zOqK8aLxeg6U3tZvS78V6hVNsAXxxoMoWFjX2lz9P7mIriwcjC/D7K6uYTCr3w
3tbMLXjOZmNEvDbhpLKbV1FtHQboQu8LkVRXaWJoR2zLZjYvhO3eCLDi8zSIpToPE0oc4KsDwMc+
1MNlpw+0hpk+HrsxrIcZMF/jToiCnkEL/7Ls4NYSsWVfMgm3nkK29MsgMT2Ev1ZFP9Kxvc2QS23L
Hjh+tiuPflVWqAIyr2IOl6GdAhpB/pl/ErLQ7qcL4VYf7fFTYHcd6plOje9GegtXQ9IfbOLNWnAc
dUKIpal1fE6lINgYZN17XaecWDdGn5oLN469C0xGzW5gjbj2GNu8IBoFb0DjcnhAHxXXSHLUbKOD
esLXq3v6JziceK6BtIDlqCJh3TZuSr5NQxU4H2PTZ2/op0erNLj7KWZzqJk5MaSSLEbGAynRDZrT
76nb8QgguR5XfV4T3IFVfWbgKF8Kh7KMiVg7K9kQragDQBWA3y93dHOLfFHGlDwwd5txEw8OXph0
CJppt4oUEfc2qhnLJHHDqUV17Yu4WMusx6bQyqa6gY0ql5alFwxuwQDoVuxd+7FhvKdnFu2IS/Oe
lK66UXO4AqHfEL+Qq0N4hWs+StAXRnLWVpTXM0/3my27VkGjGpI4yN9B31uRg2yoiAI5o90YXEZm
717AP6ICC0el4UTEJMJ1VuV3G5SZ9Q1E+Pg2aH3iRUKlW7atb58xalWvaKd1O8lGch8L5lIyahLU
mGCal1HUu5dJOgybNoPeQBGFZaproClPZgWpLKlZLWXlyEKa885yi3NuBXEH9T+78ouQzVrdWrsB
9sKxrwr3CGScQA1X5Zg7XS+ftZpYyT6T4rYllXM5Gqm9dIrAAflS5h99z++OoOJoQPi6CbwlUphm
oWrsyg0CargPkggmzBHpJyipZUSn2nY2SJH0VUsVNyyEieqPEVe2D7tIBzAzndFBBydud2a2qseB
RgW7/ivFNhQiD1QnyVcgaHneOrnL9A9nC7JnzZxCSrq2Y54b0yAIEuEByB2aT3oLOOxSixrK6Mwx
Ivzmic18TRIZmTZyuCph4PBkL6vyKs3shKgf6vSZloQ2hFmapPu0bQoeXq0VXYAI8kFXJNkuMCuE
5Abd4Gc76TxUVpSE6tzTdXkG26NzV0K06p1lx/KeZ3Yk56XMa2YpbtZSYyrmGbacfO1apnvn4uJh
gFrix3AgzBOnJBrlLJbeqG5lW6W3YK3RcRV1hVy8UFTjLEgH/SHLVSxfvVluJQmS+QwZLoqZaZ9e
Z7a47lVH7AyXDEOvUkEpOz70hWzsDmNacUJcFt2ZYtf1g+kW2aeAPN8HtSutNS6NdFsh/lowC0+v
Xa8w9nYJH3qSkloPtSgx+tVo612S0AzAsmGZ0w2GoXyBWjR6yNAZwergnK09Oi44tyo33rtD47x3
R9kzTbYeVSPO14MV4VhTDC5nnzxHt8yNWwXH1zawEia6LuIIBrJ2Zd8x/yIVJsf9v2ZCEb9PfbUj
VZllfxaKMgdTroGwrkfcfODOMXL0cbCzZNZs4Qo7UzPHWnseKYeNTudKCUNJG6NrnwYx2RZkZFjz
WLej985QpvUsaHRnU3qg2fWhCQRjcrV98cwKgDThVyUbo6WaS0i1enVMZe5suo7Lv6H+P0OgfAs7
rFx3bnuj2fiKSiMu161R1mgsW4cVK2xNdd0rVcbaFPvxjeQyeSh6FcEnM9+N7JQ2WcKukrD53Lbf
NQqY/3nW5LW/TMFcPrpVPXzIbeYOJE5I5lJd7LKqhwmsP2Lfci+Yk6lUzlU/ptvL1zwCpW7MimU7
j9/Lwuo4iW5LgS54fK69EHbKGDTRIYTXW8zcbPAWGSnkByuTt9A37INPPOOtVEOA3JmOpBO1OGyd
kIBsFsNMecnNRL2tKfo3YQxNIoTcsfLVwJjHstVvO2PrccrBjfHrSWWeV+SB7RO1M5ZdUjImcfGx
2WmQbBNNTef2QPxZ5dT5QrG0CzuR2oXFVhmQpNpdeUUm99EYayvECEowrzWesbPOE4Ar7aKzF62X
EcuUuOGFxvhl7xcJMxClCsxkgymiPi9HNouzknLmHg/XpL+us0BfiCFV4CaxQbyHgGY5C703/PuC
tY4n2GBe5zaTq4XesEsk2TaNMUsqjqvMTLAld0yA3QvCv4ODb9dT6qRPfhaLWD/uGD4UjxX23zsn
toY9CSYeQoq0te4rKzOvWOyY2iSFGrznBlZX+tClbKEVHfu9G6doc3r/PI9MQo45TrGg1+LsBB/8
k2u1CdIXkrzpbrPf3KbYK5DJjggnUIIyI93kCQlVeqVXwSbBl5Gyag6asmgqJu8zP2YqNh8Z3xjz
2vdhCjQV8VtoB0wxL0dDOU6OupvU97AY1OzZF3mSJpdI1pv3mW0N+aJoh/QcOywDc8eCskVQCWGh
RqteOpUVv6/oYtRL3LRhclmlgarPmqKIzYUZGETuQiX3+oXW9sQOqyTd6Js+Z87JHeEmG68V7oOH
xYnQLdtDrRPBKKHnRrsdmH1sKBPTZVDzmTVqD1VFt3tdW6pzhq2j6xk5+fIuU5xkuEqyEqYkE1Pj
U1UyUVvndJiHlafWQETQ4/j1gplhFVzWukHJEcdkVNC01EYeeoDyeVYN19wzRG6AO+/ndTCy12D1
P8MhuSmbJD3rwU48sCyZ11bG40CGeFbTdqhvevhg9PDj8aEbfVuZuYHsoRplIT2eQCVAmCUJj9Sp
5v//Buv85YNMnvnliUT5TXbpV2f69NNDJtP6NvvXfulVMPjjF/rCev6LvFPbVdmXwy9+03I5Hdbp
mP/sVeJjLevmGZS0Zk4QE0EfE1Xs6d+//QZayv/yY9t4p9JWdkmY//xT2i683zdn6Y/Ow59/xN+H
wf7+dd58gI+YQuuSEFlCRNJv0QXY3v65U/DdK/zjFAiQBOa0oZ2EydM/GtXfngJ3OkO4gXXz848/
sxX+80/B8ZkEQdyGdSk/1m9OAaCPn70OdDplgs4+lJvPnxKZ6rcnwZ744UKbIDmnf3S+/p9cB398
EiB90p7+uZtBfUej2yHil1f69tNb75AiC4thxedPzxXyX+vTMxH4nXL/7y4FwnpHV5O1YGql/mAp
0N9NVCKqbawj07+/sRT8EzfL18V1HiCVPy2r8qX60er7R7/wuuL8/udfVpLtM+sdy8WbX5xW2c/v
/fKVPPwfb66y02r3zQ9fV7/T+3z58y8f8Pdv/ea9Xj/V63/cyJfyWH6E6X566y+H+Znx/7/JLgTy
fyiPzy9V8OZ2N6eMon8c0P/6tzeH+8098KevX1Vvg7AFKJWff1mynI7l68tMJ5wnC3fLzx7t5lgO
x/T4+kKnbxLlLavQT7+yTI4fg2P8wzP9eWH92bfYHZOk+e1/HJP83387O6J0km/OEIx9l2fYz77L
2bFM2ZdEb08Sa/Yv+FbPuE7j7174tNz+7EHvj1EVHJ+7l5f89QycvtuJGvT6H364D/q6zv/ZNX5+
fA6GH99DvP4vOC+Xz5LDfz3Q6cgFBK5f8GUemufmY/BCr/DNi1u6pr3+h3/9tByaNDx+eH2d01Gj
//gFR319DI84ko9vNmhfHk0/e6XcyCiSybcHrauO+Qu+w9tjImOCVJ6bNy+OVYgH3M8e9cmi9KOl
RTdOnqKfff2Hl6r+bfaSgrp/Pdjp+4TWpf2Coz8/spizYNXlm2vcwML3C1beNdHQ8KG/Pe6pphH6
L3herLM3R/y1VvrZ881T+Stu8kJ+zD6QvrOtppiB6u3n0DRt2pD99PvRUP3jxxPOdeQzv2KhlGNW
vt0O8NJoOt1f8D3f0jVu3l5BX178F9y9fysK6esG71/bMv1FosRPvvr51Iht3u4MTsbaCeb3s9fR
+YvPHuc4vLkrPvt29V+wmVy8xIF8PcrTA/yzJZiq9GePfPH1fsOi/vpy37zFL3ge/qWr+Se/2XkQ
HOtaVr/zTX+RzfyC7/efsML+5If4S/nOT77+7QurqP/9Ht/S0NuY+i9YSf9Z6OVPfowfr0e/8dz4
7Q+vZPtEbXUw0RuaSRMGSPHrhf5Hm7wf1Ztf23K/r0Jf220/+rO3Jfb0Gx/jl2P5H/8HAAD//w==
</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_xlchart.v5.8</cx:f>
        <cx:nf>_xlchart.v5.7</cx:nf>
      </cx:strDim>
      <cx:numDim type="colorVal">
        <cx:f>_xlchart.v5.10</cx:f>
        <cx:nf>_xlchart.v5.9</cx:nf>
      </cx:numDim>
    </cx:data>
  </cx:chartData>
  <cx:chart>
    <cx:title pos="t" align="ctr" overlay="0">
      <cx:tx>
        <cx:txData>
          <cx:v>STATE WISE BOOKINGS</cx:v>
        </cx:txData>
      </cx:tx>
      <cx:txPr>
        <a:bodyPr spcFirstLastPara="1" vertOverflow="ellipsis" horzOverflow="overflow" wrap="square" lIns="0" tIns="0" rIns="0" bIns="0" anchor="ctr" anchorCtr="1"/>
        <a:lstStyle/>
        <a:p>
          <a:pPr algn="ctr" rtl="0">
            <a:defRPr sz="2000" b="1">
              <a:solidFill>
                <a:schemeClr val="bg1"/>
              </a:solidFill>
            </a:defRPr>
          </a:pPr>
          <a:r>
            <a:rPr lang="en-US" sz="2000" b="1" i="0" u="none" strike="noStrike" baseline="0">
              <a:solidFill>
                <a:schemeClr val="bg1"/>
              </a:solidFill>
              <a:latin typeface="Calibri" panose="020F0502020204030204"/>
            </a:rPr>
            <a:t>STATE WISE BOOKINGS</a:t>
          </a:r>
        </a:p>
      </cx:txPr>
    </cx:title>
    <cx:plotArea>
      <cx:plotAreaRegion>
        <cx:plotSurface>
          <cx:spPr>
            <a:solidFill>
              <a:srgbClr val="32969E"/>
            </a:solidFill>
          </cx:spPr>
        </cx:plotSurface>
        <cx:series layoutId="regionMap" uniqueId="{B7B8D204-299B-4C52-AE39-E2DC309508CB}">
          <cx:tx>
            <cx:txData>
              <cx:f>_xlchart.v5.9</cx:f>
              <cx:v>TOTAL BOOKINGS</cx:v>
            </cx:txData>
          </cx:tx>
          <cx:spPr>
            <a:effectLst>
              <a:innerShdw blurRad="63500" dist="50800" dir="13500000">
                <a:prstClr val="black">
                  <a:alpha val="50000"/>
                </a:prstClr>
              </a:innerShdw>
            </a:effectLst>
          </cx:spPr>
          <cx:dataId val="0"/>
          <cx:layoutPr>
            <cx:geography cultureLanguage="en-US" cultureRegion="IN" attribution="Powered by Bing">
              <cx:geoCache provider="{E9337A44-BEBE-4D9F-B70C-5C5E7DAFC167}">
                <cx:binary>1H1pcxy3suVfUejzlIx9ufH8Il51N4vUvtmy/KWCkqkq1F5AobZfP9mS7UviiuJcxJuJNwpHOMju
zkIn8hwkEgfJ//i8/uNzc3NtH61t07l/fF5/flxO0/CPn35yn8ub9to9ac1n27v+y/Tkc9/+1H/5
Yj7f/PSHvV5MV/xEEGY/fS6v7XSzPv7P/wBrxU3/vP98PZm+e+Nv7Pb2xvlmcj947bsvPbr+ozXd
0bjJms8T/vnxpWmv4UHNo9f2+o8bVz5+dNNNZtreb8PNz4/vvPvxo59Cm//y/EcNDHHyf8BnKX6i
CeVCKIK+/sOPHzV9V/z5spRPCBUEU6G+vSz+evTL6xY+/u8M7Ouwrv/4w944B9/w6/+/Z+HO14E3
vH786HPvu+nszgI8+/Pjq+4Pc/34kXH94dsLh/78Xa5efv3yP92diP/8j+AX4I7gN7fmKvTdQy/9
y1T9V/fHdXvd/eWm+2bo/+IIsh58898VH5g/oYISqonS3/7djQ/2BHEitCDk26v8r0d/i48HxvL9
kPj6oSAKsv/6/yoKnt3Y6+a/cxrQE8a0klKyu/4XTxhSRDAsvuGT3PX/w+P4/hT89blgFp49/x89
C9+nidtQuPOOf5MqCXlCOeGI/EWV4OvbVKnPSBESUf5tKuTdqfiTtO4fzfdn4s+P3Rn4/2wGfHtd
XbupfJgD7/L0j1YpIp5wxYCGlPwuC9EniiNMFJbfXB+w0P/RiL7v/lsfDbDw9un/Wyzcv2L87bnj
9XR9+poY3Fq2fvzq128NaUvw0R+tH98i+OqPnx9j8DmRDN0C0tnOnx/+tgIcb5rS/IWEux+6gTD5
+TGkGJRqjrlQArAD/3/8aLn5+op4ojCjWksMOYqC6X38qOvtVP78mKgnSknKtcAaMyQIzLjr/Z8v
MQQLlkaCYgwWyd+52eu+2Yq++9sjf/78qPPt6950k/v5sQZDw7e3nQcLX04RSTQDgqWMAwXDlx0+
X7+F/A/ejf+X6fjQwvDGzNhy39JxGaf3fi6W38p5ml/RdXnvE5u87ejk6rRsyuHZxnSR8gEX9ZEv
VfOxre18bcfeXOW19qeuEfyw79qnmE3ThWkMf7MKtL4F82XqqmV4XZi2uamE+LR4J47LrpPTWE31
UfSsfz3oJX8/kqIv0hG7D7Rn7XWvRH1MyDanLq/r11vP39Z9Mz9rMK3SlYrlV1oJdELVnqdFqf1R
11P/ru/1b2tSsQNeij7t6nE9iSRZMtStNl0JMUfnBpv6bXyHWlqeSrf2KR0m/XZYk/ro/TS+Yy1L
Tq6o2lOxOJIqO/FLk9djNiG9fCDbyi8dyZsvOh+65zMtyk9KtGOqNjd98p1y7ytP2qzKczGnTFB9
ZDOV5li1a4LTUeT497oqt4Ng3J/QqPTzBa/LdiC779uDG6f1d9pWZkgbzZlJRzajjz2WOkX5sFSp
KrDtUzvzF3yaK55usla/qqRxz8oRt92Bqn2Y0133fklv55Z3AulzP2zWFOWfef7fP/7n+76F/74m
m//85Xmb8M+fXvy1v/jhu7Kb/gwmF77pTAl/24Ko/pMizhi888O/cMI9qP+2XbnnxTuUcGc5uoNu
TH/EBncWwa9scH7/NyLQ8gnDGEDNKRNCaqH/IgKhnmBgCAAf14BHRP9JBFQ+QVIKIAIkNAVCgPzo
TyIQT6RAQB9KAkdhofW/RQRg5xYPJAQzySTnX/nhFv5dvuZ9bbS4LPFR81duhmXh7x3Yn3Fym2Du
s3v+/S27mphZuGaVp4kDa6T7vm0fSiLWb3ucb0vnv2EevHzbfCWTelvWTp5KO1r7dhE7Kt4X695/
+fHwgZy/6xbIhW7b1+1eK1/n4qQJd/ubAbcapSWtOE4RQy1JGR2n/OLHD7vPVzD9tx/mYO6rpejE
aXVU0VQhWti034T6/cf2IUP77pcJOF7qEQ2V3sTJ44G9wHhh7bsFVUg839TUrVkid2HTdhuHtz9+
4D1fSEGk3/5Cg0LDLM8PnBst16d96XN/YM6X5vTjB5wN/XP1+jtqlbr7AGX2BU2e8tNSO7k8FRvN
yWGoHSmf87qsyAvsa18fRjd2m0xRw/B4gbpytpc/fv49X1AEHm0sFXhbK5nZZFiyYsKsSQuqij9+
bB6f7Xzv+51n8hZ6Btm6mruNn3xRzOMBcodMUvxlqOm41OlYLHML65ZMnvdLgeuTJ32vujQpFGlh
ixOBX3UGxq0RNMXWzg1fwMOK8AO1/RfJFxPnPnVOSm4Z74EIFrVN/LRtTv6G+q1P89lXr+KGfp60
W9YbVRnhqOWnmhpzg6D+9bxLTO0PceYD6umThQ9jyfmpmeT8K15Glq75LuOITQXEY5ulGgYy8tPU
J/t+Qmsy26MY+l5GDj8gG7IWWG1NBWTTM18dNiFWlo4jIPX4Y//cQ50iwGar54VXvpBZ27gxfyvb
dvS/0nHX6OmUlFq+gRyWiqsfP+weIIbpK6m2pOvdkGRdv0nx2hlXTr+205R8ibIvAyZzCnm0rFxl
e4/b01awBFJHUzv7wGzcTcP/JjIZOEv3NWs82fKsT9TeXiwWD/OpWTZsjqMpmY58TMAnlPW5WoZE
ZtPkyXTZib5Dp73DzXoazLSscbiWAWmM/TzmdG1VNpB6f1/brXzVSaHf/3gu7vNVwBpLvSq8QAqV
kWQ1p8ZZSZ8XbOvHDzVX9fqAq+6JqHNB6jZ7lKoYaiUHldmGbVdJu6NXGtLs5lsC/e8mLpLeNd/n
ZkPgHJF5OZI1RdXKPoq9H04/9tF9ow/ow8+ylwoJkc0NzMDUFO2J+UQOkaMPyMMb2m3NVqmMubmG
OdjUmqQObWaPfECwsNY64aNewfsat2N3NWDeLSdbyX15HeWgcxJ+e3ol2ajDySoy7Urzq1TOvV5N
MW5x4xcB0ORmqUaIy2ygbDKX005XnZZ1u6A4iIkAYqvZRjERK7PaFQO7ci2ZVVp5Zh9am8/M853U
QwQo24qqQO0CUzzm22CPVUGlfN0m+yyeFlPe1qe1IFv3W9Mq+rvviqV7gMnvy3lEALxmLXLZ7wtQ
YaOa4WmZuFzCxqHWkDWqaanYlHZTtc8HU4qhvajXvZBHwRbav5vRJHykgwOAbrlIpKqTPGtl4o/U
LDJTsqEPxAc+I+V77iV344/P02pGMuqMot32px3n83Ti+b43l4OmcntVuLb/MiRsaS/Zrjr+cqWU
dC+IVKr6TdWE8weGcg9ViADLqqv40C+GZYPMHT2IXd8M67qMcTzKA6B5bIWqqoJlxbCqjxyWn5cO
JW0cz/Fz9N7K8UZadFWSSJ3xBnYyB49Vu6fe2M09EAb3wIAHQHZm3DhZrcqmbcnJlWLWok/rgAES
JSkR1JOMH9qU7GIoPg/t7kik3wKA06VrYJatyITKW58OI3FtunmWRFIsDwC+s70evbDy5EeOT2Kb
i+Mu+uQYxa88QLHINeqqcd0z54sp2ztZpcIO1QMkcU/M8gCcAqMyWSGXzCpi2gOZcHXMt55EBlWA
TdiW9Aqbfs8I7BtTVOIPXcEeyvTuG3oANyyGjq1NsWeF3KYXfusQrJ9jiavIuAlWzrLy00DttmdJ
3uorMq/1MaeKZVHTygI002Hmw1SD9Skn7LBQ6VLXYhM3dhagWXVkV7OEaU0mUh5q6udU1JLFER0L
oFyhxKIld3s2YtNcON0Vh5mz/eLHnjnD5juEzgK8djkv9x1DWXlJ+A3sC+v5gk310GXTIkXkNwgg
S2c5d1WdLxkF4L7VU1+dMOvruP0yCyA7dZCrLLtYsp5xcaU098dq6yLphgWQxVPb5GqvfFa4hj0z
TStfDGsTOfQAsbCSwnkAplM29lWOD5YTd5DlWpfHH0/uPaBlAWh5Xrg62aEOM3RmfVpPxfTc53kT
CaoAslAfTWbsq+nCejhdeEcXpJpX3CpRxsUNDVBbYzOPxUxWyNn8fqgH/nHTW/dA4N/jGxqAlldJ
zZTK59PYlDilzpN01HDsE+V5GoCWDhUjeaVm8Hzy0RJIwDq95nHTSgPM1sNuk8SJP4fOyEhSPovY
oYdo5Sr3qsTzSS9QNCZn6y7eMefpuJX51Gge8saB9bXS5cGr2qdCkCrS7QFaS8ZVjwgC64zcjIY1
F4UpIktPNEBrDTI1ZQowrnffZo3UFrZGYo3LDc6HKLcds05U5s1Wzyc+5Uu64pmkeMinuCWKBlht
y4F0PUVwvjnvXbqU5sZXO47zOglw6nY7DX25+FNblyyFw8CPyQynjVFIIgFOUc4t3cpkOskRdUe3
mmvndxdpPIDp6PRaQSbsT5XQZSoq06TeEhlpPcCppFVSmETD0LXHLxwcj7zOZdHEHVGdz9jvBIxn
pGNgOdvhFNWle6cEPyZTolxczJAAqmRcdeuHYs421nY2TejAs2Eh0+e4iQ2wik1ObL+2sLLmrnmq
K4ePrq62U5x1ctc73uYDLTbus0nT33FF3jhG38SZDpHqtqrdtmTKTJm8BHr8uBEZWV8jAU61Ma3E
nZyyainV0Zf8fV/nfdyE4gCnXe0Sq5X3WWImc2gq+VySEcUFOw5wCsfCy+BWlYCCYv3DbPgD4e2z
KIfjAKXKLEUC6/WWgVk3pTtxpUg3R4s46sUBTueC+7JmdspA3YR+YxPwQOrMjuMyDRwA1Y8NQU3e
+6zt7X7sV/mpNEMe6fYApLkyo5yN9Rnf7HZo2wGGXj908no28p3NwVkMcJtidCeYGZJ2ykD2o18o
V+AXTZIPH+KmNYAomchkQWIN4VjmZUrb5TepTOSUBhjdWa+rvKx9ZvlMU6zWj82oXseNO8AoW9i6
GAq2k8q9Z357wZl7EWUaBQjtlzwvJlpMJ5QnySGp8udmR5H1ARQgFONhkHtCkpNA+lW7yY/Kbk0c
taAAokkJebrtwSdN2b3pi/4ib8s4JkcBOtmwbHSFovep3+dLu5BnjMetoCgA5rDxSfQD7O1EWzxX
/Zp1No87B0UBLE0zraX3MOih/WWf/aGSv8ZFSADJRld22GuYRFbWn+yq36hdxPEUCvDox7let0VM
2eYq/H7fJpJVnrpj3MADRNIuX7vK6ClzCZz1k66+1Ln+Lc52gMi6MY5LjJITN5DdJkhcM03jFjam
A0xCYI9jg2BJLo1YU+5YcgRN5BwFHFAw3qVY5WY5MT6DhFC8s/1RgRIjxidMB4gsi3JkY7lNmVeg
tlioG1I8ivdxxgNMLnBAvm1d7k64HC6XBg7fR1pNUZHCQk2X9R7VSQPGVcNfUz98NmyzkV4JcKkZ
3846RXeyLX3Nwfbq51jbATTxYiSlK4ayMaHouVdF9XRkq4j0SoDO0rG5gXwWAoXvIt1R9UsjyqgE
i+kAm6v2bKk1IH+l21QdEMtFfySQAZkoamE6AOiwtCwHvdGUFWy4Tpb5Axw+/BIViqFYa6YUWUHB
L94X/Dj62qQgVpZReQQUhO7C05azhHr0CgNf19e+R0/XeYxEqAoQWrUSMVlSl6mavmhAcHiCGyYk
zuOhAMoXFjSXfp4yNDRvWNIcKltGJSkslD9ZnnRbQVuXEcLJYWmxPWBWfYmbzgCgG5woONVODhQA
4mPh1qdG8ndxpgN8rnbKa0USm224WdKml+NF11Zx0gUWKp96vnR6Bn1NBkdI+7Hb+5eSurhzeXaW
2t9OxP1AXF3ixWY96FOa1HmbPEtmtL2N80wAzyWhwIrMw4zO2x8OMrjVqU9RpkMF0gQLTzmI3mW1
KN6uw3CF2jYuDkPx0ZyrWlQNs9k+j+VpXgpyTJruc9y4A3CaneXOrrXLdDkcara9bNVDaec5vfzX
XRULZUZLAvXgeZA2K9uZ+9RKUb0YxbCmS0X8dogbf5Db8rpbu7rnNmsM/b0p2YdkqN/HmQ4guoIk
sREyt4D/2V3OzuIUzyzuqI6FCqOClNxYSmDgDH9o56RLWTL8GjfycA1dx6G2qHQZJ4Ytp536jaWd
aso6bpGWAU5ZWRTKqwZCck3emJa8N2PcXpzJAKNwD2WEDTOYzjf9ZkLmVU5F1DEUC0VFjdrydpw3
m9G8JVmiyPQGF4uJkuKyUFBJ5Iz4bCAScwQ3dDY7ZpRFKrpYKFhq1zyZVlfarJsHlKJZXoxLEVcd
hlsPd1l3ssx7psHlQI/P5o08a/gah6FQpqSXovHVWNhM5kWXyn17pq2JOzdjoRRJQ5SgldQ2w/38
muLxuUVT5LiDNdQaOJ0QSzJmTqgPBts3TT1GbeKYCMCZr6yti6GymQDPpBpU4um4tSqOD0O50ESr
Mal6PcK5TTkeLKnf+ETHpaChnB4h2Gd1HI1ZYeC6U7pAoeLkUSLiHBNKkapKg2ys2gA3emsPygvx
tjFoj5vRUIoE965EDmK4Mdu1JQfs2EtYSeNOz1koQ/JJp3q+9hAuvWaoBq7dalemSs91VA0HTvjv
YhT0s0gXawe+L8pFHjoonmV5zsa4cwQWyo222ntl23zIVOLq8TAvQ/vFa7lEbhpDwRFuCWKLTobM
lps7toWoUvAQv4ha8ELBkZTrqtCMhsw3ghyQAOE3hd1vGmc9QOzUwC0SR7shc0wWU4p3Ul/X29oV
kfaD1XQ1VthlBd/0ZdWnZmp/WRsct+bxcDkl/dIm0oPfOzVcbg65i6Xpy8soz4R6o5nOdBuaZYCr
k3z/gPq8uGRSDXWcY0LBEQWe5GSDadVdProL6RVlKc97MUY+IMh+4TCu7rthBs9Tt1xZq34pxyau
Ns9CyZGsWwIiYDtkkk3vTOHeLPX0Ls7vQdZb5NtCm6YYM9np37t+wWnJ2EPiV/b9vD0UGo1QMleJ
b4eM2kr9LuFQ4dLX7RwZMsHKOqFk3XbK+wyQqlMB0pc02RJ5inNMAFW7JXBG34B1Pm8+5Xh4WncP
qZi+pqDf2dCEMqPRrCCvU6TPZlEXeQqnxRWQjTRrfShaXdSX7bAt73zrmivqaCKyqSxH/h6uuMnx
NdT/nH2nZSsuaziX7C+rumMilY2BYnyxjgot6c6q0f6yjCTxB7SNXX3dl2UyHgQkluSIOdTaT3Lw
qz82GKpkBwGn1OuVHxNVZUSuJbvK+wruJWME1YTfElD2bhdw99rJI5Ur2FwaM+0XxahLB7ft4Pby
RUvIuh/d3NLu91Uylr+emEiqTw7zcczUTvSc2RW+73GYdn6q0MzVoZME1wexycJfFrgv9HOhOri4
hcadvIMOLks6E2GvBuPsnqFeq+1iaZuZHWfLCn6a5QK3tXlTzuxQNEPbQz6r9XZQ1lCZtr2x+NnS
5ZW+aiieWLaDt5cDp/V8te9J+9J2M2JHhuZ5T6vc5vu7Ble9jMtCQvXL2JkJ9O26zzQU21JOqufl
XsTdWmGh+AXBV+NMDX229UPeHnu0VNk6IhOZ/Z17Ityun7Qr86L2tM8EL3soWSUpKaiOI8tQpkZZ
vkEW3AxZKdqbnNXvcmkina7ujnuGY6S1ITBu7vPM6eZpznFcZTNUqPEZZDUYyl8ZtA5a0zzRdaob
3Ef6JEjLLCqoqOHEMStIBT0O6vGLqGxcxkoDkq/gbu7cSdRnfvPDS7j+ZS57OrVxPEzP7H9LoFYK
g3xHhMsKW7PnDJJvuFfgp49RPEwDlrdtMc/zMPdZrQr/q1XjDicRnZoi3R7EOe4M3hMKkyqKlq8n
4jq/pzLh9XiMGn8o9ZraccmTcuozOKj6sgzsKU9c3JULFiq9Br/Yedxkn5VIg45scnJtDlRX5Evc
2IOkZubjTmdPhqwZ9a5S2Y8UztgVIXFaDEaCoF+GrsFoLSBBgNZ0qZdLdTLGRCYIod5rkEte7QUs
4XBGYw+gKBOHIVlQFuecIOwXBHeZuel6uInaNE8FnfmUitGKOH0/I0Hgu6orQMjUA5N1Xj4tO4p+
hz3tFlcKJkF6I9d23FsH+SqUstarnOU+k2iSkUEf7EMIbbw2Z4KvTFsc3DIWqZ/aNg6zoeQLW7z6
FfbJWbJ19KYEtfnN3vo2TvnJQtEXJ7SryqoeMi7knFzVusMHlC8Lf+Ds8J6LbywUfsF9UGgP06gu
26GfjX0/1GbuD7nsyHBcXJ+8hxthL5NEN9URsrhaHwoNm9GLMuG8j5v9UB8GF2kF8hXkn8s2luqQ
tBU0oGjLbmjittGhQAwaI+2wZzkzUz7h/FlrCuidsI3bhA5R6AslYjvyFq6kki6jFJs6XZdqYWlV
szkyR8EBvIXbW9sReMDmCciWd/8B1Puf4wYfQLuZ2m3Sfu+ywXbusBb0yz7x2IEHyC7GHTtXyzaD
3PaiIfVTQlxcCeDrHcdbK32bJKhYoININrHZHeqEwVHDsr+Nc0qwEk9lYwu8zF2We6tOviRF2nIT
uVSGOrFFQiPODmYU2l6tyae2Wuhnm8ByEzX2UCjmKtb1rMNtBunKSznvz5qxeKCXyznevrNVDHVi
xQrnjML2XeZWUj7FjVUpNBVd4haxUCq21MKouaZtRmsFDbgqpcanpfRdGQfTUDDG9NpT0aE2k7yr
DqNWlzXDW9w6EErG7NAVRa5Nl2lWLs+dbdlBTtX85sdzek6Ov+f4AKR6qbd5wbC+NzsbIWtGrtCn
BuG+PwnYGHVRORY0jrubPUN7jjwfJttku5WfYKP+opXlhx9/g++HDj23krqdmEPvMDgahOtYcEOw
z6t0dH6+WegY1xuA6sBBBnLlrsy7JtODyqG649RVK6CtWdzgAxrrSeXX3cLg86KEPT4mQwo9H+Lo
gIb6HS12uXEHxQ68THg7dgYOfw9V11Vz1GYRegDc9b2aF2gQV5VNhkuxHVWB0OseLk9FcSUUoO9a
34SBHfkyJscCF2v/tEIYvSRk4D5q9NB+8K59tYlcCVr0GfJ0GlKIourM90j3x5jZZShIENvEuHHW
BgiTk3d+Qm8LnEcFDkOB56ElyaSQhbFDyZcfjYXzpd3jLopzoCvjXc90wJBJDVLVE5Y2fztvyfCu
K3ncFTto9XbXemM67BFxzTkxUG+GlvJsMlxFOZ2GAscBSl4ob8+ALaFU1o/qTcIKE+mYYCvnt6nb
/GYakK1AX7ED3IgdP+6N7ucH7H8tVvwrH9NQWCagneoqhAc2E563r0aMO39p6nm0F7AR8+QCeukJ
dxx5s/bPkw12Bc8HWY3tR+gGzi68IPuVZMnGU73nHtofbEldv2o7vpJDO46bOexFme+f+nwz/qIb
YM09eF6tn2nL2LN5qKanmynnC5pDb0W9Q5OKMkWtYfv7EsP9ljf1uZHE+86owR1hw8Z2eNUuhxKB
8vNlNZTJfoR3O/OCkryfP8fACLrJ3o0X0DWO5Hwh+VTkuHo561o/J4YUcQssDSVxfVLzHqqjdUZW
dCPI+Ebj4nXcyINlD/aaW5uIpc7oDjrbhrAr0ruHOl2cY+57oRIsfN4nbbG7tc7GAZppXFm3N8tR
b6B6OC6wQyiuoAF4U36M+ybBMohHzQWbeZ0lQyJOrF6ai31oil/irAdMXG65hz0irbO5Z+UxyfcP
U0Ue8tPZ2d/zU8DCGBXG19bXmWi8eQeqavZKlcV6vVY4eaA4eN8jAjZGuZYFGcb65FZai2M5jXY0
6Wyh2H5lFrjR9sCm+p4pD1VzIE8o/Cya4gR/CaCuLzxfMajDkuZk2l2RAyi646pKNBTRFSXUTnLb
gNM6koDQTXwAIorMqWQA6AQajkAhoKszDMdxE10uJorf/jiS7pmJUEQnKWg5d7iDe6yLUU5XunH8
olcazv1FMTcoSl1A5fnpt7aIHGwLY2QCbTqg0x/cdS9+06OMu9pKw15dbtOjMZutMin5dAGaa5Xm
JY7brNBQSDcbKEVSj8vMMMUuhnlrj0qbqH0clQGQkRhw08gmP+LZPEU5TVkvIn0ewHijqHH9BKb3
nZ1yPV60hkTtD2moodugU5lxus6PtSHPJE+ejSKuikdDDR3ICs+NcE1+HKplfFo5N2UJp+9+HOxn
pv8Os4USupzLct5oAsGOC3caBsvSTTfsIs56gFKka5tzlJhMGjc8A9Xrh7HY4prD0lBDVwhZJDPx
Jms20lx4PXWXaGzipKg0lNEl2wrnhq01mamq8TiU6nkirTvF+SVYd9cKjd7RXh+nlpn1gpDll8HW
dVxREf44wV1uKXs9jQ3r9LGbx5d102eV7eMW8VBKt5XrWrQFJFLN5E3a+Q4d9oY/wLz3BWOAzxnU
+Tvc8AMQubmH7tz2MAjoKBzn82CB3aFJj5unwcCtpXY7dMXQj2luOx0nSIOG1HedrtsN7lzUXMNF
q36HhuhNbp/1a23i7kHSUE3nRZd3coRG6e2yw7HnG1ABPOCZr6Xa75BAqKVjYsfQnKooM7wldH6G
TMvhglEBzTbfQ6ekPjNc7zSV49zyk4Dq2nIYp5rP0MJyENvF6DUaTzv0vSfXreRkznJFjYyqwEMr
/rtubfREd6q4Oxm52gueT9D0N6njztVoKLyhC6F7U0/uRJe2BJXF9B6uVK4P+PWecA4b/PhlhDY5
cnOnTeI9rVFtD7KO5CdG7vqF114kdJzdaW+hRcMybV+QLePuD9FQdpPsQzvmDfWnAhTzR72U5QER
uL4VhcRQMrGD9Dk3M5CpHMgn19J3bUnirlTC35e465ayhR17PzB/MsiidB1IfspzkM5EjTyUhK7J
iKEJzHQuJ9mpuDIUKQ9/HaF23THuAUG0d8ZMQuFSHldbClgtt8p3h5ILTD/HPSBYeexU+33OB3/y
fTmcWsWW46BZ1LEHDTWhsH/gdKCtP+FzE7qFj9A2gMkosf/5r3vcSZgHOTOXT2B89tDpu3FsTPuG
xAlO4a+R3LXOSg+tGXznT6TCw4HWuEqhYvspzunB0tPXCv7IGs2n00zKNlVJArcJV4bikqxQEVqA
8BmxhE6nHmReaV/b4mUj6fRr1NhDQShbhoHi/83Zl3VJiqNn/xWfuTZjQGjz8cwFEJERuVdWVdZy
w6klm1UgJIEQv/57oj3+7E53T/vk6b6pykqCAOnVuzwLm90hkhjBZf1eH9pA3/ZgXgvQtcYnE1AB
7gBF0/RxVFv/ncU7f1tO/hoNutMGni0LQuQ4sqGAzjnkibLqzyR4Llvydw7N1ypfQ9LPaT8RcWTV
QNfHZlGtOgaWDuaYGY1T8E3P/zWYqlpJlSUdAhpNRVSuKa2LcVveBqYir/W+dFNx5xiuXtdjWwog
qQo5hZ9vu/VXwazv8AaAZzQHvelQtGruSquqt8Wa12AqqbPYKUrNYe2X9agakeZQGN7fFmxeg6mC
QrmxG28OrtmHY2L7j3vS0Te+0leRbG9Utk/o9Ry0aHihhq0rAEl9G+wfU/3fRrKRB+64qPQhUpEp
ul2PsO4Jb1NuAgP6t1evsmwwScf0oXVzU+xUDYWAtPzbjr/XGLAlCWg5m1ocu27cP+yx3p67ePwz
rffLGfc7O/Y1Cqwi3icLwMoHahLwUS4xXqfJn/UI/+jqr2pdONygXR2kPGYRWudr9GMaxg9v2kiv
0V99kiYVDC74ETpf1ZCvOwB+rtns57dd/tU+TYaJTHts5JFqNQLD2m2suWXJMIq37dXXcl/aigWJ
k5ZHaZO8k+n1EL/x8HsN/oIQ1+xCikurDKnwBQ8xvg2QSF4jv2Cg0FYNn+Vxv0gf9T7JiqwRPn/b
Q3+1Tbt4aNwepqyECtdpNPoxZm9TEySvYV8xBaiIKJXBNsxfdWN0m43tuzfd9f+CfEFGqDFkzMqU
LSq5yvQA3nXj1fLxbdd/NdcbdTJ3wzLxYzYlGzTOM5tdX6h6f6YneNmMvxMCXuO52qjXmfAVOyod
2ZOr1lXdWx7X9QE8VV6da7X75s7t1f+huP61Ovi9D7204v9Hq5eHtBrXbh4uPmp+3IpkaIdUH/oe
u244NtXWD/k8KfjJ5COZcbZvXTAjP0+DZo06orDuepUPe7+Gc1OFqPpGiAfsbowBae1z0oXd+xwF
j55ve5YIfbfayifsvEUZn/vc7EMdtXlMZEvq3DiuURRNDK8up3Ke6m/aNGpJ8qznrTqTvYfccxlQ
0PO6DPPqTdEH0m3vISHn1zanPTx4IPMd2s2OeSKXiGW5DNBu70+J7hm06RV6lk7l4BUMC27Q8mn8
qFOF3LHjnfhFaYW/Ngtc20oGuC/JFzyhvlhXn7ZXe1g2ZlAvEzt+m9C05Uu+GVgS+pwKVjdfxjbr
5Q9VL3DiAZFzn4zKofbVhc8XkN5J7yps+QjRKFt439qkLzmIk9Vhx8gmPURptdmiElhpsliZD1SV
6brT+CYRK5PHli67Ai9snsIJMv5jwZle2V0XL60o45Z4UjSczcjChBKlUBDAzbe5ZvMI/GY3NXXp
JEosXqBDssFez5l5NDwXKePgjaztVZVxpI2IJUwt13hbU9PmRiCzy2USDapc1Jh+nZ2CAWDYN/5j
afdAjtpMtL/fTSrYczOnnN8TVxFyu1eNWOpy2MFRyY7SLwkUEXbGl+EODA2B96XbVuPm6niX9XKM
oWqMbEzF096fAoOP4fdZqHaqi2lFM/jMwUCSH5KNbzYUw5jBSawW0UUGcliG0UdgsewAbUFBhy/r
cgh4l9N0TikaaemZ9aNo8p718sj6ZiwmtnllUMCGyK6XzHK1N/Fi+4M3iFH3bKqX7sO2pfUosBym
dDl2hNqtmOomS6ES24ShRI+jEV+EI+N0I7cdTaCGxguMCr12aObnUlCeIoNyjhBSSEpI9y7phWFH
CKz0282Y+gRd7dhBW23HmNmtNbhbcbDMAcnJILIWD8v3dIjAmTErz/R7TlUiyqaytPuOPogYsGlU
Nq2l7ehk7/slrtkHwLNmdewCB01ITvFEr3capf1t0vh+/9mOw7SAMWOiKbufsWmbw6ibkJ7hKdnN
n5pIiThFeOtrRnOuMqnvY+f65HsGR0QR8qqWqr7yfl3pdWzabPrceRZoAc37GGz02pNEQtqZsuFH
5Xzd13k/9+I7JWzWn8Au35sC0yWcXaBKTOEOqD4r8MtTlP2YOrPuZ5XqED70e5wkhW6wk350GZb5
qe7T/d7JuD7G6Sy6B2EWzg6xaHXzNPfNtj96cCTSCJNo6AaI8qJEzM7Wu3H8pcfkprnp2EzC1TR1
Q3U1pzIxN8sseVp0GcnSL4KlmfyZ+L66B4U8usYYaf8BdojKO0/rsoZAUFRu7S78NUwe1v0E8SDy
eZBtJks9gOn4jodmGO+TumqTs5/aJRyiuem2kwwmZlecbX38KWZVXz01s6x1oYOLoInYxRI+nVIx
GPmtu6Xmzsa7i89EMz18hLNGNT0sVPLmGDf9xEu3dStip6fCNEfgpxNzN8uV/RigCTAWFbo0/qHZ
YoNQ0kybPzA6OVOXMaZV603fQeD4WNWLBkMl4mv9oRFWZmeltWa5qyLDvjeN7HRRj7Z38KsckyqG
OVBGtrMdlHWl82kclc6OaZKPw+71F+Ik7qCkcZ1AznDDXbRRbU3ebZEdD+NFkieHoN3e388exLQD
1cZ/TePgGfzParjHFrCCYHdIl+qXCluYF93QpKpgytPpU5jhzwiBI6UgeZaTft/bs3dgyX4I8Kcz
Vd7Mjm+I97v205R3Dse0z9HxXu0Pv6yEPsMjw+BA6KFWI58GXOXyIrVbzAEmjph0HkafKpqD+znS
q0Emsj+sa02GkNeJE/uN32yNDuYG6yd5iquAHBFMtqY5W9igRflu2jZ6z2hv0rLJ2BKVNl4TWfKw
792ziXfSnVa3e3m1qCmqytmnVbglcNd6jBPbte/RRU5Dn7fD4OQRqvG1u5Y9Kpj7gC6EOGZ9i/PO
VRWdgfPOmu1W1XHXF9NuEldk2vAIvAVjq9aDPbfb5MnFvQIZY4Sb62O7xTw9TRgZd/cTlO7aOV9D
Bocb6IrDO9bI5JwQad0DtXM0fkvbTQy3bCAWa2xs1ND8JIPYsRIUJNvsYapFux7xzbbuQFWf2Y+s
X5vq2tZtR84g0bLhbjEpTLEOCEcDK+FlRKqXHVLJ0DS3TQf31amta2CbQWLCGoHfbnfddC7ok+4U
AWY4BYY4PlgN18N8dWFM3+MzxfOaNPBWHSAaD066TJspK2bIL9ZFhPhUFVult/ddyhw5CanBdaHj
CLCqWo2IiqAXB883M/kNBJKVJwUGCqJ5xO1S+gD71ro9RWOaYXIEq9ho+aDUPo3XgO42O7Kicd9+
4NSwYw+N1DhO3l0mNSQuSDPz/W6PZaYsIvEeqrPo8OohNMvgCHbrEZDnB7hfWHOOXSPdaXNM0svJ
vTXQBKjxGK3NncQuj6FXV+9LXcytD+EdkdsgcziNCXbkmUJ8y3viO/MQu0TM33Zjddblg1s3eg4Z
ibf7DKu/+dzZDR4x+JJkqh56tMb9k+jxEK/3tDNbOZKFuhPO/0jXeLipWg9+59zDHhj+uztepqnX
4+r7SH3kSXDqccUzW6/nDgi8h25tm7bIumaynzfNU/pFpTwIlUMhLB41nhQZ6p8jNFPjR6jWZ/Lb
BOWV/us8zH2K+gqCiKRQXdrxk+LOBuRvTSzYlM/REnAUDhuOD2R7kIxlEV15aSHSMAXARnn0Hary
IStiHOrdeV/m/gNfsL4PfewHVrTbjvmL4mP2iabARRQkiKorUItmHJaFE1+u0oFTWPqSLVbzvW7m
BpTjBPKdRy27YbojSvtoyBkYWN+6CTa+R5q02fqQjLGB/i7mrPJDJkbfHNcBTjmPc9qQz8LC5aW0
WYVWgGgjx+7DqCt+jE3n0wfMn8j4NPTc7jdJN84TAmaGvQFYPIBq4qqHiKq5q9Qg9VaILKsfA5Av
UbGxVq1PdvczCNHgvaa+gIxh1RdcJq1+6C16THmj6mE+kABe7XAERS05iIqMY2niKsWbaJshucsW
fXFyZfaS/AigfZu6kGKlaamWOU6WvN+38KkTA1ST8l2B+PdBg9xGnmvLplszLsi4iqbuoiLpoAoX
CkT3NeeeEfcpXSB7cKqZ1zjv+RYjTScg8GqXB5JF7tziFuJ3yzQ6XqSUzWUfmmW86jds9S80Nn49
prwfEjiTGEieJVlLREkGIDFzS5L9KHEYeZcbWnX2fgF0So6FYooPt72twoMIFwPU3ezkxgrRxwcB
B5sNxyhSjtLsGcK+H9aoPvdspPDHHqpkfRrNkhRoS8/p1zBUfi0q32QnpGuwtezBopkwdcvN1jWn
xmkIa2TgVeOwJcW+O6nzCWZIrHQmTk818oFPXnFyU0NKSeVMdrMtmiRlNTRbdZpPU9axa+Hr8DMD
+6e7S7F11NXe2V3ezVFqHmMPiVeUQMTd1kykO3KnJDOPa6SBJHcbLxho5HdooYOsDXdRAjVyMHnv
ghHpx8lH9aFPO9bnSm3uZu0H+VB7KOiXPZZxQbfFF2lTtacsy+TtwupwXSfb8DXUa/deksEUbcze
DdSoj7STo8zrWFvATpah7+d8i1vpbQ5D7yYcA+zdwomtaf3Mkk1fuy4IWWI5s0Lty74dR9PR6wD4
YvbRR4K/rwcP1EKZupFHp0rx1Q95hZUrQJMPTfyzdVVwHyllLORrqzYBKGey+lC2Fz2A8xC2HbIp
wiRBw1l3nm2KOqYlU1fWbE2i6zXJQGgGfdrH16ZJKnlvo8264wqef/y8syFlhQzZ6m6WTNP6KzJX
NR+oS6P0pFvdZrfdtg5wY63Hdch9oo14Jsug44eZLEQfINMQRkgSWNacp2iVw5eogZdwV9DQ0raM
bde4fKEtUlHpFt4WZkCO4vOKRIQMeaBhaX9sgpL5dt2mdf8OUyqPdKhxgmJ1D9hbVOcdCEPdASo6
VXplxNB277YEtf9hGjOijo4j7pSoaGp+ni/wu8PMVUoeQKrp6A3wsyQpE7lReU5Am9p+acEPUA+L
dULHRZD12lzb2ZKY5RAUEZhI7V06hHcojXmKKhiQzf3G2sEiLjQj98mdVtiS73sUq/5LT3t5ziZM
JYhVnn9JLOmjrwozLZTJ20ThUogmdFNgdSBZyqtlRXS3ZtnKVdVGfGLg9Ltn4RHbP1s7y7QrKZ8j
nFfVSKP1PfN7t9V5lKac5M5VRhWyIkN6b3exhV8y0P2Hn6YFm+0gOlj9PYWh2SQEB+hkHuHxTPvt
MK5Qd72SbZROjwy7DBExJmYWCE/NxtEsbEbQ908diRt/In3Tx6rMdoMUIB8YYzVk4CfUH8j4urkI
q77kIrBxcf5d54yp/ZXs6948Dzaa1uPURU6erZULxRvbpTflnA7b+rWXFFwk1vTSfnW+n9ejrmMV
FbJfkpt2ritWzJg9utvQdVmNV8JbkAEtuuyF0euMpHRmkJN5Xnao5EIIYK5upzqdr3y1iaeZpMEh
O6D7rh/CMAy5gZ9mDlJYvRD4i4luOgYvaChqWJAu551YFGiNXHhunZ8inbvFefuOJ543v6ywNhGH
vY/jpmT+cq7mtYXHxKlCmn3bQpoLq44kilxXHTxNb3Qdpk9S4CGUxLksGfK4xZT52Q57FyFLDXF0
te1Y11fIAxJ+7XAEdN+8J+0VSoBEfpkgcc6bgso6bp/0SpsGktCJYu2SY5FRUghE1YBqLgJxbudN
0t6Lzsd7YbDhP/YJVYehatmIrVYt11OMDsYd+hWEPopxY/21X438jk7MZ6QeLmWwVGGAgE/wiEmf
xrSuvkLPomvLWiEotp3p75yLkZntEBjx54GLptB7gOEIEPTxqeWGDHezI3a4M9Vibxatp+4bHJzd
SzT31pbbEuE1Zht/7pfsMtzpBc72LfPPDLmEK+t9Rq4OXJPb8sFzdQRZWbK8075GbgDYwgqzO7Gh
X4tIaNHfcd29B6AfFoni0ukB8ds890jG8pQCgX5GK13aWzKLOXokHCA+gIL4WK/nldW1G/BSlhBb
MLqrrj1sMREdP3SCte/qGd7whwREgfmXbU37tYgadK6+Qu4ADrKGCpsdxiYNKZZmm743LeqRqzB2
Nk87BFCdr4uBi12dLs0PQZVNn4lfmrUIyiaodng2rFverWKIvrRtUn0Xl9TkJDawzD8Gpl9cP7gM
6a6cEySzKuuXk4QniCgkM+plotiyuYBlRwFbkDg7DDITvzb/erLjIQRxgL5llaGUgan6cUu55591
HUnwj1tZoTMYSQVlJKshxVEiKVH+mrJp+jEMG0kQ57KmG5+h1Ca7IjWNJ6fOZeEnSud6vzFDWr2o
ZtglhUF3WNNb1fhs/hhVMaMvCSwz6E+Ulg06I11Nb+VkesSOuAlFWiezfzSy4hpUI8yWsprV8WMb
MYZuNlKP+IZ6CIoe5WpYWm5uj8lhZatd80Et23toIifZJ23k+i6KMvtJVDz5iHG726+mCnyLUzSh
MN4Gta0HlgkI+u7dqj/hmfc3Y9ID1sY6OGRD4ySbzlMj5VxQPSqf66jqP4Opu+UzBU9G68yzG7Pp
6JEzv90xuTfiOFWQGDkMNGxXM2wlrhI9xOcMPsaIeSOxz42saXjQ9QT28LpC7yen81K5936BxOtX
aHCgOLPBZ81ntIYJz9ka8BxS33UIC5IkZELGwcE/FrH72GwMSSJBK6GukWV0NII8LN+j0gAGTw9U
1OibePifw6eEm729SnWsnyG/3vVPqZhAAt/gwPDU4kZy0q6JXgqE7eB8btAbIw+6b3hWEI3b+ThN
lZ+O3Vx1TZFmXPvvF6zreRoHpW42zvcBn9FH9qlPMj88kJp7JGyhJUchdDSdAKHk/h1a0eMBYWIc
j4bSzpZpsw4J4HJwbj1MPkYQgQ7MNd4F2hGVppNGue0BWl5DcE82arq1GOmSDNdRtKr9CvJj+8+I
wjYpH2ANeVPv04btUwk8jt7Hh15mSzHPzl+TKUHC2bTjTdANfQJ6eQZDAPqO6HNAqIFkvPoc7YCT
HwUYMuEj+kzbioPIxslPJ0ydcnjg9DvaA3ZY9HgeMaFovzb7bFWBNwXCu+gbZOaImMOqimauNPTL
IV4k7yCRJnghPdPLeZuyGXb18M2Gd2m1MtHmEYXs4dFLctmEUbfWNdwVZ1RMCD592e1W+rMDKUPm
6bS5AdsY866XBWdnddbGxXW5QlE7BhJTpVnyPGXI0MrVS9MUPFsZuD6Ohf65ZVB6KWPozbefBzQ0
slyNS9N8jLcd0aOOIpZcM54oWiiZDmk5oRu2FtO4orWVg5e31WUHHlf8kOnZiHcwBGnXPEAFWh+W
UNEpD+meIYOROnE/IgNXhZyC6iHfwctm5VdN0J7/YPhS/pNFgspuqU0GXmQD79PHofYxRJM1ioKm
tUo9BRD4+2Pa2ViFnIJsv6KB2Yx7jULdoeWARb0hKYSveTXDjFra6q6Z4nY/J1m8jXdSo0+bM008
9NJ1Y15iStrmPt2rEVCQKu7H0yLWKH0ERY0z7ClDdo/5zxj0Ef6N3hwBLtKqwFSFLt9Hr2wEg8Td
iXM0oJ3yOR7U5Q0xFD5lYqTuwPtDAabuF/QP+wL8CmeXHJpDSXoTs5SiuKQuGk8tcBbrd58GacuK
scpdecRrXxqqdX8YCBFzmcKRxvX5bFRojqgGB3lTZZBfA/hyuNiDwS1tKrumldt15WIuCvBEaklL
KDHE2FBtpTDPxih0qq/ZupEdOYvT2QlNggnT+hm5XY4+bNLn4ObtXTljGQzHbFuS+YW3tB8i1A5J
5kheE4iY/KJ7NYDP1WNC5nCYKuSJWRENRl6xVKdhO/eJIOIZmtHK3XqU9pvGF2+zLkMOspHpgfJ2
2D5F+DYyypvEkWk5XtSsUZCuYl+z++VSQd9U0dRvSL6Al4XAVKjq+iGoxKJYMQth2OBZj54VLzBr
oahWY6vk+KMNqK4BpwpcxS/GrdGMZIBTFEyTA912hVvNZK6tnBbxQBE8aqSKott/9g2mEV+7zk/9
MauzMfJ4upqMMEtmpn2XId3HXk4lz+hRIzWaXxqdUS9yl0ioNXueLeJDgv5cC/sX9P/dd2mypX/W
0TJFj1ONgc+79VKoQrEgiCEt+DpD1xi0OW2Gc6Mw98IiyTQ5Go7Chx3go7jMNyCl1tQXO2ZIEyrd
1vCWlzFlTtx4jUnSLbJrwW6RFmX2/Th0vbnmNfHTOVpgZv6VxHEVF+ySsx2XSUVLPvDUR7dTDIGn
d9FilxYxDjL0hURmPB7CooS5b60D0UXRmK8f9gEoskLEFkOelgwjJGZMHbkfglldfSDeIviP8Dfo
1v062uGvjZQVuobD2euaBORT8KAuEr655RSmUZKTQZfdXw092+NndBUpvW57TAILHSsAAA6gbsZG
lFibO3pbl45adJxNmi4FYaqLcuy5O6ZtyDBrpJDHOMYJoNXzsY0SzHvYiBFPyAdYrIk8zJumpWk4
zU5uW+R+0tkWxSMk3VK/SPT0anilTYtMuluaGGufqYWq+guvs0XdIrFt+XGgzSLfe4/RTDnUoqvB
TgQ49bEdx4HdVPUw9u+9wIO5Cano7XW8wFLnbsW9prAcDzt97Bau6uutM7L/iEKvrdYiXpAtz2U3
CYW2dQaNtjYuFmxmHRXQ/mBBl5gDciGPPaDBFwlj/gUKhrFNCikhgKkOCqMgu5yRgBk8WMc7bR5x
To9oPAOMg1EacjcZ3hM8dpCrJG36/SOmJ9V2XLGTj3Lf+S2KaBbdpFElkdixGOp16WWMJ9KruGNM
X/Udn+ntPkwguSZpmNwX3y4SohX9AumQo6v1Fpo88YxyzDhTgK7i2Yq1YGhs2K9qhWT94wTZBZse
L1KvCXoaG4X7ujC7XLtCKu/7MihzcZRzlt1TU2XjOQO53J/mUS+krNegx9vUQqcGLdIY89YpGL4c
WzTxkzyySRIdMaN0bTmIWqLs1LPVyJCIasm3jcPm/aba6257giRD5tB7byqz/yQjJfV33U/xcI4J
qI7nGF3f+Q4EbeM+DJCkRm4z0my7TbLIhl/CTDt9G0IdWTT4tlQUu0Q6kqO/vGC20loLsN/ssrsl
VtYXLsA49GxwC1257GnaF8DGM8zMs+yCaFzFUQJMej+scAb+GPu+tnfG7cl4zWF7t1/eNq/AdZAu
wLrd8qz7jjZfRMqOikhbiLWininsiNWuDsisexyQCKSXMt8b7R9kZFZShChKDDaLmA3oEppenqDU
aFchkzBUPli+DhGY3S1vfy6X8/EnX8BUh7wBrc/zJEOSx4h3w3tiTOqw92qqZpdrYUH0R4sJRlG8
idu4JCmNAK8h9Vzdpw13/ogwCi3EdRjb9cV1m95up50r+slsC8tQvMzdch0C37dPgiu9Plw0HMnJ
qqXKFcRu5hzZaH1pluttxZmLAeajCEHya9uAaXCPQYmCBgNy4x2trblH14rCuDKj7huIq7PIQSxK
/WFjukfXzszNE2ASCTKiFabMTx2QjTgX4bEB7Ua5iko+cx1LgHvHGPOs9WqszDy5vAXfL8snARwB
KTD7NssLGkk1mrdo2MTuG7oVexvlzCF97XKKKOvQQxwmsD1yiNSj7jxuoIfCHGjcMtZ8AcM6LCZf
PExs5iu1Otp2hZ+hH448NGYbTUpDGkA5yn+1xkGeN6LiCpMq4ooYiCCbR8LNVQGhZPKR4Lejm9U3
tT7L5tL7rVF+b/oSM7PqYUqtOaBbsC/AtUZVdP7XatniLdhsOEGoe9vKmHXTku+hoQ8YWI1LySqQ
v9+GYHqtLMRCNqpptMMhlp+77ANb34Znfi0oRAeyYlyD65L2SaBp0dI3Umhem85NEDyUVcv5Ecdk
jCaSXOM7i2ht/4TD+weCVRgZ/Bbpg1ZY6oBIw2Qiwv6bm6l1N8pHE2QErdFoOKVrB1sALuf0cbNo
3aLA6qK4mKIN7+mfQ6guqKLfQxu9ApbVGNFsbWT4cYKb6VC24BHcATw4F8jXMH7ELE6c//kn/RGY
6hUW1MwWSw2Y4iMEAWb+3oWpWkpdI88tPU4mqJNCkWRAVrqF8U+e8B+ALF+rE3XAh+E0SemRCXhy
OMjOHGb0mv/kC/3R1V+hzzQc/SxvJAVyRH3vTfLsha7eRh2JX8FDkabPStcVPQbYfuSNCed2Gcgb
L/4KYeaSxI3TwugRPegDBqltXiXoPP7z1/xHT+UVPLTa1tZR2bJjHUcWZ/pa5UmD0/9tV7986v8A
x6W9JkAH4bmku4I2r5Nwmdyn9//84n+wQmPy24szkyivtw7LpeEy/WnRU/JFzEIKXyGRKp3rBWjs
E3glVL/Jno+8VoRpRO05ZIToEXao9FM2G3vfJWiv/vMv9Gtw/Z3d/VoPhneBoC1UZ0clZIMOtByD
x3AF/72ExLHnDJk3/mbMkpFdtbr70O3thwQrjZ4q2y4NapW6OcCd8ee2Elg3544jJfvPu/u3H9u/
1y/T43/eh/37f+DPPyaNYr9u3Ks//v3DpPD/f1x+5///m9/+xt+vXqb7b+rFvv5Hv/kdXPcfn1t+
c99+84cD8nIX3i0vJjy92GVwv14fd3j5l//XH/7Ly69X+RD0y9/+8u2nascSRY9pf7i//ONH559/
+wuXSMZTBLh/+5+f8Y9/cPkSf/vL1fTtd3/j5Zt1uED211QyCjgVwC6MywuL27/8+hPyV0YBfeJJ
Cv0gkl2IJCNcT5u//SWhfwUug0mZcJSb4PFi/dpp+fVH2V8FDr8EvKEsweWg8vJfd/ab9/Pf7+tf
xkU9Tu3o7N/+8tuzgmeXG0MrQkARG20eaIj+dp+g+7uOdPD+0NVALG6+2Y9V54CRT5oph+jh9icE
/EvI+O/V+1+fhw+kNIvxPF6x9Iaa2J4NMXxyMovcNKt/WXdApYKP/ox7Cf+7//1ZVMTY3hLTaE5f
S84hKqaENI0/pEl8UQ2n9P9Rd2a7kSPJtv2V+wMscHBOj5dkzIrQmJpeiJSU4uCcRye//q7IKvTp
rotG4wDn5bwUqpCVkiLEcDfbtva2JmyT1DjkptmcZZxM5xF2aFdwHUdJ2/lfTsFyk75S8lAiIZZg
E9I4wlE12rUhEjKQftK9CLYcQ92yGvvCoMs4XvOIPpZ5teOwN9yYmYQiIyQo10K5lNv1L400ncDx
pPFE5z0QkONmrXEaRIfAfR36hSwGjqMhd8UvxPF603sziqeH5Pg9Ki39lVwzAGTlWlEdF+sdNYTD
XK9dkl07jXkox2G6z52V6AHd16c9W7ckHVzq86OMNBovmNDWLDDTluFHlhRuEqDRugI4THN3zWox
s0PtIft8ZIeMCnoYijqw3Kn7phtHbOidg5vwPBgk3W40t7qpFuepsjPZRDK34uOaaOspgwS9I1n6
RqXmsBGxPoVJ1rxqZZojLZj3uSDNsbLdm0VRJWcARkHbdC1hvFp3A9mH0XQcIQZYKBEUhl8Q5ULS
eZAxjdwYmpJHbelfMyb9AcnbNJVtVgeOq3mwMe5lqPKcRgKYIpWY+Aw1bGzN30xxtexkYt4bHZeL
qT0ANUcM0/qASXu681ANoqL0D2ZrTCH3Ed++6/JAN5Lv617RwB5z/iVdAlef630PPhZOhVsFddrr
kSP45qZT6tHk6ffgt30w1td1J1XyMzFJqSOdNoJX+JhjHnWjL7wIyWmXzfo9Vj0Cz3hHpZX6USzS
x8HIk5DG8wvN5saQDKXBKEPoyJ3eMJNkW3UTmr11H1sSSLY0vnKn3DI6gckZh52l59+66ciNjLtX
m/9gj9kFHPZb+tlNOSTHpJFGKCc6ryltH5POIUiCG32ZTmksd4Ol3ZAtmW0an4bUU1dYoo3bNrnJ
LTHrUc7estt2sC+ZVr8CtDcwJbR51lycdF/9coAdI6ngbiWQJXyHByeS+BX80+zTNxI+uno0p5nf
5sEovIu5pMnFitUHpO2LSkwHixs4hLRkFjqxhvU8YaDrEjBADnpQa30cmi5guoyrQDnJKYklqeud
+Sp1nxcQ0xDGfLtizj5iW1yNDwNDaMsNmSoEokHQLnW+NQn+GkjhMEXoU3PIL/Y+LRc/jOt5CbSi
6IO45IOKu48BPNhyEPfu06zzSiu3vJnAvgOhNx9+Qr7h7/vif/raPGef4Nb19/D3e/Nfrtr/RZcr
svz11P73V+s+K39+pj+L/3PX/fz61af/fM/+9Zf/umX9P3Qd5IPr0hSeztX5j1vW/oPO1hP/uDD5
k79uWcv6w7Rtbj0Xoc00zWuQyF+3rKX/YZGt4vmWY0CRX//ov3HLmr/tlP9878GAGtzZNlnJJt3h
3331pltAz3qDh/gQU4e4/YII4ms188Wl/UR378AvUv+Z5ABv52hziZYfD9gX8vhgEmH2pXdrtQe5
ZURjDrdj6Zc7UQ75e9FJGr7VoaBTg2w/24EJsw+bgoSzJBct7tUDBaO2BTdJkPKyoftiw8uyA5B0
H9AgsnmT6o34jIsappU1GQB4Gn5WfzxnuShOXONGNAK2HtqVWDAnIycGdmabNf4tzoh232AueHVY
dPElr9xMkILc7DruvK1VGdgdirxQX0km4vffoMHa52ZkO6w/XXt249jCX3aLqV/TW9sxSszi7C+Z
d2vBj20WM6/3daobUbuMTjC3ApJg7EHRMRls/BwOAtbGWXYxovUarHHW/JjWuv6VtRm8s65Zx9Yb
n9Ze91/MtfcY9LcChd+eMt7VmoghL6uv4WqM1dxNnCLmBkuZTzvUKBUOtSlfeyiAo+Wp4VhJ87OL
y+kcyyy7obvut5nr9Y+4adIDnKAbkj3GmCXBTPNBBJb2YsaJd2qzXtwkXh9/IHYBhare1r6nxRnO
5eJNr3Vulmd+4bxOe+DIufo1bF1cZjsmW8D17DpcSE/fxLr3zb1XRY6TQtEW+JeOrWxgVgrrcy7n
MgnWwkM3JTyPPSmO4I3SqkdRmlyMa+xHmEX01wlKGSSmaPe+PdVRM0rjTInU7xsTsXq22EBCe+0G
eTLYARaEqbk6DvKTrcXPaLpzZGdG+ST0YghQwGBn1tR6U0sj9yOj5XASbnkLZp27YeelM3PsAQeF
OUNfsHp5lq7JUNvpNqWd/jJ5S+Igqxr7YhhTjkPGA3CM9Ztm0MsbbDv+l92I5IeajASZyyqfF2UW
Ry+Nnae5qloyHpTf3jDPY9dKQ4HRtxa6v+ZrV/ubwBkkurH56kV/6+PGCI0xabbcVOZltRb8G7Oj
LqkqRvBNk6c20/3iB9lfZhsph8UtWsl7hoqrRxqc5juG5vqkMdR+YFmPe1qzxoMN0jtw1/yrFdeC
AlKnWVzwlUZxsZf2FHRacrK7JY9mW6Y7FWfVD8Nb/EvKqxtCSK11Q2q6QSGU5sllqPXkzloNEQ0p
dSufMmw7QYVhZtdb88QuJn0JxyU3QqTW6tNb4VRxvWjtXrM7se0UIq3q5N061p+9oY6eBNDV9Dky
9UHbgmafS/TRPXIxkKruPKW/w1ErnCkVnCM0o6NF/3RW/9Vs/HNz8dtx/LdTz9QFh7xhGz6H8N+q
/dilUK57jgPmSdR7k43vDYSCUFwex6q5UUV9XfZrbq6YUaEKK93UqNkXwZZoJpFxNZ6GdZq/4zId
oyqtipM/WUkZZqYmAbms6rVucd337pxZG8dKRbkZBgDdYFhW+cDmHT7P8vdn20p7SxwqPhd4Vq7n
wgxFuITzZDERgzGW/yHDzP0dIPPPr92w6Du4eWg9hMPl87fOivm30D2Z6DvDTh59cEi3lNaj5ql3
XejUg5DRoe0m7Y2L0QbInt/x1ptUw9NAbLNLcY5ZeWOvaQ3yuMZqBzzDyDgvpl/SGvGVlLCcbjvv
hSoOrbW2KjTH7t0D1KxTFmLaVX9kou+FUmafbavqkGervFOsnjsYut9GxVKMR9/o06PZ4hkNe4JC
N7KT1qGaOssJdakPG95HE4pX5hGwTbazfVXesYTCf689Wb0vE2Lq7BTVh1la48VGAb0UCbaZdKZy
rQfQoloDWHBKK75bymx64D/dbbcykswNK2Xz9bxGvj8AzhGMvJvHBl7Hma0b05uXQ5LCMaFwD/E2
GczkcWGeMQXzmvQhP/YcWrlMt5LV47tutqk+uWQ3hUU7xB00ZhscG93zADwXJZbfPOdWzkp5jG3f
Duv9omsI4mmcwbKYIOYMYYvECcfetJ+1wTZv2eahPVrMvPYEaLO7cPX0+leb1+rZ0Wrn2WaceZfG
LbyktKejvpbG3oKbvYlbvdubE44fJpzDlHqRS8sPCtarIXBHQ92b8zzfq7mULEWsxjZgDJ7tUjFV
/EZAPFnK2D2OZuGHurmyHaA2zA9GxvFTDZpEsVr8SDEdWCErooiDGgjhfy/1Zj6vljncrKgLO5bR
Yn5LGBmXbAHfek6R3bj2AiHbuR6zZ4M5e5CUAHp6NzU3UD3xba/Nzb0DC9bulJEse7t0isgWVrXp
unnc+NMq78Y5rc8OKnOU9gzZy8RqjgrF4z41OEWKNqZccQ8aiRuEsd8uZvpY+CMWmKLcaclyVr2j
7XLPnTGEuUAWHFX99cxKHE6v+HqOWYmR3perpn171xNuup51IAdg450ZCMTIgKGDvVt/H4zj70OS
k0JE4/Xk7K5nKJYtzpkiM1cOAhx/oXk9b5fryauuZ3BnCnWs5poztzHb5bW6zurMeeFEN+r2YXLb
+oQzbny3Z0eP6sJ1I8lq5W35+2LIr3eEe70tjMIYsDte75A2kZm2d821ysLh9xWk+w3tv6+BVBGu
17pPCybB2x4TWxyp672Wdak1BF4Nd7brda87alPTbPvrPTl2+Rrlv2/Qqkm8j7nJba4KnmkUBDNr
Tk1RTpyhLM3ZA7bNO0ygQJjd7yt91Xt+sQzn0ojufNoaOJth+Ht+Re7vqmG5FhAalcR6LSmQmSgu
pDPnIXG8doS7Ulx0ysfYZ52pU6ZDFcSF521ibVSnsjCaqPA1VqHYFbbbqix3mNpSut8yP+TjaAJt
e6kgvdEXeGRr0rR8aPezbfb5wcKxec6T0nxJa0dcht72HqrFiMug69N+a6ad/6uF679TxWx/4gCZ
7rJ+yX5o5GM+xlamehyCo3sYGCxAcHWaikpdZLeO4cNnZFlqXUjFGvcdMOmZmm7JODcYugfU9vZd
Cf11bOKmvAwjmdoBUFL3obrpVXeaJvI9bUlDaen2FobMAK+d0ic34YXndA2HDivPHKS5Mz0lvtcv
QdPb1saSQruz19o6uI4SjyCTzp3CkRoybuX5wFf71NQjY/Vah/2wtCwfSDdOqypIJw/S3gC7K3yV
95AOVbJxQLf2FJb6h/LX8ZPw/Ib3eJVZQkGaWNsZeUkPkJvcFtMcbyP4ic34nnc8LPCzHPEqy9OM
F+vot9O8R7lTx9zV0J9F1uGgbJ3kPks0/c1Q3t2aDOoJk0IZqlordlkVZ8d0NXrWhQvPuceuKt9z
yyEuU9dtK7C6cvhI7Cl5byCcNjqI6gavXrzjf/lgz1oMDWvam6GsnBOJDDz8mguyVrNs7V7DmxRU
4CI981yqQIyKjrjLeBmxzKvQZhmQV2ONrPP1F6gyMuBQo+xwJlpa1AAlbz0CRzY2YQevdS/FcVr6
8QzXNfM+uONmzhjO1rlLdLWZSl5A5bUb0CS1IUXXCQrfOfq6+C5n/2Nh08KOC6ygQYrrCsOz7fFp
B2IJqrxNHtIS+yonD4V1LPVnyPjIkXX5bIjGfBWtMe4nXAwvMwjjS9zr3S/J5z3ytZyF5cP6Xvn6
s+VgTAty9t8ebFGfTWe+zdF3KfrVGI5KORuJFlfysUr7eqNPyrcQ3WpHP3WNaA7w8dy7sbSPWEis
/To0+cbo7OUt03hO9VWYJzVrjNpSJ/40cQfvEvYOziHEFmX9SjxQMKtxDVUqvsYxjVn70GpbNqqa
N6S8Z6cGB+hyGiutfnBI0HxK6V9UmAEY/ppkQ7logR7cAPZz2mDQzB+rZkbRgULnRZWy3Lp4hXdd
bdmUxgxR+STaTha5fufwVafsZ5FNAoy66Y5mBsKSez2vfSriwwxND2g7D6Daolkg1AkeFrQjt9Lp
U2Iw3HUzE7i7a2KoARN/+1V8XQ7K981dZvP9lV64ryWVYLaJ18U/A4ItW7ux6q1ljO572mbGzpwy
PBCkBI4Imguf2m7RHdrQNIdrqPtDXvRvfjyeV1f/vg4HNpMRGz8ByNxbv425Hpsn9sIILJKMPR7M
pFvK3Zxl61dOrkZgpd5zidIYaqxfiVazMiIY+Rkcte2DJbXUDugnjzJV6M9Dolo7IOE3jdpu6jiS
JhB2YTb3DWACnmjd5/kmaGV4Qp5Yn6BEmyaUpMqFkGw3ukybKah5zXdFVZtnLERxoMWJc7YEcuY4
kxYXiaFjQ5Lv+tojart1ZxnV/C3kR9yvUTU3ymEh4Zo6txoD+32XScoirTqD8iFjtQ4iWEEkFjzZ
DstAyyli0mMovLul/bU4CMKAlhVUsLYUVTj7rhE1U3wzzPl6oSA8DeZ0wY7/6sn3en1A0QMQHoyg
rcz8O7eTi5QlVG3X6PeuHbdvPF9cXs4y3ILgJ6cCuPOVrZIYIzOQKDvUuGd3jEPGt9Xu5x9O6Vtv
EJv2C1x2G8JFiUOv6fmRm4CImiLWQi/NDVCootxUGkxOnieHocuzwAefC8hESO+zvHEeFgzF73ba
rPAVSXnoVhGHa+6wCKWSdrH3vM5euU9dRRQzVW9TgQyHZP2l+0TY5aG4MsrkcK3hqvnq0RxZ22xr
9bpbCldslVvne1HbNLIplSymt2UzZYbaU0PisRK1R0JGZ+nxnV1UzUG0o9omxSjwlhnpjw4P324y
BzsEkGr3nuj8fVIUTPfqDDoni/Vxy89gRi3pJJupGfLXdlrsJBgU6DcjzYek4hAN+lpbt9P1wvXw
SuwMQ/4otIV1rPi3dzJuKMgkg53Rzen5hSOe/A4gdh0b9mJwZsBLLgXZSFmNWX8otBnjWS/5BMpK
58AmDQvga+STxY9Sh4Nf8jemAY58iSvreamyPtTE6n42SWXtU8kJEVtlH/WDs/BRyco9S6L4mauq
CwxP5jjya06zeW7nMJF2tIwyPpFzFJ8rdlBUfvphI8zkUj8kNX8jjU/sypaBKZV1zS58HcguJIgD
zruw1+WIwldFlA8P9OWh6Rcz7y1xcoGjxeU5xaEbljNOV3SCdZMpO6VNylx6c08Wp5QECd6CmDyB
rja+1nHKKRj66juNZ4Ve7GUHz1q0sNViowG5H+ojC1Dkl1nU8hpG0l3pJDN+ELjYzhWF9h29ynAS
JIkc9AV6MrAxFTznmpjCgWnIWwm3FppNUZ9yqHb6vybfN7Pu7XWLvRBi6tqbyqr6fZ/NYQOGpavc
LQKCE9bt6ubE7gyG9WOgXbsbtDwNqsmFAyrRPlJfDwirZyyUy1Nt2kfV7xeP93Os/Le+xRlEQMqD
WU3+Lp/d/NnRC3FoZVHcuAREjMiQ9iGe87vEcub/xKOY/8oPuOLaCtsCFtBwdd/U/76zY84r1rkx
/mQbHZmoNsbNT1zQToalovL8wO/of61CJU+JQ7A7Lix/rqM0bbT7ghVDH467Nt2mEJg0lixfYaGu
eiWaDp5AEmixnBrpKrSATGIUTt0ZwdI9hUC41I53zFjQ0OCem23tT3Dhf1q1/9+kxzMMNpxrFPi/
l+T/bzdW/16T/8cX+FOW990/hGGbvu5Z9NlEsKCC/Dn89o0/kHaF79uG4RpM2v6hypv+H+gmFO62
ybMiXBOm4y9V3nSYmCPz+3w517EcIuL/G6r8n1TWP2k0GJx8H1O6EJbJRNo1/qbRcKw2S4YZ5UDC
RJLvx7WXty4c3xCxw2RYUBjHIt+XHN1jQFGDLTXzaNmj2k3Ng+aJfOMYZndY08p2zgyZqb8mlfHP
3uqzN0RCn2ody2VHJF+XHNealKHK7kxsYrNuJZfatkuCEcTSvDEUT6uoNjJOybUyEieQSdl7Gzbp
us/9DPdhDJx5gddMGybSJiNUT3zgsJNyE7P/DHyQ27qIcOZ53FWzP7OKZMyzvapJfQlNBRC9b0GU
d+QoTFagTdWEHm62QD2iARsNF9tIzhXUwT3rb8lNwW3JjBj7a0P6jNb2RIR4pf6dZgQIbdrE84dI
CE08sOFKsDAnLpPXVhTmuGOJ0/JpOdpw1xAFE/UKr0HoYdQb6STE9DOF+D7YV+tbUDZO9iY0p98D
Bnskx9a6jjbisIWkNJ3DlW4KLJBHJ/A4RJzAMub4aXDM5dWYEw89YDXjITB1ODvTc5mFW2snHawM
OYHVTe9aZ7M05vOsGI5bZeHu2lVk68XKSL16JCeKNIROLG2yJYfH8l+moWoPREn1Bn4bktrDtbq6
RUmE11DhCgD/7ADdb+u33vV9kRu2v/b+Ni/c1Hvq00UvCH1igBzTVr4yrmWnx4LIC3RwgO2oQhKY
5g1fRpxYRcaFL4m5uDWUqhKiFdLJuE1cL5mu3RP1zEz6vBFXbSBGXT0Mmf6NNLRsKnDgcO7NGO80
83ISbkwQWMPc4qpccEzF68V33asHObMRDsWwzaSxVEFiK1JeyBMQkYWF9XHyFfy+BhYLteQftWIs
Nzi5H/vcYzhbTC9mY8EWONVNx/MRer79ZZTlVRs8zCqpdlrBzjq7981QMSvfWOtQnRMWg2I/ccVD
aTXaAZ+aDBkh89a1+J9KURqBXzfH0Wlv0kQTIc5pZsOxd2Z6159h/AlwmMr2pkhnbJq6SL/ExKon
D970BRStukyWtPfjhAsAFpyhrZ+yeH7qk1vpNe7GIpnmwe1Ezdpykr6EtNfN6ruorSrV4x9JoR7l
0LQBKRDJYRmRz1rX7Y5krV2H06TPu8rCB1PnH7WRW4/kSchtgiUUJ6UZX9NexUZURBAbSI7BFPth
ZgzjuS2clW42JQo9X+zxqUibu6npdpPSVy4omwzqDkf7bZwWfUjFwqJdO7Oiq5uwts3d1HZhskwP
bADDAuxqj1XV/BrH7I7cwQHR38AhNAwD4+revR0GPmWkco2INeDxrZLVKyPHhsPIehIQ94w2WKRe
xl8FSzoMLv87bV0xyeQZT3p9rcDJVIPnx0pznT52Un27FUb+MtXDltCDyzXGOdRKuWqQhNeZEmoq
8GJHTYdHyGJh+5bwwv4mTzWahx6nJkWhCmfXZSi12Ourxs9Nime8btJCtCwfzeezRx2mk96OAd6u
H50hzo+FXeKO0wtSKmZmb55QFMWWqu67PsNC5xK9xQqA9UJ6P3FaS6nsPVEE1KSTNkEz5+BAoRAV
zH3RahMAgLk8o7FgSLPi+eL7stk4OCs2fmrbn6zU+W5ay4r0ke2NyomtbWrAJgykYoTk65R3tr84
AVYn88gUQn7UzCi2uo0tnfkXXIu4Gu7wgHl7ngROwkHTKWSW1nuZfTP5auQ0/6ctYaBg/8ovecQ1
6g7zA93VTeH6fw+6rWvI9jzV04Nn9nSPsTFf0zGyerntq9L6MdeD4IyrM8ngjlXFQdVN1VPVasuG
PHjja2Qkm98s9WwYG4nJfa+ZTqwH3fW3H9YeG4ID7HduQy0do5mwT6PU8Uob6cHGITTfKuyrHanS
64zd15IPi6uj44BAOZN9agjqOq/rKO9SL+WIahs6BT23gNkHc+g/NMvUHCx8zgsOGQaDFUGCgevi
7wv0lq+OSODMZz+W/WGe3YXVDHl1giNS2yItyEeDBN9jefWPECkz0SqsHEdDwrHox8Ozn2sNHnvM
DR1LlPkZJ/I2BuoQzOZ2vnUV99bgsfmmFmsTOrO/LnvPIZGtDCZjnoodRB7Vp8JHusfzapc3rsi8
DSoG1olx0n55rrsc+56VW0VStzjmha49SEn4raoH+7bEJnvXW2ny2M7LBn5Kbknaw6JQreBJU27U
t8znsUCPmndrD479UmmNFU34/Oiv2maLsopTRl+GTQP6v7US7zG1PWIE7XeM/6fJH37Wg7EbU9A4
ct/Epck/pql78DXDu0G8NhgeriBEed4/pDr7j3FrMuXNsDiMV9KlxhWwr5jO/zRa29yUBQzL6E5H
zIgP2KKyS4qOElzJxzsSh/auiO0D14oM9cEpnpFB6jhA5GwPqzuiZy1NP21AmDXiX7rqNV9QY3Wz
+QAXpHXtCLuyV7/aGzybt63bGo9ZYn+6WFIfCFPsvrG3j5d+sPtkSyZUT+cOKrcevNEgsqGaIIW+
ikU0r4VwYOHJIvIFwtVkX5q1mUwOZdtWL/6qDOwcjDp+LpBOb0NMlvKjHWtmxc/nEjhPnEv7ZlhJ
evGawbqgtTof4BNuIAlvsFhoYGkfUyr7jJibCfzHGOydr2E+dlN3Cs0ydx4tC9cbQRn4xky/fDRp
jtONm8h1Zxdwz0U72mdXpd15xFEGLJZVybtdesmDLgZxZuxNRdDO3PPjnMCHqWzjOJr31BIZiAxr
OT+paqXLdaISYz+zs+aYsaLS5LdppHrA9mT5MFftPIcMmq1so3cIwqEs4DxCJIiZfRI8Pe1WKpwg
CSdWEyhmaW1IYE9ygfPyeTvJLwmw3qwbo9Lah6XOyxeuFvFrrJ1xT+k1mByRZHtZDdOsQIIf8EEY
q32zkON4VCSBqc3MNshnx87lWS7SutSCuKQk9/1XdtcYT1kprn69OHlYNUnJY+ld9fg7McpYV367
bcbVtAoWZjneDGHWCuYMxCK4N6kspgqxo2WbSFz3G7Mz37B/IT67xgx3t8j8rcCS97rE8/fUjBgk
YAOmvaFXW5NoFU4smzBuSTLSe2ctXRrEamzTgPyl8mevp9MjznvxGivUcH6jrDsggwNnLV4fAgUZ
VFjvq2xxNFm59kZUW/5AwIL/k2Qe9WQIVd3kkLisyq5MvF9U4fZe5PqEUKkXKBi/w6wya3U+cTnR
t2sjwrSlVlNt7FGO3KsEr82hUMPyzlRHu8x6U1pBFecWLu4qliciWlpCo9wZLdecvlh/uGZ85nrv
BaKmG64JyZp1qqWZ0GmYevJq4iaKcUgrtio0WtcRIchl8eZ1XfmIMVUecCJaZCW0Cbjof0VlkQmC
ZWye/P7IodePkb5MqoAeba++ajWb74PbLHJPukb6seQ1yEgZF9O5ITQnaM247II/U7U8amydaNfk
RGhQ1mxxVrtfMOHGDfbYkVg5s5M71zLX54HJW7MxBqPf24nSflS9nd4NeDU/amUMj9eYgUBdH0ma
J6lQpMjQmcOyZvcCGUQ8I2GXVM7NOjXGIbMMkj2kKlEHhyEpi8AThHfhRQDMIyXldskVh72rp4JT
fC2072EUVR7gTPWLoO91+7JiW6BdwFF0RhdHVGRa+IG7b+m3PPLtr2VI5OHP0C+SP5LXihgcrJip
mxzwEYpvk3iE6M8IsHLIUHpbttAwCJsk0lEu22ejzNc51CpFigoTNXzasTdvfOnhlwQeVDJCchvY
fJX7tzketAfen+oyDwZVp9N3b/9fopjKWvQhxmRtUHpkJ4axltkbg9CpQye0eWeRHzrjELSNPMzd
mucxBzS5FaLJbsfMTPatRj4NAxycdh1uaQAw95okwpAcnjvNyJ6NKnxnz5hECN20a/eHoRnLB32M
RaqjyoRAvF3Q7Mo46y7dohYjzAZf3S3d/Grq+uOkDe1TObVtthlVRWgmXt76bpIq3U+raf+EQHb5
o6UYLlliqkNrz5INAGb/OrZW/60S3SsjSCfvsdZV+biKPHlemA4zSJ3Iny27Mp3CleCYU4ISKLcU
wto5qX1MP2OjVYc/g9IyC+GUgIMjfsehO7JmSc93RBET5ZZ03nxBQOxu3WuOWgHw/EDUG5EEruiZ
003em2vo6pEpsKsiQ2nxgVbJSbY41osDC03LbgtWXUbryNMZmhhiXbaoMpaP4DvAUb1p2entbP2c
lqqDWNLri25ch06+u1x5I0FcA90SFVjadz0z4FZTd1oHzZcV9vzpWsnwlTRos8GY4wuOsnG6Vqyc
Ez9pZwmw+a80t6nSTAQIe2Y0neTLczLnhRHwFjO+9IkeoJdu0rmPyklS/rZ8sIkpmlYr0lyvPeTr
ODwJu8iNSMSqpjQrrCrZJRqkq2GI9uxpQu2KFo589Eb12tTsPrwtiV/jGcbngz8m0xeLdXmcR+2g
yClsZEcVQD5Yne1UKxbqC7derwO2ZsN41axx7TUAKnrBYq2mHZLPfxMeBxjRnfq8gOCy5nhZjn/m
yHlMkdINjMPy3viUbaQdlT9U67e/bDl7B510nRfSIdJnv5pGgs1Mfd7NumYcamILdpgjx8NSkTG3
atX4LY15oSO2RJ6zfqIqVNhiW44YOPfbAbv5jiupjXyJyj6R7BwRs0ibnyCmgDW49qdwE5IcHL+x
n1bfKDaVSROZMEt0GXBtyYqyNlXvr4+TWvRLgToTQSTVjBV7xb4LldcPvePHn7+T6jK7ax8L3Jnc
2X0/4tEfNPrFAZPjiii17VVavAhfmy6FFOqpbtzqQOt4Zca1Wr/N3NmLfFIPz32h28eJD/zTMlD6
d1qx7BNXZSF53NV37bnVrW12NmAXW8hIizsaWW8dlBEPr8kwiVPpGOvJXZlOpLY1HsYkrbDjWtXO
lMCorv1ITd7dz65qT7hBxE3KDve9dDLnTSf27yO2QNTpgTDJoXxH8WrIm2assrue4EJkKiITyfBI
Akx6wPaxmXx7JMjESiv2wmbjEKDijtpuBucgXG+x7O5maIY30JJqRwIUiWCp323SupWsI/EpT1fv
xefAOldpMx/sPvs0XPf/MXcmS5IyaZZ9lX4BUhgV2JqBzeZmPnvEBvGYmGdQFJ6+Dv53lWT+klLV
tetNZkpGhI+g+g33nhut04o8tDrYG4PlUA+Y4+kLxCeANp0jD3HpUAHR/KLxZdZUXRe7XSE6tAjc
Dj2kVns4DHBpAm3wsh3fT79zUxtvhb9n4fU/RU78zRHq0sXBV9JRJNsGSRDG3yP5NI7fauIgObKc
BDRZrVWaZ9XxQzNV9rR1eITgPmLOwZJmNbt8RuUwoZdSf02r/8WZ9c9iPOPvGmS+ElcYtrPOVvkv
y/u7a3OMWlWCaTjO6P8z2Q8/Et+alsdG2n5/8yARiztZZa4VFks5Pcm5pv9jvzwYISinOkSj9DYp
02FOho8u3pUAR4FSJtjGP4WzuFCve815bwezuPt+xE9eWMWH12oLY4l1IMcixvjhkiNfoctJ2nfG
H9pODYP1bMpJ+9klEYX36MWvrm4BWUvaOP0YUsvecMTZV19PGQp4Un8HzMODkibqsa1F5gVMYn2U
anp+tpMBNsVcQ0dHKHibaiKq4fgMT65bzmdNKesKM4PrENPTzlLFh2nV+iPashOMPm9rrkNLIlTm
n83XJFOCk2VUquVmEjJydZ6Q5DD2jL9GoK5j6n+ar8GoabfuL9cT3h2VUfe0xIvxLiy9bVkPUeVv
irVgV4MzmkEMaxdpbqFe/cTiOS2+qnvjq9L3v6p+9dUBpDKffzpVB3hTl94t++oTjKG2DpHiRhtW
7N/e+monmCaJz3RJCwAKPqyayHyNUTceG9zsbOj5wecLBnot82tkhWvPwq6Q9gWMXHct155GrN0N
KLoFOZEaktBbuJ+zevY3GSt78r3pjby1S8JNhdioKZ292XbMKNeJKJB3Oqviq8lSa7+VrZ2Xv/Zg
5tqNzawiv7XAjWYiz0fatcZPzOVZOH3+DZZs8+m4i468cx4s9V6Ilh+SUxfOw7DQX+4nWzALZ5De
fHRRI6pfGuT2NExgpvwZrLFu7/+0zPg3mlXza+j/L0sBF8+YY5gOazUbM+jfvMBjJTIMklwnKbXW
tcHPfakn1NE9GdPHqtS9Y+t1uEmjsY4Q3NY3r6ijS6JW2Qp53eokhrhlmrZoccAEoGpANOXTE11P
XQU2c9KPrpRs9+PUap/tCW5dY4LNiWeU+MJVt7KIblMxoZwoJ0NeDK8cBhYKKvqJr8XaibQRR9a8
+SNLN8VIX2QnTAzPjZXc2LPd/UIZlxgCORPgaMdO8Jl33HrQy+VKY+ZvhWYj2nRT3dFAaS4jV3br
iUOSto7cDIIClbtDP8jGLe5CZPodhpa0w9p24hfDFdU+lpkfxmrU4g3xMQiTadsgyOIXuntdr3Y9
lcwAqaLRMMnZSMpDRxX5aQHZg8PMQKpGA96sNIq+XQvmkULSGe6mL/u3JZ6ioLZwv9kOFna/VbJE
bOdG3xK2Ct+UM5doEcq620UDcj6SpTTQ7uQqsLPIhl3mzvGh8hxeOVtMgu+vE+pL0f8LObfP9TXq
0Z5OmMgr1fsosxOzKyt0mdI/CL2LHiPJ/rk07Gg/uDFKk6jSnhSTESYFKVazFK1nkXmwX/XUeGC0
uPBUUnQWma/OOTaL737FKp0PN2wNDYBhnqIhY87btK/6HPEGxBaEyWlgZsYmJ9mJceRKWxyQ3247
fJOmkb5oCUzANiurQ6QvekI8Q8vRpKbscemHOCCRwDo7nFJb23Vh27BrCCcyt+8gHrNXGBc5p2ji
A3X1+MmcUktHrlUOIrrMUP/3pHTovNd+Zl2asn72/amBuMyAAmwUN9GS9Paj0Lr4Oi3g8hjv6FA7
MqsavHuVr0ZGbNXd3vjaJxkgd5Zt9LVn0teVU8dUF/RUs26ioh7E68ZP5ywPCQL/YXxtrXz2V+bX
JqsnRnA3mpP7BsWITRdZ4ZqD8oHciE3K6Y37QeTNt5jpXnqw0FjHD0vTGHq43mO/7HFSHd236bUU
AmzbslpO7LE7xX/SGVjimk5jd+zAaYbT5BjH1myHNpCtTXMNKIhR0+BneXYA6oiob2aAAUgoNeoz
kFrAvu3XTFet493cMT5ar3EAQcUvWOo+0m59QcyMzZCbohZblqOSvrtrjHpcv+p+57BoPauEFRGA
U+fQEEH7+d8fVH9z0mJsNSgsOKRsXVgGNuJ/de7qTOZzRqLuEbbgQ+zf2ry7NPLx65P8r1bc/2+u
s3/v+l4/0X+ZwP//MHQbzuoN+2/229WvpPv8P//OcPb1L/9abHv2P1xBKITDlprfw5d3+/+6ugV/
giqSBbbl2fwlTGX/6er2/7Fu1139v1be/+npNv8Bhw+GGx9O2Gy9/zdr7b9XnPb6KQzh47jAguw5
fw+wFswRJa/ksOvGeOqfk9HzXhaXi4h71Rc3m2VlH2jonXeVruodcXoZK6bY+R/cHytN+F83GDZf
huuxoOZNtoXlfX2l/4R40B1EHtrsm2FtQN5iNjLCv/Ojo0QI/DLmqX9RTGkWRKplxBIJwezBQ2Ic
Gsx3Dvxf6U4zsHrWeVKuEi7WEwlyLLydaRqUbKXu+kAkwGLiiiN/bXxIshRWeNZiGUb4aD7ShUM0
a83q6EFf22qUotAv4yIKtS6fAstx2acyfyYcZpw+sO25MK+EUyFcnP2zgIQ8b3xzXWLy9+fNNCrj
2EVCfdaEGWzHzH4AAaWxW8icAp31YH2y0ylQpxIBjUG7YGuh9PaMoWibwlL8wXpk+WXk9GirTGZP
xBEz+XzqsYHndUbhlFNDxFP9Y0CYeRyF7G4Jkp+TjgkgEDi4dsK3h3ssrAgvsTmHbFxORd0c4L7g
iwZD/jrbPoLbzCb3zwY/8WGM3PkITM3XZPI1Bin4O7LKijYUyOalZQ2746/oe4VxPainpDv0OP4u
MeKao/RWZtFc7Cpa46BFvXYmUiUF3WfHYTO1TeiORGFux7ayuL8mJ4xgwTJpF8OL0+ooq9PaCvC4
4ASoJufDXbwo7DAi0L/p+qHprYVvrb0v+TxvSkxw17jMsxdOdu19ojDaZU4XHdYTkN2lmYZt3Xxt
+OWvtsy8UJR59WiXRE6zcNfG69SU3SmNLSTo8C9J3LraCUv2SjszYARiojSSgXT35lqrpVvPY2O7
6OneLCsTHCfoVDev/H1uzZRbvVj5bHNxEOjNq2jJtz0srl7092JcZcVYP6gacOhxW3E7STsJGvB/
D02eDx8pdfG+6oca8l+MTK7StB8uBp3Qk9X8UDoIZ32ETasIlsjQNRWpsfpy/V/iV0zHu0d/Eb8v
8NSrjWbI+RrbE/ZmrCCPOhDe+1hKddMb+qoWPmAwLaTUIYddnXdQ0Mtx2TfxMDwWhSP2RWEvj6jS
QKEvGqsPC+6lBGx1z+e0uiGZiUPLZNBIFoE4Jq1pbx36rqCrdHMr3aE51FPTMDNkeeqnqLarAmFV
5ZdsdZI4ZIlavlB+AVKEaRbwMertmLTigLJ5gQSg7CO2Rlyv6ChCq5r9elOXqL1KzffDjoHgVpEr
EnSxlR66ATNIHs+62rtOreMHR5q5Gy1HAmEFA/yAKFEEWqPQU1flXB6ysbBOM9vLzWgpcSN2xnqS
CsxL1T+oZln2vqydq1fb8z4rKhmARTWusZfcfA6ZECYG/tVyi9ZAEZGF1UwaVvqTpjf5U1Lebv0C
SpPhL9RNkPBvi2u1HzGn/gGWvTh1UjbXCm/Scamks9OYI956vuwt/VSELtO2Ps3GS08iG5zDwAbs
Z2cX7RMnswccu+6+my1yFcPNIrCMeC22DTzDCnhqLPKjZztb4DXdiqQex3nvLG05Bcw/Gd/3TTvu
oiSfdogvvOahgkxa4RuJs+uIlB0ppJbtshhAXFJ7ANCjKE5gEnTuEJitbpHaOUrcJ4Y1iUCm0Ztl
a9HNxq+ASMjxa3NDpAW/Zx+gFfEjhjc+aiaRccgx+u6tb5tlmxtRfBNDV564/LDDWoQYcKbN+34e
q9M0l8m3xqjk2lF2vNcJc+ONsvx8hwUapQtGaWVdKI2ckwvMzA6txv+NDQVNBlv3luXTUJ08MkY+
7JRElyVbfclyQOxXea7YV8xuF7K//OZPWudzgxq8G/64vYd9X9JcleTSHRpR36pEe2/V1B8qTUd3
YpC35aGZZTgJXqJcIbYD7/9if4NFK/yNSOL6w2ZKRcgOtkGf1TiKSLDac1kyezajqQj+SpCD0lbc
SfuSxr6MJlsdRTZLn2oarcZvAVhhfDKy0n6Omaqq3dBozSczPvUZRWb1VheJdiU0rmJ3VXNBh0bH
Zyv9ZXptMjSNXFKR/RZL+ZGXvnaePUdFZ90mykWA9RdbByHQ9q8wOrE+/3HTWU9/JdJlFTnNKp3F
HwT/zhNXYe8dEXsW2ePQ9/WRzIP0eexaSgKDoL0AnLfpPMjSb/9QgFs6IxVXvFetsn6CvZ+PA1DB
/ZxKcRaz9H77JRXpJmISetA8w7lEmU1Qo9ZO7bOZoH+rFD/VPEdkJY3W3jALasVTHon2W2mL9snm
tH6ey7Y9wGeQu7iPmevDmvbEBueoulpLZB1sJ41Dt6d2+cprHiTdQZ/ohXfrDdykJ5k/aSD9zkTc
9BubELVQz+uo2WaotfT32u/Sb2wIRxRRCBSQl6G1ssK0Hp3vggFEdcsg4dYhC52FbRGZQGFhaB0S
Z9LKHo2KPYhmaPFjMjnTR9E1xqulTdYzq/hyNUpCqrLYuESFFr9WTCiZPPc5WE3Jh6DWmjJgvJ0M
CpVOJLSZw9lwbaCr2Isendms90Y79ttqWurfbqpMzJ6atoLPI/nasRkDoZG12OpElauHOS+BqCzw
863Nkki0BHFZqwPTmDGY4vgY9TX0DFebgrqbk/fYLPsr2wWUOwnigIoOcYsqytwSR3hgs02ula+8
Y1Kq5TYOhEZ1rd/DSSFKgVrM2ytFINg6pihB1+ZRPahzQ+drkz0JSPzg9gQRnPo6w7Cpt4A4TADF
L5QN4gWFOYpqr+F+3/uZa9zztlg2eHx4FJA79tuss7on/tXOyeZ0341qYsGEYhu9o3ue4p5VST3H
ZVCxMPloIrFsosyZSd0wh12UY1V2EgvRZMu0okYVtI/qJb5J5lm7weYZtZPOuwhy4ADbwHgBTtDY
vxP9qNApwDv9jBzmUVZ+Mt2PTk6WyQA7AtFMcNoP6st6h2qkAUSpZvmuJXN7h4KS4e2KijxAjuA9
rJhetP5fxg4a6z3eEsxbuV/sM1AjB+bkYu/o5ENC3ZLtAwvgZOuBKt8YY4laJNKNGZejbtanul4Y
tPklgeFOonUbaRXZOc39/EWOUbIxWabtkbIVx6x3srtMEgvgblPPv6WJcHEb11P27g1+FFRoXFL8
N71rYSOx2HRPAOLLsC49NtGq6nUk9o4E6lPLNdcRi0+6zdjNEFiHSBNZzWQfic5sdqLtYPmAJX9A
E96a1Lf5m6oTyzzJWGpBNkEzOvhR1BY0yVl1YVYGadZYnAPf8rRdw2IO0mKmO/axdbcns6eu7mf9
mdMmIfAoAUwbJAp4UTdEIet4ecpj/9LlHgikHMxjXzZ7XN7xBU8V8QhjoX0uUzT0eykG7YS85bO1
NFpby00YVi1m8XusXMR+nIrc/mjhNh3oTUTujFaC3Narq1vgEu01qb81ZOygbonac61P9tn3NTjC
tomjAm4u+846+uNg1gpzw3JvSCNNCmh3JOBicg1O0UZ708TCGTKriFm831T6Pm/KPnQLp31aJgGZ
Rg2m9dBFOkJA5CmfDmrXx5lTfG9itGO1wh6kNKpiOxb9b9aCBO7Fehu4jtFwc8YYepzFAEc0PUQd
RUE6WWeL3xAqwtwNpdDr18Z07VBw0WyKps3CMo3c64pKejPG7gEK1LCDdN3vcdFj3etpbi6dE+dn
QsZwOBBIPx5qeozAj5Er67Yzr4hrohWK6lzUxaswy99a5N0Gyfo6N5J8i54QsEdSTUemXdxMWb+t
XXeFGwzLDQ1niSe3G2811RdM7Ci+JETGHiAyTifX+JEjjUSpaO8A+UCAVPPB0uyEXgpuxJzAXDC4
kEhFi2esD0TUHfAdzdvInOApHRmtnZJZEIoVn/MFekfsxsa58pB3wZia8u3SOPhPDUl8lyp/eVMb
G5teTi8NL9MOIWC9Fd7M2rDNU+ACMn+MZyraqIvtM+t0+9E2Su8kdcZPsJYID9Q8All528/jvKYb
WnVnUIJW+voYOlt35tHQVIdogiFrRKTNnuwemAoD9uopMDxs1q7kmYYhwC4hoOpITzDYs21nZurc
mY4ezLgH6bPqejwabokoUsuAGtgOuN4y72yWq+pgA1BpQQwdF1t6W8dkYhaLrDhGS8n5JyW/6qip
tS2gIqKLyJM5J8j6PnTQGHtUP8Z751Gy+21cnBq1jAEr/fhaaA4hkJMvD4vMzO+4Ia331UTxRAWc
HYcolW95FdVHiwX7kyFH5ylf2pyz0iGuyK665NINWXJNyhZABUXbT/ZatNAGguCNPdS/rARvm2YP
F9Vm576M8PDoGEEVd5/FBFHLne2Yai9QgGFPz5Lx/eT3B3xk7lGZo3+dkOQ9Ex83BBU8km1tUMBK
t7JC1EVegCnmghYeV0daBwKYQwI6L3D18imTKqdOqLpPuIp2UBJ8uLVp8Y+9ZR4AyGsnbDTYwdhZ
kGQ69CfXz58c+Pdo6zDD2d1Dbb63urqO5JktFs7vQXzLk+lWTbpxIOP0mVSTXayVT3PZ4cY11msJ
TWBEYOmW0vC9i/2PsvQDVnmfHYMN3Ol5G8ReBYFYjeXBH3Acc81UFzufTJ7jrj76Xn72nKQk7NBe
zqJLtNB1vOJQ5t7envN6mwP7Z9JbpaRuFvHekuOzbgHy9OYKDQISjmCRuJp5OGpx1B2aK8iV+U8L
Ng5MeBdnWjpVIshGzkhT1w5JnaEuHgp9T5RstKtzNzor5LYhGS/9wSfgN9pUbeZeEGlEGGXcYGE3
zqA0xwnsHo0xOWPnPSwWoV6NkTqvTeMOF912rVeAQJhlOzn4ELtmLsa8LGF35tGMb9HLRme39Gnz
puHkDDyLFmURGlXY4jdnchrkc+OW9xwf86qT3hIfG8K0Pg1l+7tSDquofNZK/BI6jHqP9NvGwztp
YDql1j9m4Ey2rYWuxsy7+bqYpA7hD9F/Wnx/JKmN+YCjT9kfaC7boyThAdRF5ezg0BkAnf1NHzOY
l63Sd0IOW0a8Omde/WEJTX+SZODR4Sh/fizZopKfowmkIA6c9Cmt6s006fzokRNvXYlseNKIVWXU
7FxKtEKBaMR0cefIu0irvsYpZJrF+E3oLcK0xT35/rPSc3C81n1OiyNyoh9TPP6eobBZG72pKcTN
VrG8E3F76I2u3nFtatvJKYBBmJoe1lo5PYw50tWNq6UYOqJDjjQNjF0wkaM9gRlBgVJiZUThE7tl
yG37G9jZg1Y5/r53lwP6wrNDpu6GWmvXSvmNsXvcbRVityOejeq5M/QZIlvybUTLBb5Be7NSH6Fr
poZPzYEaw59vqpyyxaWBOFot3RglivaMgflaW23QZErHhtyIS2sSGZs55gcHeLwReuu8WWiXAvZ2
c+DNxlvpCuLthNdtF0gh1NDbrsmBHJFuovcm8lnwOb5LiCOr4I7ljfiTuwRMJ+mxhH2XTOVLi6hn
k4NwS1sJbJkLHON+Q/KltS+q+UNrPJu3R8vDdIpISCkID3mmye53hZ1eswiOiW8M96krKPUICLnD
hnnNAKJv0f+T7FHo1IsGEyNkwshs+nSn2pRYztQsGOUZ9gM+7j7wkDIGeZdFgVOJEJVuKDok21vH
kCc7v2i+fm7wDvM6Vs9IWTajrE6R3/uHtB8fxOKrLujH0QdeAVEpbmv14VfDieCXHBwVAq2yUQfR
Fmo/NKlZhYWa62M6oB/RcmEcEYyah7w35L1d8OXHudGxDrI+aflfrK7YTnez2RDu8ctlzvUCwL4+
GpS+x4TJUFgpeQHTQUNNzNxOV653sM0CCsQ03uKSccs41s2bhen1kGfziEUXe0FoNKiRq0GSzdbM
zcXEPk+UVBLtpLuIZwJoU+CNi7rWi62YZUItgxaWjQGshjSofHXRXFZt/pQpflF6vG/MKA1d02XL
3KJ2fZWOsh94zlCiz5dZRHgMInvB268z9TqSr+eF/Nv+o+9t7WjSKYa1pc8BnxPr6RJhwvenZz/K
njEkJHuMuTjV/SZ/09CRBa3T3UeyUjZZqqdhTqQWm3FtDGPueepkopCyBAGcWTRPpI7IDcpjFAWr
FVzX2uq4NGAlEeZ+c2okdTOn+FGkMZJf3cyJMEg0RsRFjrWE8Q3V8qQs7+LGJBmheReNGzgZf4/4
UDSFVcKEqnV+uYy6CCqZzTsLZ/WY9XFrQFFkHu7rLqk0BKTm+Gbf88XJL71HWm5lQYAP+zSLiA+C
DpbjL1fZfiIe5HuXkXkz5Jazq6k0KajyMShtbuR0ISt1dbabGufCTGip77gyvkgxn8nm095IMyV5
paH1YFVlGC8+W28yPbw8h8NZl9lF9ZRkbtQYBzkZOqlPMfiPsiqXZKNm4T64lkhJyejbA//ECnUz
hUMTWeZb6hfO0RhE+6dPGkrHyO4vU0fDVGmW/mhWTow1vbb2bdJle7L6KIAM0RphnI7cvBKVwUVn
k9xR/CEIxfGWMaW4+J1jPo8lko1iNs0XDv7qNsJ+2su4xS2md227Nwk6bncE0ZoO1iPCX2n+G64+
dpOz3UrGbO3IJKyGUfPpCc6LTYpW8dU0vOvoEyHpzlN1zxCXbA1l/44Qyv/QLaNOSOmxol9RkZYv
lCHfMt8hsSfvHs2xfzH9XAZyHXiNhFsMC5lCObXzWSmdx9Vh8OWJSh6UtlSfjZO6B6+xsy2qej2U
NZFPMePBAAXacseCoLbsEYi4n12PsdlqYo50mwEd0odNWQP8w9r+ANyH5NJWufshGV7lnBAWYXbv
qQHynXRHsmBNR2CgiVOClfr2u41xCH9s5CImdUabZbwNZqxxaGzi6IVUcv/o+Wu5M0JW9cazIr2L
A09lp9l0/6SU/4hJyyHIGUFxEihwunIktdcoSKXc9kuugnEwqotYIhhRyx3hBmwgpJhbQxbNrh7M
nwj0eBgRrFxVSW0M7IZ42WzWPiWhe2FU+9/9wfAOoknImXTwec8EiXJ44CZjRVRkrFlN48CtS2ts
njDIV6/IIp0H0+DxIw41Po3K0w40dsRDdMXjkAoNebuh79iuXwwK9d4b5N5amEqG0lz6Y95X2oOc
1ZohaL8kaECDKi9Zr3RwRRJNyGDEbYbck2++aLb4r28aUoYLVudl40VOdjK8mKY4z30mQwIuQqWe
MIXycnZQvNxpMk5m5D/PCtcf+JdnnZdoozvTrpOuHxLt9VIX2cNMoN02EQ0h2oQqIp/PEbttnXHR
DwLV7s6kwuEsZDRqh4MvOZMnN6/Pfm0NCVOAzuZhnmLm1YID2fC75nX2NfEL5ApTS/LsIBN3WC58
pz+ifkAJ6TU1iLklb3YNx+J1SPro3i3LcpoH4V1RORUAcbNXJxaPos/83UjYtMiMMzbti8e0GwUl
Atduth596qJzmpAi16ZBWnZv85h9QBdk0No3ybZdRUf5Y9TLJFhYsDx3zuqBx1D5ZOl1d24hsgYy
FsmbY2bikEMbCCbV1wF0C0IfDTdok8YOXa/R9uVAkO74qNg1XeMpyU4Z79pnCVkvQu3cUHYPHbOX
0eENiCvnYowme7HWLlFRNcMpJq8mUAb8M8F5ukFiku7JOaYaTKkWNqhHuE6Q3+C7h17NyBG1i9WW
Pr9GrzTf9Dax1wKI6BdPwTwzmDXw/oxmfeGDZqfKm18HjxFVoZm7mvMNkuWKQtRIA/+55BRm3IfT
Yzot8ohEIkfiSJDbh5N2IG+jEs0aj/Kbqgq5VczYkyAfk/7GudAjbR7t4rtQvvxJAAt9HUMDH3wY
81ZnOfcri5nprT2+OUOf3qSmeI1nwGQ1O6YpeYjIlpo3ywCahEmC5b8UhuiPSJYWjqtOl98m3XVe
x8RIyOVFjXKtYgexEumbNkGqtVncYsfTyKwolI89OS4Rsbteajdb6Obp61hM3ZF1FGVcNZrpjo7a
PrhjmSJ1rxtgwi5eDDJbJ/mRudXPpCR6b5iHn7Tlq3Y5JXlYb82fBQUfC7eFgRViNUYi/ah7Z/gY
KScFSr4uIIKvv86iTigpdecDFAPvEn+MeVSzRP8D605KUJEZ1btmlM4vhFz1jrAxcfRWdgpbVvUw
dtjAHMlOuBPTsGtQZj/i5+BEQ/zPg9K6/PbGRFgHDc4U+yfSKTOPtQ+TLuBNvSV/89MZd9WgCPgy
cFjrqnuCAcUakhDsCroZpIEsyorroAn1zGQt2bV1uV0W6a8myLYcYB8JDGgzGZQxehGVBK4ROT/q
uh1kiHGmPfVaUb6aA+hVk6nsgfBS61ZMWt5vV58Bq2jT2lotfG9pG1us5C4Xn0p3bBT37cQDHC/e
Z5WQoOyR3XjnwW9DpOPjsTZr86bL5NPvmegBzjKLzTjJb3ZDAlCPkSTM7eVOHCnpHU3pb0adjJko
MbFXDeUChvWjSYO819uNZdYPbATxRY+t8Ro3SGvmHIRL6i1vxAfqgYrrLhwzBGZKGS7Io+5kYX7f
KnfpDnSBya63tOhpbHTO+lF8V9GQzGG28pt0Uj6voOJI7GQE9mTnUQ6AiLwm0NCATJIkix6nakrR
cmvqWzQYv4uFoUOO3ulW4Y15qzDHb2tYSxvX91N4Ob61l45Y9Ux+m6Qbtihi2WZwUc8pY0m6jjzL
XpJRRylqsvAJzTLFAVAi8zpjDaUkiD175QhyJzs4uKLFUs9qzo1D6oxybyufBo1MITaIR2LLWJ1a
0g3Xm9ql8QhdH9lagyBg0xit/qbGptso7NpMU3AXsZg1giydZIhO7IXOjCplsLs9XCzrig1c7sq5
SMFfm9/Zv0VnCpHsUlBNbsuWhmZOS3F2ILFtZZYV4czuDyta4ry7EE/KWJ92WWrNh34Y3AMQnu7c
LEa6y8def0qIpdmzZGDMOTRTw+xmJqsGvXL0nEglHhhX8q3gD9q4bWWfWU0bd36q5LIJmAVXIxqd
Ldu1Sm3IfzKRUTTecqkW5f6Z56os9mxf6AHZuqnT1JEN7NkLTw+z1Jd4scebNTZ3LQZWxDTv2qK1
PdqFm/kgPJwaD0jMMK7VSWfGtyLHHREw+Rbd1p92EoBNJsFKxa2t8VeBdGA3aEV0sOKCz1f3jbk3
KBRgF6tDUc7DZy6R8YS+1PCVx06VvvH7/T6bbbYHYEjuXMdeHSSiQdumItzF/YduZwlUxpSkWAit
TrexGdMx3GF/pwe2bRGzt1ijAGqLSxlTrTzPixKY3zAbDbM137OZ+7Fp3WwzkFkGBKg+u5XT99ia
HS4bdubU/+2cpE8DEV6MizOyV62YExoQ7J1dwy6deH5LUkmNwsl/LVqZvvSwUn6xgfMvzmicUohF
zYZ+e9X6YaOuOAsNrFUKTLvGQvZWG223caoKAXdmaIGeW833yc9WskW0Zoor4p/P3AXJT2agdB5m
a91ik2RdhEGYA72qvLH4VwTiVj4MFWXr57gkEUxlAwsmzWnDatC+RZ3qviPe18RW1FI/M33mtpGZ
k/2MGFbSJtiT2FuTkcHSxJpGGdO+Mxj6libLj0n5Bde46F4tk0TBtHXIR+M6TT+IC17eh1lnrTPq
+nyYOup0eo2ebgrXIY5/R+KCTGWY56p69OYSKSIQnttQlm4IZGc6kN0K+4JJ37Az+ri2d1VDziJc
sCya6EQHbTuTxPPV4OSMJWDsdCBnqCC6tDaYYsS9OngadtAl0aDXtMp8rFHPXlyNzevAefSEyEPb
Lkz6A4p2dS+c2D6YeNY+sPhar20+5GgdUK2w7dERcwAC2vfo9nJ4V53xkJkrWU3vSo+FFzmbU5cH
NbLjYuPi2AjTambQLtMcDSyG0oH4w4s+QuMaKnOl6i3CbEhsdbNAtIIsd7f/kwH4DgaMfjBIMuQM
XQ4TFSL5i8tsf5vqBgGenKYh+93yohXm3ZHVsutF7WxMJPwP5BDW9PtK/ZCFhTS59ybv0Wb5jSYT
k+8DstfyiSWt/2ziILqzwBY/0PJXZ20W7NUqXZ6yzp3RgIK52lp14j3bIAmOpJx99MyhofuM3XIF
6JjvUNJ0e65S9C4ket5Gs3xCvJdfFDXXIfN7K7An760tuyToszallPRU9tqi17lPUjlqo/8HeWe2
XDeyJdkfKqRhRuCxzzyRh5M4vcAoUgIQmIcAEPj6WlBm3Zt5raussh/auqyflRKT5AFih2/35cqV
z1MzsyMwxIy5KR3qde3MN2ANyjVuVTgnhQ6OXZLtk2JMTtBWkCMjIU7k6G7rKAO46RTiUFa6BA63
xM/SuuCJmMaTVWOcmWWLvtmSHlhHQpuvUdni+nAc58XwnQfRRt/CqR7vErKLIK65xRGSijfF6CWb
YpL3CXvCFDfUwRUBz08Y6rOWNcprPpW3WTW067LNjg7j7H1JX+ph5BJ1CXWhwVdh8rqpg7A6oPt9
iq5+ck19jmMWRsLwTiUh+mplilgdZDSZrwn9kbuOLou957rFN0sFvLiIIctjKcuTRfb3jCaAJ8T1
pk1q2c1zTh/4DQxuAp6FDXu7ZVFtsnzollc6XSANNbc7gqXyYJMZOI3ALJcaBZpyCbSQGVbahkMa
s5dNiMfe85oecF272bTl5Kh27CTNs7KHH3VrofV0MTVE6Yi0l7OKvOW95a3xf+kTfgKKZcN4ehpg
5t2KMhoPoRLzAxbLfDunEZJUaJUPDcPFw9hrexsnRf2m8wH+VaKm4TwVZrdOQkv89Ccneh46AnnA
LDnrhYyajCd/bq6sl8KXMs31pk4rVIOkMmhUsbOtR8PoUY5edSySgKKQ1E9vIXAhlM8JkaFwdPo7
tIHkM4cIq1ZpXRKdRojE7mD5Zxhf7quVjRPvs7lDNZy8s4JO2MJVnXJ8Wyn7BDhIn00UuhT3WvEn
IiEzhFykKKeR9ymX8IKLgPJOon9dpKAXM8KVBSjF7N/myLefUTfSN/xp8xVtgyB7GBnbuQ3lj8Rw
rQcN/fM4RlX+FMko2bIW4HpfEjGEeRw8LvU/+wRrM4kbP3kYYtbn69pV+alPZPYT1t0AcKQdWMzo
6ErazvPwTuTFgcy5uzVkFJ1U4Ti7puOs4fJcmnd5rsc3ZBb/hpUVFNlKqIyPPJx1NgaQUBUXcKPS
2WNWGd9l14qd33J+qjw6JfHUsc7x2mvcTNaHVw7IihnPzKqsepMzMaWIpAZL2hNhO3YZXbDIM8MD
VaYMgPaoWpCJQb2bW4SMWpIlq0Pb+mkTsD3j0KnJlsBm5F4bqeTOZzjYsYyLTkXFczi2YNOAUWri
mgFqAdso+wE6efRAsL3axhgBnuCgPnK6MvN43KU5fonSFkHALi3Jzl1GaMenIemge8rhXCPv2Vkz
1hLmVtlLKGuNGG1EySsYfDS3MJcjsgP6NhWc7IWM1Mh2AXylc2f780dZp/5eJGzvur5wQKF47PEk
sAm2O/oRNaw/eB4x1XFetPfaVN1PzDUaWmrsPc5U5B4HrfI1vzd6Z+w0PNXZ6KNpsInhUcUU75JR
0UNHjQp7VcMiTuUTFczYYBfTLTBlSMtWjzOOQiIVRmKHm4yZM06Nfcnq5rGDRc6NufMOptvQwNwJ
a4QswO7952xQfaQppPiWJfwMfLdzdmnuV0cs+NFtK1V7pTEmOyWEzbjCYxRcQdUU/MitH7xwjJsB
MGa/9XNDAKvJc95B/4ZXTEpp53qXDKMH91lUP7xmSdh4Uf6W95oynRTL8Dc6mqKDh/vqbiBZ/56F
3XALDtbEiVRihoUPk/NGkuX/gRP+f+9x/7PF/X9Ss5nlk2/6r5zw5x/tR04q4cevnrSlDO2Pv/K7
BT4IfnN4q9JRZgohCCj+s3JlqShzaJXyLW/pNQv+CXez7N8CU1ggPAIHtx5EuH/A3cRviPYMIKFF
I1oY2H+zcsX/1/ovbna+Z3km0XTM546/UAn/ZD6nKcoYswx8EtzGBTdRAWPCyEheDVf+pZS83QFs
2mffmauDWTj9sSoYl9aiCGvAkUb/4o6uiS0K0OirX7ejtzbNsjpyyffZUAHvCihu6Ete8AT04LhQ
rzlg0ksxYTTVpzt7CmWGVPNJwSRs16oi7r2LeTLYJcFlzbY9SyLonZT1sekj5gFwII+/yhoqHLxK
4TssUWU7rnqKEaBWMWCWZzSAgCiRJFRTWsl08WYzOs9d0yqqMUz/pZlH+yUKbAGPzBivFQxhihfm
jiLb0oxP2E+Z09IsARUgchVyZGXzbVeO3OHgGGCeGdzSHU5cKhJzO7aQtk8+1cOPJsshb4fKmeao
ADPSA/7pUBLANQNibSzPo2sSUDy69ZJZlXRUuWxWOujv49UfiqC72L7LiGtHUDNx+mcuAU9pEdOn
/aA116ksam52U3WxlQEBykx1e6m0ND0KYOhuWPuO5+FOQMh6HGcbrkaU2Wmy6/spB46V9ng6MLib
lI4AZvvMQLTWR03/IXa1LuMLsJkRr2bayWsG7+zAb8Z9MoUcDjqK9G1E2PHOpgwP8EYo22nbdfhv
bMdBcJ8lCuPej9vsVLdU/q7doZ2ezToL7oGJ+J/mhAV9q3zlsRdREz8aAYOvWI0SD4nyOjwHKlUv
gkGAtoTc7cRamIWplvwWUetCUdOC1wL8h2iA99S9ZYxHKCIIT/i1JtwsfAU2+uZQbJVynAfMpRWU
jSa97wr8GKvBkv6nZSYcMg1STYAQYo+3NEUk5zB28k2sLP+HWyZcSKPZw1NHym3iRxDN4dEdDIm3
H/9TtAFMwt6aGPB7EyiHACFF5dl6nMNiWvuFW7u7kU4C76BZYkQrrRDeNkhnMxr5oKgvB7/ZrnCk
daeOBGm2cWvBvYLkFCQ6s27VTwLoE1H52Ssj7iIIkeuCU2tg27R4msnZyB3Wh+gefzsMZgglI6wb
vrHVSDTcWulS43SP7b69AF3LvpYcgnkUBZiYMvIYDvxcVjg9RjdhJc4TXRBvw5vXBQru7IpVApb6
pd5OPtfcZfJATfje2zFgBibrfzbtBsUr8A85E7k8mDjpnkt7NPduqectIfH5QiV7ftYJ3ehcBqNm
nWYjWrRmdYuBlFvjczvitxo652B55NHWoQPD++Si/zzGidz2OUBArIPMpMeCEYrtkfRuoJJxhekZ
rka+ADUmLGmMtP6OP26+2IM1hGu0+EKd8B9n+pnAeQOTVuvBjFcO81+2G5S5wLpaopksiGRGERqe
yIeRMOv3LCepsTHjvkmOIyzn+ZpmuaXXFo+M2oVeTdPBKEhHkHUJe0cc/XBWM1KE0vONYRjyGa02
YNHl9MieanI1qB4vsVUA5VjzmqcnLeEgp/cIWLvRNB/VVJ9L9MVtiu+BvXWzMnmS1rWnoC57Ht/t
6t88uuZMVSsEx2Kq7zp76PdsmLPd3w+w/TeO7f9exu1/Fsl1yWP9l0m3mx8x1Wof+q9HvGn98Rd/
P+VDDmzOUIej1LKJiv6zWE2EdJR6vk/kQQR//MkfQTc4rabPVyf6xSm1HPP/OOVt7zdOZI99LcE0
Nq5h8Heybrbz14Jf8Aq+6QrHMylCdfnH3H9Na0dJD0mUZ7YNWzc+2E1G4lc48wQ6OkyTrwnG8an3
CeAfyeypR9fSIsZTibi04yaFRiMlVMve97NNDQpwWhWpMUZrb+wnWtyNxPkW4rS9ifAAXQsSqv2d
g+HDwSsSChQP15W8SSvqcPamFg3WNaOCsNAh+HpeTERGRIRGO6oPzBWjKbsmZRlPoaWas1CBeq2p
76F+QIRby8xxYJbiwZzbFFiceat1NawgGTbsebqh/aRKAf1K8lpgwevG8cWUXdhDnLHmi5dQMIIf
KMF0pHKsZTOXOMw6xbWxU/sQeYJR3Judg041sFS3Cbnm64k7fa79+xGT9ZOoQrEfuc3e1ARk1lIX
A5dIcgFOS2EywwLYhsRf24Nr189DJUb1QGqvZgrqqgeLQntBEVeqcSKzJjcvNv6O+IRMP9w3Qw5X
KC4rN740HNXUlogBcWYa85j8NpGDeIPBf6GaGU4pVlDLuJXElkYizweod/cz7br62lJqU95TDEj2
fDabiD0CEarF1SK4D6Hek4WPcGgB8+AdO3BawqXYOUOSvw653Xj3omh7e2fNDLTkqWyX2itlk8Ry
5g6FOfK7YR/0ZvJlVnUccDihp5RsFJ+9aAxbGkjieFfJ7mdI2lsZY3Nnl8K+YMGvs5WD9c6YxPDK
XQ8BAuT7OHEW+c1IB1o/FeGN046bQnNqWyk2WwjcxarKIzmtGg+WTeeW3ZeD++ZQ2UaS7tNhTq1N
XuEYBjwonjyiQpiggwobVZH24pHogr6MUTqvAc15S7dx/thnukHSgoIFyiRhr+9UJ+YzsEtdSFYi
FSfV6oWVYc1PERyo3dBU3om1JLV9rI4AXZnXmBskruLuUbuSYZlN4dWIrQjdZ4yx/TqKbEfeIlFV
VRLQkQvcIN5XxphfPMZOxHOn3egiLy5t41rAUqWbPvFpRYDCQyFpNWJTvdJhKo/c6Ua8KnTHg+Ml
VFfH6hgPY0ZAKxreen63i7OPw3Id2xOXaz1ipljNxgizoF3gNUXwPKVpcd9oQqIjy48mNOfnQg7p
l2cb47ZFdkOQiLt9kCjJz13qvS/j5i0Ie9iOxqxu6l7/qDDcFSvKMYqtYAt1yAzaZP02MLJXIAb+
41hpVg8YpIP3WvcWw2nhu8cFW7SbpkltUlC5W9+w1dYbGGTMhvotuLMjSjx268Jy0DonyQjaxvmB
fOvJJI7PG6aYbsBdq1f2l6OzGBTvOP3Z/dVIdmwGwmvsNNGHOw5R/zsM5m/luv9/PBbtwHa5cf7n
6e+HD/nR9clH+edr7x9/649rL/fUwOcC6zqOF/662/4e/PbhlgsKSJdKbWg/IOn+EfymTZTTEwE1
9G2Xw3T5Iy6ZS5237fxmuq5H9JuVNUYUz/s756Hwl9j/n+glrkV8LjBJgC+xa07ff4H8VGY9GXBC
uh2fUTZwRjR10Y2de9xjuhADcSlibq/dNHT+PpSSS3Hj0121KYysuO3akDcr3ipxJvVM65BDUs9v
Qnp5qVDi3hawhFno4l7ZrCUmLHXhbrDDhOwMq6wJ8KDp1uEORjhy3saIwyPeCje6YchuwZ1REHRM
SB6xF1YF2Q8fNgSY9GnCUe9ME4flKOl8oHRn6IhxEjDghep/d5oGpx7oqD2UBdqLMguWCdrRtqgJ
5oZsXreEIrOHwa6bT8BgxocuYVd8M/PI/14gV7/aKsaipO3FiFl4UZJwD+/iL9LA8iUHsAKox7QH
D6N6gC07GIrpsTNNtU8hiLBzCRr1pnUdbeCtT2/E/qdxNZZmfZsSZjY3RWnRS+eX/czVy7ZZEOa9
4cy8CmNWvkNBQ9JqaK0ab3/p1NeitZqMekcVvtUIsPGHWQrS34B9sayOWYO5p3Hb9tZ3Le9NkFZg
rzcmwJjdsDTA0jpL+2YxqBnWWzg4Z0ElEvWpZVUtMLQSI2hfqheleolm2sM0pk4mxxSIT6HYNSjP
351eZZcZM/ddnrbuV2JZ4IiUR/UXSZqZ3erUlOiJRC9XTj3CPczH+rnoynw/zAJXXOFxaV+VukHK
Rvz0nhMV989NAyhy04BexNE5u8wEfiybLf8H0zPIk/yurJvkPrM6Cb5F9yHMGaI+jjnFrzKeAm8p
Zk0DsUlLNSF9BGp+UX09tCffGi1jzc7IsHaKmJZ9YI8mPzzObKTzilOOqF0NON9r6ZGlOgU7Z2Ga
5lPXDLLdRsLXOLRgbw4ID12/1EMyGa1DLTrEdZIRJHTG6U36vbhQ+x1maABtpLYDkNmaD6yGj0n2
GLgfV7zS2S8AmmZPXYZTb/umQJk0yYntmQTVhRu5fa+6UXzLCHIxvSV8VQNQdrEOh2K+I/Xg5A8T
hl8gJFwTUxh8hElBRU6DmbT7HDMP6z5LlG+lrbJzAO/M2FhV63/WvRmQMysEbZ7K6bG/UaW1ZnOd
YqkrAfeVlf8WxtISxI5wAaIDG3FNaw+17uBe7ZzAl93SaDL1EptowklVmarngm8Q26iYUx5ckpBU
9iWSiAnMoxcWreK7Pwj3HIzA8Vfw9sRKjjpbU23zooZU4KJ0RiqBe8v9CLzUZ35w48qHOcxstwop
WL025TwSz1LKPbUDZyBQcQz3O6et1SvpjO57ImNB1DDQmKda3gNyZ2ezcg6YY+FWxb65FNGZA4pE
5GdBcm4oZPPWVRooetnQKPFLcX1P1hNQKHObZgzIuIpq7uXIDThoapsGxlBgqWLYEDzmCdwIsaI9
PGtZ0c/hR+Ua6Udm1AZxyTDJv3SjyOsgnlB137UYmMwu+Wx9v7oNAkKxk8mYkYQKDw9VVe5nqwp5
FTrw3fM0+9AzY1UN7zg96bEpXdoqzSq8UBkQf+MTJdFSAN2xSpyrHYeJfstgZtIjKEwmBrNBGGvo
rN97lB+QswiGT9kCa4RI2KyXGNW2TKbFaikt1Z2L3hr8SwyC/pGXjVeApxHRh5AGLeuALfgCQdOe
urjOXlPI6LBWexFgFsoLwtHmpG4zTEk/FVsN6uBljccQSE6OAzzgdsGo9tU7Tbh0oqe2uUfXzcQz
4UnqtBSKKRvXodNYAcuWx2xE3e1YTc+OfcMKuD8EUeU9iYiuxA251cUYy5Pidl1fbjtZJWfHS99j
rO4Hh8LGVW/X6iPHGvOIH8ld2+QIQdV6xqPL64xmCBBrw3rM2AQBYsztLerE8OERJfcP6eSUd2Fm
YBEmGTocrbL3jkHezK89Gg9U2mokzQbmtDy0ECrSR9OFJ89/G6XPTefTSasSkSOFhM4xm8jLrjBB
1byOiAV9UfgUXCui1u+GASje1haNY82koBYBS76jJbHghWLHHrhZbyzfZV5MhzL3J5rduA59+cpP
wK+2ldhiHA2n9TDkY/AUG2r4CT3ILjZeUTTvVPgGaEBd1ybrSMaIg0ZRgQ2ZIrBccYV5MB8amuu8
gVsmtbBYbNthNlGlonjYiJ6o08o1LP+lA5XAwZ1FB+BR5s4uQhJ/YQR6PwymMwIYjaaKgsOqoPq4
tgRk74i0TZT16g087sjIXVSs11gjz7gseA5ZwuVBeSFS6lx7Mt0qZ63j+PD7YhxxUVyxApY9tPXU
i86pQ38MfXfu15RIKpySEHYV+Kt1P9R64+r0PWPdQM918MOb0u997Bp7K0Wl7aO4oCOvSy3UJbJS
L32WNmJb1byJV4nXhSzbKnd0jq7vscjGxy3rIylxaqY9o1qA1mylMITk2sH8GcBe2U2t4Co2JeIL
Zx12Vxs88TN3RQNrqtmn3mHMcjHdznx8viKiENV6HBh13AQm38ZkTYCfVOrdHBJ5z2JpbO2hwYyS
5MNZTT3NrjwQHZk3rjJVn5Ofhyr5ACwq33lDBABrCLPPQqT2T5FG/VsunG4zzRo4fuMQ+5p9NyW8
IwFRuV7k3wZ+5VN/NeLWyUqoVfhCysy/gGc2jG9ukuL4iMYhrdYiA7gCzIEb4m2DuQrAOx8YbAc1
XJNtDFnU2g5tPB3r1HBuG4uL5DqfnLgCw6OcVztIMnkMaS75gTnQRuWlZWnlkuE+FkVHISFvhCHY
OZMprvNMog8Sdktob67Di9nbMMJ6MmLfC9b3J7KMeJmiIem/14TpGFSo5Xg37aCXG+32CLzEsWBK
qziag33p04u56k3WMMfYz+d9ob1oIrjbyxuLICMw2gw1iSCWf8qKNlrXNirDqvLt7pkhak4pH7Ds
z67R7SsU1eSUFyQWN6UtMEBxKE23cRvi7szD1jTwZi4VGUQK5VUFFroIGlePxmMk88bK+ta/DHFa
HL3WwpOOw8jejSM9bIwuQZNzrJp8PTsHm+flPKZr5B6xKXCW34+Y0J4ddC8M2vTHHxc79CuARiUP
rGSa+0HWcbURsd3qLRYXhgKa1XR6bUnM3kxsxDHG2B3zix8297gs/YeoI6ABWgGoxmqB+Na8K20+
J4OHnJs5UOt2Qyc34I2jzdAndF8aDKb3XuyNZ1L4NsnuxCKPwWvce+ZOjYUqrhJd71OzzKjDTFxR
vMSerH6Au7PTh6zXvC7icZmOJNV4NLapPv9gUIgeWDNpLN513Zkr/KjAKbhxxAUybRqA2m+kzQJ9
cDWFFLSaPGeRa1Fbzxl9VZWOzqUaAP5ZefujUJ71MGZD0m2sOszvkxksOAiS8NnGvbO3hzD8oZzB
/KYNMRKR9Iw3YqQ4T6JGzvdjJRW2ZItxwW16tuSF6OQe5z+ooHGBMJplrF/oyQM3oDhjXrDw1jQS
ZS6BgRgmdLavIMlTbgT6FQEBHT5nUjYz92gaOVNMR+tpC25KgDEJIFaQAkqcY8puPt81Zoajy084
3VYoao2m/SSJ09PcY/D3FI1BR+VaFCqnYIyNjQrz8OdAc80nbgc6HrCQlfa24y717EqdJGsfxkxr
kRyu0kW4b5MFy5e3A+8sWcudN48japhVVqHxUbVdcNBswknzhXPuyWNSgmWfYDlw3dmwJqzEK1wT
SxBtZS7Zh3zSyA2wKFlYB5HCVkEYXBMj3uFwA5M75cE2tt3K2E8lVmiH54kP5myI4pL4PekY5biD
A1wvZmB1qkDgK/KeqGZp5hPRzug+C5kJAB9Z1CFxIgCXvwBHMKLFVKVgC+JC2uIahFOHNWYYuKnk
GH11Cq6raZqbZCZGdK1Zf7L7serCve0lW56TZ5EJuIoxUP7VTyOMP7LDvTYNXnnPwqExLsJjJnnS
pKyA+TQaXiAkCoKAMNBT+ZrCPikOIKK0BiQidPdezNr8QFmiAqrWcHjeMz+mODOgbiFgSOqdKOb3
PtKcuhq6jjGznZp0bdk6xW0fa9t8d3y4uOu2b9ndNFFtb6LU0yHtqRVN65mw1Ak7m9Vuba+zDrRE
ZvueLl3Mc1DBHpMS6+FRp1Azd0lbsxkpXQWXp3KDMVhTEV712z6zu11jJPAV+hhbpC6cMDo5bTWp
XS0FZxdVn0GEwUtpkAxpb+P+4GQosq1BZq97mzLGbVI/urjJqTUjXtAkHttGzOyiPpUmkKVDJEII
Vz26ePLMIYXXn3UiblpljuNlGEEDu1i/u6H4RijTld8tnuHqPla93pR+nWKsaiJwsmbnD8SgwvBN
MtxRZInxJdh0fDsu3JFUzwcrFsFwxoc0YwSCteGizgX9LrCX3dYsWuOcFtlbiJDHRG7V8V2SsZwt
3Kh+N5wJa2huzndE34h2NzBgKSllR5mH4+8VMHJPHo6GaUxgzdnuC44poD7Rzzll1iNTjyC6QWIY
IO7nif4kUes4x260qEHMzKE7Nc2gHglB0uvux0SdbE8Xx8FpDJcVYf6ALsi7qQy77AzvCQgYUgmc
V4x+nr+OjXj43gUCiw3+B5OCYh8rEM4i7jVEOImxrbtBx8+QL2J+H2KmdiNPY+uqgR7bwIopNgH/
mpM/dUE0GRvAM2EJ/SqZrHXfArmiRCv4anj1p9upsbtvneVyY8pk3X4U9DYfDTh+69wPIhra806t
8d8vImnsASWYC8+50ljvPJCecPc4CIqjtLU5f3csfhz+6LdnPpf9Ez/58OCGMdvmvgqsajuSeapx
bH/EnQl+X6f9C/1nvdxb0oL74VgBBQgh6H8lrPwthsxPLS0G1SXda5nFZhy82tyQHzfy21CphveS
g2NiZ/CNPdOFHp6FP+NanbLFcFGKaCQczGUffC4ooA1OWXbEc0qtxmZU7EY2bCL87f/dpd//g9RK
23LZfP3nuuX/6rqP4i+a5a+/8McOj3Wc5dj4Nx3gkEH4lx0eCEv+U991Tdf+9Sf/scMLfgt9RJcQ
mqUFd2HBif+HZun+hppJC6Nvsa51AhDKf6OG0bf+qlkKNzRNSJoWO0EWeHytBXX6J6cOa4TRTAzE
kIijYkSnMhJrq2j7knsTbb7E8zbndwzRHKUh1M1yDUOkJ1LSS6AqSR8MHQqIGbSbGVbTrhTmzEGG
SFURt1RRCmiRPiQRtsPWtqjC0dZCEzOw3J7oSFA56Sp0DDcc0qNPF7v0yu7OTUv7PiQCdhtDOiAJ
YpSXyQ7TYxdHACRs91G4dbfmJ0glRG21mwri0w1Qnl0natw8o9x6vnMK0H2CWqnN3I7zGo5WiSSH
e3BuRbULSHsysSjQeB4klKoJb6LYsG4Ho4tZ4CXvpZWmZ80osJFwiKCVUTZYec4XrkePu0r3CbJJ
7LMaNHHfeQxCU6SPQIP6+xmuL90YrLLCxqe5SFvdicajj2AyxMEMzHYnVe3imOFritT/EQ2BddvD
1Z0VNh9z0nh5pXHrN8HSzP6d0MzRiJ0Nd92XqXHOzAMXF995r9WpcK19mpgAzYLG+EQXGnfR5Hzl
ec1OC10z8/VB5ZSA2aPzFIckO0mvYhPK4AIVcVVxMCDCJt607ZmjOTsvkpF8JYLN2I3tOsVRs6Xa
SSww7eFsjYxddmOdiqLS0MncPVhHLmV5f5e19SIuTR1FhgBGD2PtftejAZyl9c372fHtK0MBCKjW
Ve9FZwPTq/wh/uTsBjIC6uAu47K7Bx+CotMqY5+rRlwLCiHOzuTrn23Y41aix4lZkTnkDA5ovLRJ
dqUhJ/3ptiOXOl0zx3F2rIqOa7GX5j3lcAq7v4C00oSnDGrR2oot7KyzwX0aZ32EL1LcZVWAgcmf
H0RS3WeBuTfiMbibi5TqgyFPz2nTo9ubWWTfgTVsNowlnwyHE46L/L1w1HDTBf7RsHPUjIH6oocg
UBAtwQaduciRsvOBLknqJ8vJmdcVjpZznwVXy3C9h55eCutCuYIMSUqXVrMptZHCU3CzQu36AqP+
2qDlAnJJCKB9JVHxxk1euzx30l/URZ/yOGqS5qggTJxKn2/YkPYD0zCrSEkbNNHo1CmBaqG2mGvF
aY/RCUE63nLG6hgWTpL6XNmqKNhEeTSi90uLvA389GRalXFLZN1w06I/KOoO+3ViZ4h8MnPT+gUk
V5sSiadMfd5khVjiE2aF7DCIEm8o2gT1byXUkHPUJPm4E2zlKBEmKCZgBTRYvykCN6qfdZbOkM0l
se4deh8r8Jj4KBRxKOAulwwG7a0OY6J8Ma0R1T5xfL2wvckjbRnTMKNFhSG6r8oekmJdYZ0EJlFp
hIeyCT1uxVxYqIJQp7CXhG1pq9Eb1tRps4INm1QHSEg5+KHBwDuADxxtGw4+WF68z/ywgszA3+Nu
Ff8baMsmTwjNBis75d5HCXhBcWfc/xijpnJhjYxjA1gmtbI7nwYwuZuVWwoo4FDhbpOs5LdPgCuB
5T7BmcNVxG6HpdLsbHRMXGWPNhRYR/hgff7ZtJR470IGcrblhaDnzx0s/Mv0rAOMUslDWKJDcTHm
C6o626DoDXyjdRLQyBJNLQ4wXBV5NZ9YkdqM5GlyU4Kx/RjLil1ynkwNfWodqlHCFHUsJszRgggl
jgaMUH73JPvgKemnV1Hik+zKRr8Jb2yIxSf5vSMtXntp7FPUWfaPOOqq3TB04i2moIArf+/O75Y5
f42+gkJmqvI5MtpNHZZsxNnZFLBszj7/LkUXvWl5KBDTOBSXvmX9BfM94icK8mohd43UZebYm666
za2tgd9R7eOx7u0NhVbtuLXLMh/PvLWfh96dgh2I/v5RFkHuPEQ5Lbu7PGC3QerPx/9dunKlCf9O
D14OO+xAU2a8GTCAJI85WsUXk75FuUladMlGtMsCnWag4R33PpVHs0WEEpt02uEfo/EaO4E+kEH4
juIWiRW26srCguiHwAXreUfnDVSqqRvu+h4VwjVAEQyo7DfCUfeads1jlPjynlWiIkGCqduYzYAg
XD69dWT872vDRIUYACw/dXOu73XUFvndEFbV9xJP5kHREHmMsHgaKya64sOPUusevwFRaQKs16kv
qGZiiyW+x5jTX/IUziF8WXYFhOJUlK0RrMRPkc/NhUvb+DPCAK4gqlVB/gRDEud5YIC/xKKUUMZX
mTL/mdLmGANlTkz068F/YPPlvxSjIXFNpHawC12wHhcLXwlvBZ1sjTJsn6qYvQF7nLH8YQei+jmA
T3wdGxtGXeMm4cb3Cph55LBIzqQTmRGajpybOO8MbloZcADwXU1xKetJZAB4KteHVGEMchuaiXgN
qtgRa/w4017WUWWztMrcr8poh3s/w41rVmV+waaaWsQoo+Bb3lre+6w4QVLNW3VFP0n86g8GYIzJ
iqH96hyUioZHI1hHH/CfEJWIPQv+l90fseBQRMampdx4auR2AQyAFkpB9rUBwKVde2WEc/dtSizj
lk0DEcWJ/QGVRnE+Q1oyYGIuOe6SJgNkZb1qTdw9hH11Tm0rNfcdZH97NztO5923cshfiy7mQ1fF
sbNQz4bI2UA1gMgZlq0DWAD9KAIaZxstcYHFnsM6A6sOsUtDXz2fBPG9YS52numXtccgvYoE4wSU
ItXkHeLN+MsKxBYaJ0QqMCHt0fK8+JKWBtahYXERWb8MRW49e+ZllHIGd/HLdFRjPwp/GZFmaWhM
SU3q1c8R0MwJ0iRgFklIcvExlRmPfAjoAmIi4NossPA79U34RKWKfy+ZXLBDRbz3fWQBdoy4pcLF
N1UvDirOs+LqLK4qcnZiD/GZ/L4mD7oxZDdfushd+qiJNCOBLwat+nez1uLbmoSPhQsjJOMDtq5O
U6LCTvjBXBxfbZdG2x43EEDSenhFYmjOhUzjb7Jr+nXWjaAEzdqPnyjgwE7GdFPyG8ZjNv+ymxEn
wnqG4wAbGnwALGlz3XsOOwTI4Xc2WMkrzYsOTDicbO4vU1v+y+BW/W52+934tnjgDIEbjt1pyq9Z
6yDehlqpx4n+3vqIaY44hz3/O3vnsVzHsWbdV+n458XIslk16MnxFt5PKgCCKO+z7NP3KvBeNUnp
p1rzO1EoQgIOjsv8zN5rB+9ccxyWPmr4AdJZaAa7NBL+Wqf/eC31zDuOuMGu2P5eVVIftg0sFxr6
Ml3U+WQjlQLqlbf2sZpsXKaGugucKNEXzOJQttvTKxdGfBtII30v27IjF6rSK7YZWgJIpvbzBa1M
9R4EpGIXhe3vGfT1u7TLuKDKIWQ+aUV1rK8FgvFNZcrZsAVcq94ClAj8sx3C1m6KHkMnSqLpMrGa
esmIs/haNuNXRZaIyWw7ygCmC8Ou8P6n8DZxksXx4ofm7C9SZmbvwf+qNP7c8dBb/djxmIwbRAFm
dW8VKcJv027qQ55q8d0/fxjXMj3HMhwpDfsXMUg3ZXnh+6jJ5VADi4BWGjN+rNgw/v5xZpHlz09n
fn91FDGCjpB+7ueng/bPULBF2j3K//Y1nm94R010BAErXfayWhJ9SzuMTQtLZYb7N49uzK/Wrw8v
TVNaCFHpbn99mlEfsLqtMXBYdUS47lwIGG7mbADgT3xIm/TareABJZDAn5OxQAhJNdEJ726iurA+
ywydeOe58Mgd6v5puBpkUewd9nzlQSCdLheMYBnRa32UXjZ1jWqxkGjg2bigV7G90+9fzz8/ITph
QW6mJ3QXQdEvotYJdJxMi7bcT1FDDhxIy6DEeh71hJ84SGDmY9w19//0QZnQCgtpAZWpg4bo5zex
BhRuddipeNBgOpnSpJZWGP2CQyTHChHxH9OJv/gCzC39z28ZD6YLjyfIb7J+TS9B52bks/Bm30+R
tkZkg1BX22RiUH/zrP78TcOARBlCkh5DDtOe//sPswXAyHpZVFG+j5ArqUtLL30uTqJd293vn5H+
5zcNPZhFF0mZiMJZ/vKmBUlkxfZkp3tl4QwNW0oKvx3CeY/ume0qMVj6bD28gB5XXt9cJj1z9ysk
1ksuovAdBT/VX6kzNgRi40+74bM+rD9rxd//qX96TRCj8dHyGOzwstjmr3+pRgQO++hon4ShkPvS
bdXVUAw0S//4cUy+9iTOzZMkc3ab/fjaO1XYVEHQhvvcpxlY1SAiolXgI8j+fJz/qBnvxvLbf/+/
1/csymf9bh19VT/O+MgQEpKT4od3ZfWqXv9l2Lt4zfjhO468tv5V4v+vH/tD4m+ahqMzxzY9rovZ
rvdd0ujpX3Sk9YblcArplEN8Uv49HrS+2Ij/CRPkRxD5zzFp/x4PGl+Y5CHL55NlMBsX7j8ZDxLk
9NNZMUv8Me+Z/ELHwTTAifHzxwhSEqB0S293hAWMS0CfFLe9u8s6goHJEnhyHZgSHSmaSyLlxi0z
wG+DYTyCAH2i/RLUg7NiourfaX/kIlFZu1aD0640YO8wnKv8NilFc4SKR3I61FV4qzpM+Cq+dkot
WfW087u80dxFEJQXskywEEU0FWNhPxUecdxOO96AhfiWlcQCjPOQIyB9N/ditiGJ9k4g7wXLPoNu
XqtewqIKFsQmDDs1jjjFbNPnUYPuJWrSnTYVJ6iU80KjZ9mQOcFVwAAfgbGtrUWFBFo34XCX+DGO
KramQ6lB3AxZGA0MCDD8IuwZH3wvuBNR8tqH9VMiVIoEkTXuWZMWwMYBvokqUL+F7dhCabTam2xk
0VIn1ql09GFvJLh8Jn8sVrA7WO5XECU8AD0jmsfY1tsPdIuUsFBt9NqU1yhhBXTscB1WTbIdGzvD
V1AB4mbdsdTYqKDeDLSdY9XyQK4ZWR+I0BCbeXIPAYPbNYUgoZzxpWYdxPpwonJmsrkkq5N/Qy75
1jqedvadTuyJKnPYiAHaZy9qnaekbjd2VnyLddVvNa+SlzVolE0fwClGHkUI6jwGgsJnrZMwJzzc
QwtVZYNx4zbTe1n60L6TobrsidJ6MovxCRFEiMaIzWXjxbBXGnGyqqRdlwX5LhPyzGXS0X3mNIDy
k1UHJt7p+N8nlY4hzAPy2LpMHArp8AFwk3SH7S08RnSyxFHfSdXEB1cADcPWB8zFr5sVbFMywhB8
nWMgzhAOiLBlgALvOqHj66MQSVVp3ZNZ469loNnnNq4e+bx63waRq7XQ8uxiMmBjZQr+X1c2d74G
zG8c1k4xZKgzm4d4shKGCx21b24CmNOs5zQfxC5WDcCNclgnc2mDbr/ZZMgqHsQs67Ed94ae/24a
4qvcpKHDdWYvu9ByFuwNCTT3KKC2w2ddHX/W2NmEph4HPYHewViXV5YDrVK3NY1IkiS99BojJUUw
6PdZpMOe5zN4GaimO1B2RLsgYWGZhiHHmddsMa2eWzD2sPTT2jzaeRHfNLHlbo2SUGQSNh500Cy3
GbG0h95xxU5X+PWV5dzruPeZQHbZQ4oLbslb1a17e+wUMzI1LMiJ9p/rArgn7tHqhP40OExjz0yT
AbjF6JZKZNX69TdkR/kqwEOxcAasgrgfh2s0qlzdg5WsyZijU2gclAOueSlqHxysz/zd8froutfJ
Uhi5VC8FPWpLJuT0Fb3FLlITk75eFjtXMGRYgGG6RnWFkk+L8DZAY9so4UEwb3xJRE8A/0315HJi
/sCwE9o5m/YUguqo4RT2eq19HBvPuW8DjHiVO/qPJCr4Sw1JM/IjwSiEoK99LKvxWCHMvPeisjoF
BXJT1FSTcZNOjAY8Eui3KMTiRxL6HtGfqg3+kgXhHDnxTMNVqTrjW0dRchMB7V5hzG2mhdk5kgkJ
Az031ABsNeUbFKz+W0ffeylLsz94owMCExbekk2vvdRkCoZjCh5dKy0vtNo9+lpmAD5bqAB4vkeo
JvpyNFGM15DB+gbf3MiMQagkSK67UB4RdcRX/eSXJx/b4mUoPJ0erT2hwOy2eGCrx1y0LQKxrGaL
MbYgD9Blt5GONgqFIgyrKb7vPP6MtB+nG/ZM14ONLcYg9HaFHyXak6h9zT2k7Un1JKxC2MEboDg2
3Kl2FwzVzAufMVdGri4hYNkr1wVlxRCD4FIjQqYeJjdVYBXXsIkIEoisdlHrkiEmbdnCHFx/hedm
hITINm6v2VoLzYe8QT9ys62oie4bNIy8Wsa+BQKhWHXS5BSO7G86TL6VxziQ/ZR3zSbja2S4GINj
5iSWR77PgI92nXQxEt+2mdafYRKZn7Chz/0HQX/5/W/AAgA6JOrpbZVnPGIvt5cpvHn0YpN3ThJI
3IyCbIvYJTPo37QASSvi1b6+M0r3w27iM1oPTl9956JFX7uGe9lR/AHUSEyiItywvzF6JMWdy5za
1uIbOejlmS4Dry2LxHVl2CiUmY7iAdiytE9X6BRrBt2a9zxNYIgrr3wvBj5QTpPedRWQtXgY+1We
ioupm86k1IxLbrv4njrJ2Lea5gGc5J12k9HH4hUA7c44epSXv+fG9NbK4qWTkAAX2mSG6xTV21oS
YQK+LY8Ogx9cRWFVn10BDSowjetIR70y+jBoi7wz2DUxfIZwwUQhluau6ZL6jk2/gpUeVFtHKVSr
Q/EqNE4htBkr3/DXjrLfxpy9k2W/Y+q2GWyCA4xM+/0/5e4nYuJvyl3TM9gc/9Fl/qnUXUTha/1j
ffz9B74Xua77xRT0gVS+gknFpzvne5Hrml+YW8y8CYOcQlv/IbDRkF9sQ+BfnXfTjvGTj9X6wk84
LnNDSESSVvafFLkUzD8XuRaFsmuSo2DZ8/xE2DzTH3ulqkPbQ6yauS3xwd/FgTWt2jHMD4NEYtqx
Ddp2VfYcYpaGEOu6zxGb5RNAjZbZOv+wtrmnO+ewsJLHOAwjYsEm56x7ufT3w6RC+PcGiv9FVDvO
ozH1KAR7RMonPyEugJoYxnXCqb0lu3d69Eyn+JgKqR7DCdrzwjLpnB2pDVcAp7AWNqgrrapIwAG4
xmGoO+MGx0N1tPCgHNg0U01giMfKNyIU1g1tpmVNhnUsqX+OceqZDSNeK79jAzyJPX2zdhQxD7S0
rbiDIuiw6w7tzL9nWIwH19bso+MhqEfTD38x1lxu9gpF5YM/uOLet8cePq0Z8LvNAgw9wTqkDjDo
Nt69udtcOGFWHOpmCLgYnYRyCUH9Im7a6CSyWFoQThEXA2tk8Bc6Zn2tgafwkGBG47VHU79ht5Gf
c9di5C5gsibs6OwMLhXb7w8gsNqNT+AjK67I75mB2hmsHQ2+3qLRxuoCsT4pkpVws3LjSwtIXhCS
TtJM47h34E5t2hEGPStC1g4kqJiQS2VxYiJo72Ndh46YWcLcZHARd0ZrwxUezI8QXTu1RAi/m0A+
q97FGrahReGJlkQ9JXh3w9YzEiRYcA4bSE9QKXO5HpUoN43U5a1dCLnpTLN+H1XK8jRuWGe1bDi+
loneP+uqcw4sAoMjW7jimmQV475H5n9ObIAF3K5CahuEQGiiB8D20PgtYHlLGTv2ASTcuIO06oGr
yss1YZwsnOzCyg6oH+TJyuP+YCvFRt4u2axDaVnrDgldIJnTuyy32eIJK+yxwUJ+jyaNyCGX0aZB
9wFmE1BDeAmyAIgnZgR1tmvXPNkVCQFC1ygOfZ+4FS5CI1vkPS+pWzvwU3XNA7UVtFyaidcNJ59c
1ExM/ouHxvqgJZb1LGswmmya0l1g1AYvU6F7F3XLC7WwZU66XNmxKl7CNcDHlSBpozQsCFdgvwY2
ZEFHgfaM9SpmYqcx1tHY1TdawcXmjvEaMw1StbJ6KUmJIwO1yFaV6rSHyqqHJZrlgxhabSNbv1jZ
o3WpEsp0hDubzKNZ8Gvr0Q+j9awJ3hSFrJHWyfBkCbeHfVl9JcKsusic+raqyw8vavylbybr1GvV
AhXvUk1Wf5mxX5R2aS1BheDqNhwQ4k6bXfqYD9h3SPCPm94wknxVEdKziKwB/WDRTFhdRvAYVgyf
jM5t2QuTQbKVhVAuJpWdYLQ6a76G3T0r3fysiZBJP3FU29RSbXtN6jSSSxgktYthW0OrH+CRfmlJ
80Ar7ioN644Kwq9woYVYcZqQYFWISXkHACJhuDVbXhxI4Kk2IOvp+SP5IRthMlcx+Utm32pkRyk8
E70rk3ckBhAq9FjbuE5s87FQw1bPbGsrOksgCqn0vV5j9+p6wraygNTDRTD5/r3kpV22qnMXfWmz
RiM4pV4RDIOsnP4UymWs2g3MnemMfk3cunE9vbjoCk3W73V3zAyDMB3pJ1e+4fobJP3RR0n2hAJ8
TcI93aEYN7M+fU1abD8QNyf5wptd+1xaqSBp2ukZYExJBIsmYu2Ao40aspH4aByUh2biRTsifuon
y2Cb7tcjEQx+H2wylD7rFHnhrUj1+kmjjUVwxIB/ZcQQupuW1QKvf3MVx6JFbAz37S2ALw0kzttN
gX2EvTaeFO7Ap9oIGuiCw65lZHHL6iUhJdZNbsaoCi6dRkyXBgbRrZvn5lXFBCJSe7aAIwG8RPEC
oujuEWZ1m4aER4PCTVZ70OLahWhwSR5NPk2XPf7RE0spst2T1tMPVp8+k8munrFZJw9V1BZnXubk
Oksm60WBWEhIfxEDsQu4xS4DxhWnsEOsujCCqSHthmC/3lWAzUlpIapoyqdV77fR2vLaYzpO1jKc
OrtaaN10rLUO5IjHoup2wvKxSadsuvUnZUCAwr336OIiWo/loC6z0EKzhegfsnI6lcvGieP3Kgnb
vd61vEmZZke3KWb2TTs/towi80rhwNgQXDvuEDfD4elDTOZ+wNHnZnCTzTxl9JDqA+2nBZjvJCGR
zkERmCl7rvuyrjZoL50NMPb+BnesDS5AC4otjIIEm8YYbH0rLJcIpNNHLW+ne2UBHZhMxMcLndi2
Q2mB+1zmoanvA2G+Y5zCkKj3yZsdulWynoq4vB9A8KOkp/Sgm6hqeRpKNz4bboMPruFsJaDo1WzI
ICKYLb6Iceldmhg8ZmCQj5w2673kpec8jZdJKExtPQJzuIbGoTPBr6LprjAo3ljuAqkRTe08MNHo
7odYf69bgu+2kQ+ASgZArGkXg2+yVcEmd4BnLUYD8u7YWIRvWL3H1AJR80Ncy/4OVF7/6mOR4tA1
ulgu3ESgw5GxXd7LMU6/pSbr09ZkA5uFEQqZTOnPYWwYsEBiQLYKWAb0OG8zBATLQiKKDxPI2CfP
D97mJCS+Wu6xIvFpnRlE43RasMsr/VZMvM+YbvrDWPkXyFqqhYhJqXLbfgKmCSXgNqn5kuxaL7KP
Qx47tx2o0YXWtMY2zj21hxdG0QHHtnlDl3vBEp83ajTqvVFq9rYiW9pYIKqJVyn2gVVuG/01TVhD
vSe4WpmtbErulHuUQyldc01bnOv1VSqt4T4pJ23lJJ69SNLcWZZNChm/sLU7YpzWg8UkqhaGe90z
hruoSRli/RnFj/o4GvuuZu5Zd3n5jlsvITWkydE6dflukLn35JjZeDmDzd67xhg2gEiB/PSOM96i
Pql2pIlTmBjNDuBSeAqLlsTXLqxevLyZjgN40Q8JxHpZ+vZlibr+mGlc9zkyPRoiduT4JFw8tJjO
UWGPnRYd04yxD5VkMnz4PtijCWx1tBoQPl+QrsJBAgnsLetqY91rjXsMfE1t+6yPrpyROkoPfG8j
lU42RiwZFfkesr0Il6DuM5+qmuE9cyZStcvqonVNtdNF2axGXaMcUFGyINwtOREWggm77U8UndEq
9nLrMu0MkrhKjvVCaBbBCDBdZHQaVfiGouS91L1LMo2YkhUKmaoVRPKmKEuCh6pS6Juw0o6ciUx8
yNIJ7zJMJETLjEMeLUXfMk60vWo6Skf1GyKmtRtXjKZ4xqzjykPnNzg8ndLjvS9S64Miq2i3BCXo
D1xS1XboYZxLuw+qw8SMAJy0m3jvpG/oOjBMbqPG6vpbL7XlygLedBaNdk702L6hmBwPsQcr1RQN
OTKM16jmZhu8i8gAzWmgN/6iJ5PhLk30YJc1ChjnvPbuVYxDs3QuOBEU4/MgOzmB0dXMLs3oqeQn
TkamETNOnTld1ModGWmJSj6nVNa3RW3UJ76vrNl0KFEbWvXuOtEqrEujJGACqyLAz9LJJ2PtU+HS
cCeIaAfiEm8n3TGIHiPM+JmQhOxkNgnhGGSS2RdmQYWSJBV8VIrVzFiE0AyuEkOh2G+yxmc4afcQ
UZKqDgAQTPiySScrw0eRhAhvylKB+ReWdggkJYbVkoaRpNkFcj4nXakmOxvMtq7dQDALHKRJmEBM
0s27O0b6W1C2LgGeiXwmKKHdI23U0NMgXyiWWRAm2DZz9n2kK7JlQeMwIDErwL2TT9y7dw2mH0g9
iBDXA0vshVSFu7Eqe+slZKWRkgD5WQNiuxxjv95yar1C6FSEz7cF/Dcr3KYuUuchUtvQCK4QLX7g
6wt2fl5o+yH2SW0FsizKcGfZ0QUiam/ROWW2StEE3oq+1iB61+Qd2qm/SoRvLlMr2WpziyElghar
nZZ9scE/3hFrlhwcO/8QSKhWEaN7wwG6whuBG87hyokAmKy8Inz06p6cqTC4UyExEnoa3GuUHQva
QbJNYnVJdw4GsHfP7D2rVQYex4wINaIZeUP+c0rseJVHtruEF8DdIIIXVRjHgCiTBWoIY6Va6aym
vhrBQYRqL5MMmn2P1ww10cTgLDMZv5HklgCzXUUd0cdMX3FwpvUmS42VSIdXhGcr8ml3CvnyCsnr
5QQW+ao3s2LthGIiMH6ytqXJgoWrR1/0PfAKXPmGeYhzPCl+ibLmc4AZYCRZY1Bp8UlGUPY0FhOb
iTxyilINoNuA1RBdnK37DKyT0QRo3LoExKeQ6hziUKIZMAAcrSYcORk08sxNq9tZmvQfWt1on5o4
hxEehikNS6yIUxoYWparyei6a6xsWbh2gtJ7SLEtv4LU94+YlnsbM3O5oKCxn9AhkiStGC4SKT7R
4BCEqEc3ThkMhI6Y5rQrBzEsuDjEY5A3cIJEUKKAry0HoXGSNgcpJZiizm1qjryufLQsdWui9NsK
5d4pldhHDhiYelHp7oa0eiVy3kRTPCtfh3jpYc9dl7rovhljGxpUp8LFA28iNZ98kIqhKNPnEYjo
jKsFcVjUfvfCN4sBvV2if82ycJs5g7Md8AKubcRpeyP0AtLQDPZkLlOChRvq3joy6vKoB5z5nEKi
fwjsJH0uUg9akqPafA1mUt67FC4W1IAsHcgSJuHuP9O3/8v0TTdtF8nD/3/8tnutx9f8503z95/5
PoGDF2ujahESqwdbwR8mcNL6YjFbFwhs2dWC7+Jx/rVmhpzjMnpzEBBIiZJj3k3/e80svzhshWde
LNO3+b/8AxOKLUHj/aBIwXeCpYUYMZtHES7snF8GcIluoClnTbiNO829RJ3Tkyo45dmGrPD4KeDz
9WzPHun80y7tzc5pe7DMtUiqbscIzMN4UatbDxTqnGYaew8FtceT0efyYpqEdY87vjn3+CT3eP7i
N6ygJmE0wbAHQUkWbmZDanaR2o7LSlfWezJMpA+i2VQXDgbIO+wWfFMixOGEa5S0hq6T3hmp3q9c
TxiHufy/aiozoYwkmFCFTkbIEHG7TunHD4jim0ONwu+BOyI+I/fbRAyDyLn0OuLCK75asDwWcazE
ypHwmu3ENZZmTEtRpC40vMCuSuICi4DMFxPGSkM2qwVbb2UC3lmb7pDdRqqWrOFjddEiMFqBlF65
oV0u8EOyRrWs8mySGHkYUmGxtQ27CwuS3KaTSXLbKaHOheLKjqWTk2xsNUj7Gp2JfdXdpDnnf6c8
AOEpir6ktS/8tk4xpwwoBAcwOnptmYgi84573QBbDgXwMk3NemfPlYOqS3aLrZpevcxKF1TEhJEh
r1oZIXFtQHvStV8r5huWMO79pPxAQFbaq1zVmEMH8GbPQg3Bg+qC/mkM/ebO81v/mz5Zk8Q2P5Xd
Iqp0VJkjvnccRKLNmk1khuI582wL+x+FFiOsSQ4v8Vj1xCP7VnTFYtI/sf0Zjh5a8nVdkshA7Ta5
0apoPW+Fyny0lnxGNHepEQ1XLIBzEMEN8uZDHwdo+p0OgF8UJIHWTZGfzMzSmMTY1W068r5YFUu1
JiKJZYCFPYVoekmFMs8JCSnAnnL1OMQO7gvXax9lF0cPlLxA+CrtxnDi8hh3vfFBcKMNSGd2fMdt
RSpcHIzDtWHE72HovkAn989lPQHdIFL2aKSmvWp7Uv0WKi50fZZ1c1/OvJRz17XxTVi4OnGEzXgg
skFeZqUHNS5BooxpHiR70J26yshfaxjCu9Gw+l0QueFpZuvtbdBuRjD4uwJdOcxTvDy48N3islf9
uBkdZzgghLefQ7N23HUyddqTjOzoISjTZJ8nff+SIYZ67X2MCCEd1qpoXPfYm1Wzirwevp59HQ16
dWN2A5ieNu1ekXpXD/ZArGBdtOZz2ZUB4sYOGAIUFaljYUIbbmVMblf8r+VF0KCUob+3gqMZkhZM
kkh5CeCCJgQr/aPv2Q7ke6C/ECoxlSwF4NtN7KfsnYE5M4aA5B9omR5gIcqwBZk2Fx+mkJkkiFUJ
S4/ePzhY8A/00+OKbqs4+xJulaNi4zIiM+tc5q2+ViEGgaaT0HLJBbEjtselc04wr7PyTmkisHro
31xnJG3VsauzoSMNXfUkPesEDBNG1JGWif+naRhM9o7o7yNIe9VWZ8ueLinnE7nCHeoBMoznrbkZ
o+U15/qqzTv7bJAmvy5SU2xavDY51ggl7FWJ98Rd5pAG1sqUXUTOCnwaxQSN5ByO4mdpGcAWfExW
VPf2rFYfJ4Qvqy5luLeoIwdASQ1H/kSCWfGEOjLIKJSD9nrQuvwdSq4zUH0HxotVg4xZ5GUTPg+F
i9iBAxGurcxjyTw+NVr5POaWAhukmS5iAVoKFMb9U4XDPD9EzIGgB2vFuNd6YedblbkmTlgK1Leg
GIyCVUspn1p2E+7aS936Ssw9AcqR+dDu/ZGDkfEaZilCADetAaB/6xpiLp8NT3t2wgFfc1KQWQX9
q8GB4TgyE7soMsp6aRI0etGncRWuh0GZA5Z9nRyVRuvjejsyi2NjY9jFbeTMkOrenWhtKNCaN1FP
cLhbQFYoTRDcq9syFNpR1lO2abNS1WvZhoyl44pcARFAEia1LWmfIzzM9hKDGVEUfdtbxKI2Y8hw
TnPgITe2D9gjBcYSIK8E0Ux7eGDq4ux1XTEBb8BxfdT4lB8JVGu2BZOkdMk+iuEJkpr0Jkqk/9iS
+31OPeujGrX61Y68GwuCY7GYiMmhU0gLZwNHyDu0dju8jG7HdsdqO+fFagWQ7HmmthdOAMQBBQ27
Kb2TN37iTu5VkPgasyMrg9uQyLrfeLHHE6hlqLZJ6ilr4dDk97Q5WXzPVmM4EpYesA6PUI63ILhX
VKtw6vBJ9990l1vF9PpBLVEug3EJe/usJV0jF0g5sRuiGLP3moYzh9k2FPGSqdAdOYnJEZWWAWtM
z/kAFqGFI5Fxcrf1cfjdt7Qe5ySzkRYnmoijdY7R6Mn+ZE3IT+yEBfMT51tEnmvD4O9QpGn1yOQ6
s/YREUrl0pdEySxhsEKwqBG1n5KcN04zU/KvNNHwB9pdkL5XWofkhDD26SKHGaIWagZixHnaHjlD
9Vehq/GRXZ27Tz/5Gb6cYs5exEDLnl/NgB76wLM3YzeajnZoESaw9rD+as8VNCMy3FmzZTmp0vpM
7vCj3HsIZpqHmLkelom1hMhG4DuhMrOzmQLWALTFK8uhqy5J8aVrYwShHrpu5oZMkVm8aElR7j02
tcibzdK8xReOS5FTUXvLkeSTremImiRtkHfAoKB2WRsWGulr9Ikr0bpPdMknxiSOCmhsuDPEk8pq
Rg8wEL7JT+SJTv7zjC3o5U1sxmGwkT0Dixo1CEKBpEiuvE9sivpEqFgBNBWfLA5AWHF4jRKLYUUz
I1dq/BrwgtM33iu6nWlwy4e+UdwCHSgjC/zuTVKHoDYSEwHKgjXDvCIqmZBqMmFUYVSaeCjjOa4V
H548deHk4JD3pQx26hMQI9k5jesETAFYldBWl4J1IB9PaRAWYCSh/wRfAj6PN6ANjFJeVTym5UPb
DM616iMPM2bE+x7XOJfxK0zn6RNfI1yruWl1Qo171wdto2bKjfMJvOln9k1EMsgpJt62WlrccGzP
7BGqdwz8TIcVVC5NeEjreBIkdH4idED3xZfOJ1iH1HvjlXjO4kGrZuiOzpbgwqkHXhF0NhWq54FX
qLTKaKcPgfuaRKn5FV4FB31ABNmDpw89r284En5oyeAr3SHhj1CGH0hoxlw5wThvNGVcJJMZn9NP
UpBmAw2K+9jecdOWCT3jDBTKYnZUW7i83sn3Bvc4WArwEEsWIEQRArqXHmU15j3MOR9p6WXf/DY2
D7avBW/sAOAZBc3knZhDX4Rwi/fjJ/PoP03j/6VplHx20LX/rm3ctvFr/fqTrvmPn/pX40h7KGn1
AHuhU2Zywe/7Lt1w3C90bJBlDN2gOMdH8EfjaFhfpG4gOie/z51FHfzQvxvHmcYqgZzoloHfn4bz
n3SOPMRPfSMyekmHpdOJ6gSXyF+8L54RdSiWGL8rO+QUntjrP4bMzP5GS/+zu0BaApEUYapoUKRj
8Lx+eZiGbUXcByTNO8gQXgCKuBtwDwHFt0q6bZBhlvrhXbj67sX4r7zNroooVw3ZLrML4H8tGt8f
0QHZgoCb9lqfm/8fFSleNiUMZX3SK/XBA4+cCaw84DdRGefShBhLOXoLwzzeKd+9wYXoaYuKn3rJ
RxPWUeXFh8YJzYNedcbamFq8gmPan7Ngmk76kJTnv/l7f7aUfP97ecsR0NgeBAM5v1E/OD1i9ogA
olE5JH6RvfekkS6ROvDPxMs9AApYY/tAOj3ak+K9Zsv8TlZ0/zAGcbkFFWF9BMz37vNiICh4IGby
93+e8efPCRk5s9BIx4/CZ/KX+YL0KkFi1egAtiitczTpycD0qzBXsulDYuFwHC1yvCpHMEUDul7B
3QD2es3f7O7CwZKPxhhklzjFj7pe7gFmXIM1ghXqswZAi1B1yTP4D3dLzjrbIoJe31o4AzDWqvLm
98/F+nVWMn8YmVIj7zdNC7H5LwYSN5p6oVrTXpdtGp5AkUF+HwYjWLFVDIn6jCAeZCT0rrWi6d9z
pyfrG+kqzLE8U/ZuQNF93VLlPjuAp7SFTmh4lmj208BGp2nss6wjYwWeo1vKVAvIoGy7vSqw/9ZB
/FzaFXegbz95tjIvlMbqMx+hb0bdrhyZeuBldy7ox6uTpfkT1k/KOagbEQjzEPHhgpG3XLeja1HT
9ua5LoFkzH7iaQEdrzzaTsWanwD5ALaoIY51JnqKZ0Pz1KpADf30+9fy84v7y9eMTabNaAvyiYmk
7OePbSkZI9vNaK/hnWSXhUhyEPO9OKGw3EpT/9Difrhsx2holhky02zH6KP/cKq0frPKSp2rAMM6
JYYh9z0F5Epq8AgWeS71JWP28oqou2aHJT4YjkGZje9e2+ss+H3Cw9NBe9LNJDiVE/HrS2oIsRgD
MZwgDMYb1Tribz44nKx/OlP4Zs5XgosXi6/CL0/WFWUn5y9Bw9TsAkhHS8omSZJ7iqX6igxJb1Mx
qFtQv07XdeXSTZc2dbrluuWOiYt7jy5q/MZqU3z9/fvwF+erOx+ys6jPEa4zny4/nB5pQNpBavc2
ogLYKvC4PlAb7C0FaVUO3XfDEklgwbfiL87Wv3gZ8IDOHixhgt+aHTw/PljB/cC4R9nrcWzkk2DT
O3+L48vfP6W/OBB/epRfvqWpG0dOY9b2OjGj6Jso4FmObU6ZClB13Pz+sf7iRCAJjDuaG5W+2vjl
5eMjGZcla6l1jjnuaGrZ9D4RSnqyalPcGMP/sHZmzW00aXb+Q66O2rKWCIcvUNhBEAS4iNRNBSVS
tS+ZWfuv94OeHsd8bc+0HeGbjpY+iSLAQua7nPMczbFbs5WCJ02G1hOIM7X+r7+B/8NbGsIdI3CE
859gs39+S40ReVUqxKYEB/RmjRIFFczJf3EL2/cv8x8/rSKwKBywE3KEI9n0/8mLZHPkBnOZE7Qn
1K3V9j0Tc97l2XCdqpcmzC5TDQRvGr+mEatSWhoXkihRKi0NDB8HDDLMLCRZtIpXD7HMjpzXjjny
TdstwI6Z7rPNkFiamOZal2UJfemCt2OU3+zH/y0E4D99Cv/5+RBBQBgod6Vrhfe66i5J/Q+PPPNL
RIPEHGzoV5oI7UwAiAT74eIRjvlf/3T+t7ctJA+Gi4/NLQN+zJh//afSJbYh8Rrhhj4+OcYz8gnf
XIZToupy66A93PNWh//iH6UU/OdPtWcyNcf4fD9ZfUF59td/d2QxbFd0gRsmSS+CVe3GSQJCyuNp
fHdkQ7arNembkWQHlYwffljn9xbR/swZvtAtpSdqHxbWJL05sfekW9BnHG5yl6l2V3Y1ma5x9hHb
+qMZgCCZI5nJQcFwpGI7IOEorPxxOohioAn1tfkUeiN6JmxrTPkZstPOGKvMnM0taFBxDhpgqIky
H1rbKLf+NAIYiBkvOG117SUS3lomLR+g2+yTyjVw07nBcxI2/WXxPsEifNW4fS41bDhEJSJ5h0DU
XwyAndsRxN46XnJrVUlI2xAm811J9jMWJ1nmH/M9gHzqsxq81qSHLxuA6s5NXcZKVee4HxOWg21o
Vi9tOzypYNfzOrM8sX4DR1QbEWNKyYyk+snEIFtg8Qm1FbIgoC4LW7aFWMJsGCqPEHuLJ2vy4Pna
uew2JINw56re/tZOEZxJ82BuzuSE5W5BAk9oDfFmGRmRrWNuqZ8IVsZNpusJI/sMXsF7ZncIN1g6
FSz6vnfLaJHpfFIEaF2BiEjkWWzb4T4AhyBErl52zKj3sffSMwucCSIjTTb8M4+MVcb+hRXvN3Y4
8ZbZKJsdNj+bMBh+VCmBHNWktxp94DlG0vJGYpBzxRAgAmw+TcXXKtEbhwueKEdeq3B5mxLGggOZ
l/uuVQotbkIoZRGQD44YYrioaUGXiIftCclh9YWGRl96FTCqiNPkD2OwcIcsUe9NotOuugys91q2
5Y8xc3ZI5Jpum+VT8NQ0VXtleduTJY8qh1GeLec1VJv5tUyW7urEc//a2jCdpKHmFyON213LxP3R
aGWyJyDJuDE6yx4xlKVRbtrm2pKVz7/stY8xsttNMU74zdF4fRqxpQ6N14hHFrBynfLT2y951V3T
vvylBn/+ld9fITNTY8dq98lMXGyYL6bFGiBAWCTj+Rwbvt5hjhnJKCia33FswaA2eSSl02cU4CwH
UKtZR8xCy7rrJHMi8KerZkrE1ZdjyqC2WdZmC5qwmVX9JzD1tDUYKB0rMKCXWgTfqRQftWkywNJW
08YrZWfTD1bCDbKlkWnpDGclddCb9TqFWTISrMDq7Ydq9Y82RKLDeNdSv8rG6t6SoPD2eE6qXejM
xEvEyBrpfPSDqpRYkzXl7XNycrfs1JKNcPimLNOr33C0GGegMC7zxZg/XNQ3TthpLys5QrBwvA1/
KtnZ/vgQ6+HbEcmpbCZUK3kIPLk2nSnKs5Q/YCTp8wDOYzNMpMwUhG1eYt0WoMyN4Nnp5186EM2t
VKN3AXoPO7hC/+g62XCAify0tKZz7dOKnwkCknqd6rE/Msoc+VB16TYNR3I5ID0z0m4f/LvftHCA
qCVzmkciXtLXjiUGv9cuJ9OUvMBG6mgWnI4YhGYuCAmbykqJUoH3AEZZjI/ZEhMCPTcjElmj2hjs
Qtdpme/YgH3IlI0YPFpyIg0o1p2JuHYAjjUZVf6IogcBoDHZv50xx6MZyHxNaLy5zopEPtlGxcIn
prXztmy43pxYslJE668Y09ZrgPQXA6D0LYnnE7ZJ5IDwC4r8JS6KmlfcFlfHBLhZzpn9ZS5TeWuH
nEo/GFF+5NqGdYvJJ19Pyrso23PXYKuWvZycZ9KoIlHD0el7gAHA1Hb10vabUNm/6kGeUkus0dD8
qjMEZ1k9uDu8qfZOGeZzU7RrnU7DuYYC/jD2eBhWwmz1ewcBdt3KsY4BOdnAYNK48pEVzx3d9aJO
HS5GCFsOjJcieewXRuCdPVpROjqLDX5zKsi4BR7dZwxFEcnU7tZj6o3GJj5SdhCBRCroqXGM4cmA
KrbNzLpGq9e0R5ZPzc315DUtLKB3KHg+M1c1n4syi50V+zgpsDcg5XCzhyxWzjvfdbMhqF7gI8nK
HVO1ZZeCYv0MLSM/yvvA3Pe4ORVyDj4Xbbgfsr6PkFfRDpYzkYtg0g4thH+OfkGClSrMMyEi0OQk
h3eeqauy/hQpc4SVh4jsBYB9HWkrbQnhLOeblxTBCcHwfPIXPz8hx5o3btnFP+olnN97cEzIzkrr
Ro6G3NXC5S7EwLZzVZf9ROm5EHGt5XaQgf/eJqbJoBONfe4kXLcpomWvSNcTPrcnJjt4aHm1D2My
i1M3aPEQO73YpOzlXmxcBtcy65yDItDjAYxqvzHDPDkPVcD/0+HwKP38q61k/sJOiBBT5JF7HtGN
7PWvoBLptgY1zf5J3U8XyEPkYZUtdf/ie/NBox5wDHVs+4swkfdrr8aKzJI/ATHVRYiJ443RB/7Z
kV5z63ADfolMVu9gFPBUGu7bHLti3aSkQDIyH3ZiHFTIPhuYq+nCmjVcrzp2hSTox3HV1vUNZ50R
GRf5GAaeDYEmnsK0DIctO9r0IB2Stc0ZIW5pyWa9uBUPftwpo10TZOYecsjkB9iauDg7/yng76/6
yTCuGN3L85LJL2wPoHcKRdQjgv/6meS0xzvV09funzpQx6RYkidRhN56modinYxpfhgAgL8kLGsj
6czjinHUmbCKzZDEEYVavFVxNZLdYuG3Hwz0l6MV9hcSZZJXWkzPQqpIiBnOAw/6JKilRzgC8Zuv
fOtWVZ15truxPTro2s8EdekvjXq/Wg0Sn/FY880Ypiu+Ad2Hv4MMr1WRZfnGTvl7VhwYa+XVrFEz
ir5tLHISjjgX5k871P4D+UQziZckSmxYYNa3tvbrQyrz4ZsgGQJ2c8doTwkbDXBDLTh338qsVzxB
pCaxWwnWjeC+Hhj/NJj8YwJGYVVyVfYyfnFbi0wWq8SSpMcq2c3SAWioY+m193TXZZVhpH5rSL54
x8pQJmulkZmt2jSN403eOykC2CYPH4u0GMhRMca1QzPEHjk2xEciuYL8lkRtj13oLsSdjb6O0KXV
OFbhGc99yzcPkIFcnSV3NkNrSL2Ccb5cpoIB5bpTur20c6rP+ZDfUNn+Qpfyo6/cfpsSzHNUSZzs
+3557xfUfxqxKpklhdr3hCxv7OpulLlfNyglsECEapH3EdG0rivYwG0Z9A+2o5DSkt++vVvej5Xh
wxxXVTwdhhSwKLv7vCrDO9QuA4ZQsXjQc52fkCq0bzVQzj7+Wlz/Foz2iwqGTwtwKXzJn6LQ76nt
uvuKLftVDmaw12btR65Z+Q8lptWOqL2sWjfmfeHXLHi+K7z7eGag81Wl0VuMomzqpEDU51Ag9DF0
UYB3DDCzua1NkEqdoWjWnhCf01gHWcS30D/JWCTXMpye46ly9mgQ649pMZdmpUbC5RktYZvO4+55
qXy5m6cGoWbb+nuiGZMAG20xf/U9e7G2ssjlcOGUxiARdnySwczDcEGqmo/7wbSQyjasW5TVBxj/
k3qKkvAIcLOFPsfABU4GZOuBqOmDT1TQG2JQLp0gGGCZZoloI69Z6FnJf54BXXrZH/5OvSnZxAPH
mw0IspQxqRstBEkfi/Ee7Yrf6+IjvUs3LqPWjbLD6gEomiFWmdf4WyTQ/o7VUseR6zZOZMGG29Y6
DJ6Nyadh8BkaviIcbT5o2M0TI4pmpwI75MPdh8BPIQ648XK18DUPpOd+dQwdt5PTmayRTXszO3BT
iz5YnozB7Dc480vKYFbRBzzZxtlM71gN+KLFuYRlflEUHwRTFwhSrbLZ9TEym8xxrVOVBK/lYB7h
BDW/lj7JdmYq02d3MJpnEGVG1LfdfAUJRk43GpJrGAKJT0UZ3nqSvs62b8YrvmTy+34U/gRnmxJf
U0nBbxYIjnNhw4gywld/6boXvwiLcN132W8OlvIRzuH0OppzxpoKft/Wkrr+Oc615DWkxT4lRPqh
7LLkEes8qRJqao5YOZwDMYndY2ZVzaox7OQH/JcY1T0owBbvxGn0AvT3FGw/KqRaCCxIJ9hR87RY
8QYkQkFF9LMc/IElf59mFyaDw1vhMhmcjLk6NoQXhzjbRn2FgeozTlnUvK+p105e2XnfoyVtSSR2
nV0dHtWrDPIZSoIx2vZB+PTHaUk3uS8UQ9lVnY2EKeRBvU/rMf+hdaU+JEnn1sYxWRysGrmYiG+T
MX/tLRFix5+tjVsZSq+wt9LYBEllPsh0SB8Nz6w3lmja/RCrYWU4FkyuOVVPXJP5FgZh6fApkQne
xGB+M6wajmVmkOZeYtaX7QJyWdbdY+FPVz8OyK0MhqLft7wEY9UGbf2HX7peBBee0rKYA39chYZk
18HuUtwMBDRrX+VUIbFduJHEQPJKmgwDUxN3CDL0TP4u23jaDMtgX6yhgkQMMpdOCvPRp0jj/KMW
Rk3skyW6AY+5O2Y39HDdrpRIxdbGMsP9a1zNyZDMYDkaRuitmmBqErS041Kfd5PvVfvCMUznrYpj
/Wew85LWmslhfbTdiiwwGgN22CGKO3u1xJY/r9GCgeqlkjaMCyL3LjhZ6Lrvvhjx3ldTtcd+4MCC
cOBTGBli62poiPKhws8bPu2iJYGnqUbMNCMh0nJZekS1RRam26omrrVrBopbfwnazazVbD8w3otN
ZBSCRVUAOXolRolCHefkuXBC/YpAJY9AGiKzkT59mhFMf5Y2XGD5Ivk6ImuqfgmrvTvJQEJHQCE4
/s1xcB4qv1p+AMPSf1LmQGcQ38YXL11+9PFIbkUQt92Rq5BjgJ+NW2/mvgrUowiS+VE3XoACr1/K
7QAa44FpWMJ5Dj9oXA+ET6FXbtpLRu7NY2OK/CetJe2iP8rgV56rguk6B/cPiaqx2ATOeMqBtKA0
Hw3EJOHotR+aDfidhxy/s1LiczWUGY1e1jzXQxw8xEokxdYInF+lzQBq1CkJfbB4WuaZqE0J2ShG
FGP4QKhnFiO5QQQtXyYihraO2SanNg2sC8ZbFC+56hFZ9qjdt3O9dChJpb1pjUx1mJga9cPB3bnP
ub7ekoIgIE741Mt5JdC/1ZIXnw3l0mYcG8K5WjPB/dRbT63ODUBExCQGq8kmbS4iOCCuo2maY70W
fsotOUFgwI1MY0A3/MsWMjgwXU1IiZy+tTV8K40YhBZgVcIcPhAiMK2DBgajC7oxakTdv6k2SY5B
SIZQjnHme/CrBGwO+S2PTLa4GSoKa+Sotk8Aj2sxBlWZRmnRGt86HNG5s1v7o20x6t/3fwILKnkX
4W1K3VRsPJtcl9UyZLT26NQIzDCdmVAGa3AAkPDiCKahBV/ehILrS/LS+CtDwl9EQ4DnDx3G05B2
4owiZCt4WfEan4JmooNg4zR0cjmo0e0Qec4fJl+FfCJDuEjw/GLndTPxzRwR01rNeEJ75nDJDpkp
duJgRMXhO++al34MuIZBpeCKZ8fVbJguOW/cTqR8pYjg8ngWjwaCiIhaBjVWWQRraS3nFGnuKcQP
hZhStl9zOTFuqyAUxi29rjHlKDTk2GH4rYGcNEHP58CwxEFT0iYr3ET2uOomruSusKedpxZj15j6
70D0Bod8b7ePGrD91oTOdGh8OzFXnHTWc4tr+jejjBwkeR5gqTdyeKOWvlWxSp8sm7lgSDwFPWBP
MnZMtkTOczh7c5NEQdDMe37i3YgEw2XpGow8sWl4aobwfTQc/w31C/lOsyJYIliIqkJitBbcvcc+
R6CKwtVD0pzJ98Hy8lOFQZnox6bd2NMwRhmBxXBPwvE8jQEu6c405k3owCElOitNrz7yvi1WheGk
/DD7naiFC7iMkdcJ1mhwFOvXivywF7B0y80wEv+NfX1DS5TFxLi5vXQ2uH8acjdyy1m7dRe8BUaG
aLgt7edurkP62QyXh9u1B2vRGpMY2F81qjy6Wx7ryEVeuArdqcp2pBdp7McN1q/MJ9sPMzAxM2Hq
JpRb8/CTYxSDrmcImFVhM1Laxwu+WrbQwRLNWrbVFgFvf+sQqO1LyvuG0zSQI22XDTEoFKNxzco5
f5RNEx8DWWEOaggHGUfhPUxuLck3s+ptIJd8LQZND6RLb63ivH1CRvmkK8d5taZ4VSv7Z9Z4n6QY
CSBl3gRL3RskHhksLutaeVE3l2cA2mKfJKl5a4kgIKjcCY7VPJbnTBcvdRrC7CmHFFuSbT37ynVf
iGWND8hkl40hh2fg5gWHtDfesPGZ+74UxePETYpCgTjAJAfbayzJs7dU1U53ytvaFVNmBrrOeSRF
Zye8ttv2uiH1eeTMD5R5MpOSSKOYSJdS+bsec8wakdmfjm7la0b37bQG2UYzrLNJINUe7gKtrK0O
xBqSFI3xf+enmtkQOtqGJ9xJYPws6Qu+9e3CPtaBXnCw2HVtABf/dlGZnpJxdC7QEpXAyuUSl2pw
ktbMn7AJQc9uCtOQK5DgwcYWFynIwJFd0Q6RErrf5lh6ALuxWm5huRFGBZ98aY1NmNePQ2b0d7n4
Vx8Yya43Jusw11j/QSh5195UUaO9B3vp9kZLf4dS3j0pmV6Y/TbsDqpdk+bXxhDmL9RxI0cT7bBN
vDTj/GE+MQB7LUIsMa3pRyweIjuD+JAM8EUdvJpJnbv0ElP55XQQ0QpH/VyW5AFcIEFOSdY0UOds
kr/Z7dtcB4bYougOIV1mB9+eNQHeoayImarZZFF6+CdhTGCNwaWBIgd51Dii3gQWOKH43k4IkH0/
awikmCWhFJFGRdPeT1uYrHpt+iTO4IsVvxqivp49mdQkAaQI9ZHlAi1w57zbl/gfkMa7TXoURlZ4
O2yS4kMNlpF8xvwGH0/VQqsiGfTFcX08sePAtK2Yh03B5xZZpfQ2SxDM4ZYFBaMMBegjNtz4WbZk
jGZ92IQ7P7APZDavkwCHtRQ2arx6wCG2H1CwfZLQxK3o5zxSKrOa/MXIlpyVo+Wk4WdCXpEAJeb4
kSkhgZy8jP4kSgpybD/CMC+uYeIL58A6Oy8jIinuB1yWP5RiIFu5mBBeS5uZqIeUDroXNiuTFQLn
aeihdlXZLSem8LnvXE5bzo165+QLM80xrgU6kMzzP1qkn59zY4uvAnvFSrlhX0G/o27W9HWR3Uzl
dkH7FgVytrp9LrjuSSpiGpElA90ijknjGhjqnUExCXH2SIDx1PlH3xPM8PGvYQ8DRLDgwTCRqKND
uDi5fdBV+5maJcm63ngR3O8A1C6w404674xn1xpnLBxJnVwFBcmZJy79IOtN0hHL1agT88GfMYwL
EtXJ4mrhOsuM7dKMPywPd0MV/hyS4Sbk9O5il+1WfHD5xC+OPEz45pIg6e5JpM1j6CD/8xQPepUx
bEyEfRfZWP2Nu7vmhiyYkuVlW21oA+hUO8OdCJ1ahuobYkAZ4SXRMLOgluKpWXV+TM/kDiYqE4+t
VBvq8TmExv+a9C1U9cxhSF0K+Uhw9RMI17N2DHDYk0/oaZAypNAQmN/pFypzgypNQmqHlz40TveT
pEtdRYrwh9PSaRMqP3AVCt+MtbDsuHSrPuHIA4LHvGDOk3A/m1a/Nml1bM6fqnk0yVl7lngXKbSY
n2YmHmx87h+aFJndfDfsMVudzlkjFLj2aXmffbq2KmKVxWTD42G5eKp6H0fLuSYL8YRb3TnzzxZ6
5L6nOj67Yee9z5gDGH6x1qMkWgjezefQPE+lYWJx9Hkb0IOB3ocQH18cRkO/6U3pQpY8fswGUN1R
x/vHO2mkvrXBJFm+0sJlazDKu2K2o7GyzJMbGuwLwGy9Esa9V3074hEa3zpdSd7B5JUF8q61An9f
sksivE6RDz7jqV0LJZhx58bFSVgpcq5krx3JAShGWjqTgQdtVaIk/lMv2WMr/buBc975tlrXY4kN
lDQAHLsuuMUgYwKPQyG1Ye5rlDbEctptsg3nyqbHRw3jrTHX/rJ7W7SIGttxX9F/vptkC2zxu0lc
Krb8wihrooOCE/c6wnhHnSrD4bkUlj3dfV0kB8QFXcOy+A9+GlSvZF3iuQQqNJC94oL7qUfs3UPt
JddUFo+d31NZDG12ZHPCysGuSsDAIRmHyuzvGIlqXG7LlNWE+lijxtIU2HtACQAISNdgnQC15J2c
tOz3YikrqhHXPOMIG5gTT212EovLEYYm/akrWJsNdkwj19jGiUTelpZJNu5BYdOC0ybG4nGkjjkO
c5yQ6Klhl2CmmWZQqWXDh70zbQKFOt7yyLD7t0ITTAIlL9jgWIDATvwxZZ198PyWa3BMxU5oKijs
vJ19poNrVtAH98uwlnK5QinQeWZ8g+c0IuVDeSnuFe+42NkNvV7z6IRDHzVVmT/ly0ICsJU7TyHj
oDc3tf0N1mwIfcNS0+8hi7YXbUcC40Xk5jnnVm0XD+icyMDzB2rnWI4nTlySeanltj2n9M5zCvb+
jbpvxmRs/SgZNxzRa/frtghJHM0c79ZjXMZk34jfZGjhUWCqx+VR5GSX964gE5c8iqhM+3HNDMlZ
m5jGV8jbu3eVpeLZ4vm8pq3Fo5Q4ZHC7S3MTSLXwxtoehlqyYnMOWQZUg3swYQkwTQFMug4KgdUO
nfyu1173Q8acdY3psNDHx4GxfDZzXnFl9CmpT7XFZinxOw0kIv3toqP9EKBQLrONI5t1ohHZCBVJ
eHJEFJAlH9kmuXaYapsor52ZYD+SCzjFB346YyODT2M0Pupg/k4GIgWIS37igWJazzQpqsouf0oN
q+qJplb3zsFNq+kxXFhdY7Iedb9rODzJQlZ62PNYS8rHe3beWAXpgUDH5NWXpp7vF9FgrpuwnCd8
1L6PZAB5dj1Y8V74lfptQ+xzmLnHvtNdpFHNh9qc/KgojEFF3Zgjn0m7LL4mDIueebqyH0XdWu+j
7WC0B76ySQyRbOMmXi5eDR5Rgl1igToPrJ1LCxNBYnevBUHoa1JToWrlixUcUmXLCNlY8h0mS7Bu
Y7PYhN4yP8tQtg81kIAtt0W58XxF0NZktvSj5mCzfrH+3iX3ESHD8kRURLm2EwjYYk4AQXYhuAXu
ENyLZTBvtUukL4OW7rCkhfFZJIn35mgK7Zomaa8NYLA99szdlOXZ1uo8sIZT/wX51j6QaknarW+P
XhmlVvYAdWB64oksKald9YGzP//thDBgVJosz75vD5AY6Hfa9cz6GAXDmqkx4Vk5/1swJXmZYWz0
EcuNYIrModPP1lTpR7dopHg0CVY6djM528yox56QcghFMkvZoC+F+TQ7aUAn6VXWPrTSctN6HRqV
uynCD3P/JR4c+zFtGwoRgLlHVdojn2c+egSQssQMlvI1VRUSEgMJ1aKbs9EYr35tfDtIO1+q1pA3
goPiLSEY2b2qxW7nZtmbSdYKAV+J/+JMxXDDl9+s8/w6Mmrd2gCs3ovG00/CcqZ3I067TY4Q5eQ0
WRD1fty/c6y8e0XpnLEqUR+MVfHoFK59qktt7sokrZ4S2CERcdzFF/knhHji5Y1UhZ3NZlVwjBFY
7ekNsySSZCFjpPJdcSh9LXeDCpaPKpF3t+m82L9JTqce061prErq5FOeiWRNNCtzWRcoqfZAVCUt
SCrp3qURNVC3wUnaQ9V6zH28bqccvz+2Y9zAq7OsdxGWhEwFfFf33PvKujJszU7DArOFmW3OV/Wn
bdOaxSEhx/yp9aXeVPiq10ZaBydiXRHF1n9G5jXexJ1RgrHYUUaT4DM7Lia/PDUjQoTqPVFyNKxB
8hGk6Rcqpe+AaSs+LX+bxdZ28pGoSZBJu1Y234VXNKvQu4NZVLmq7nSQYnbXaTU8JCp5gIP7NvUc
O9Pir6eSxZBhzSZ7Y1gHHbwEyyUxzLcO5dA+z2StohiKfBMS94yvKQLygQKBrRBOuIlFVkCQVAuu
eZXYxn4x5bF0XKA1M/hmpt+z5bER4kvudTDlW7dL0CO3S0Yz2ff5T7+d1dbwk/wc+FnxDHbOexE1
HWOzZIzCq8ba/belMakbWd1voKEkn0aaumdaYHO7BEmxq3WmX/+umPv/zbTffTd3zrv+73/JrPwf
f/2l/rdfo029MzP/8ovN310c1/5bzbdvTUrev3vo73/y//Y//gM4/y/wnWinQiSG/zlA4PKV6fQv
/IB//JV/EDx9KAGm6UKbN/8OqkcC+g+Cp/U3kIDsai322sik7vmW/46pt/8mkJ3dAwhMxob4QP6X
DcTy/xYwjPD4Oxa5DYQ3/L/YQPx/xtQjrUccGjie6SCAJdzinwT+2EBk4Dbdsm3LBu9SQ1Z4vWKC
b55TXyFd9wlv7JEFbUKEAdXGBoH0YHnoH+NykqciJ7cmnkzwgINDW0oPRutn2xSAjE1GX+3Y+qvz
ZGWpvwqbDn9oh4M2YsWijgS2ynf0AeW6Z7ZxIFs63Vek4lHEDxDJMSLuJa30JWPi3K2Iex3CtXBc
JiNVAd2e+ajbjyvbVao+2EHpnrIpoxzsUVFsYjIRz3hQqVrZ7TN3woRmfMe6V+xQWMf/ykLk/5gp
gzOtR3bEvW4COC9A2QO3935oM8DFYJkprOKiJZiPjlkNVKoOkfVDXudveVd+jIuZnTOVvcRqWcAN
VAPltKc+PW9JT64t0xsWfe9+l5VnM8vtHbIovYHOhBWA/dNhmA1jRZd26AxVbuk7l03IW0dkVp6S
kEz/SkDleFNEDuEHCdBaTuXJ5kTH/FV82UkrVr3XZLc4IHAbG0bJnTbMP9HtwtcXbGzv+EIOnozU
JBCkgeMci3uMZaRNB0eb7ltiCptSBCejS7D786Zh/S9LC4NqO43wlqrUx3EMkujJoye7hUNZhocA
dpyGL5bIS+FMMwuvytafjZ+O8sDQoj+hy7fVykTic2kCTiLaCc75VaVgoJzG1iodVMNt6q6g+xNk
urRJ+KSHxHYir8Pas61ntz7qiQS4uC3hJZlxIMng6Kss23quJsVrhPeWAGenVzPyn8ZA7FesGSrU
OfcrL2kobzIJg1fgrWIjumB6IHlxuHQWCTW4txFCrNwpuFfZoxqeA4tRFJgYx/7Ri9F7g4Ckxqjl
Er4SKEvOt+0OFU1b3Ox74Zf7KkT6EI09iYH0D8kvKbL8qrP0roxJIS/CqCKNfuQlDdu+JL9YzKWK
oxru0i31+2Df+YW594pk2t4nxWUUF0Ozl63fnEu77LbJ8GxjR+HCQOVipG/NKHHqMgp6ZKAiD7Bq
84/Jl/2ToNiHP5tKiKH1pZusR2eerXXRT8u1kJQFuTR4ywxwbAzcJFIJ6Fy7kvaCTzWmnN2oFDOi
uTZATLXKVgtJjXAiYVZPAt2bOX6TV/3RoYx5yKVTn0cZThA6CDKjwvRBrOnKfWiQABxrlF96FdhW
fMm1NhSDp7g+9ZmBHgY9GFAqZWb+tc5KOPgYT7uI7Av/rENLvU/2vYKwVAtgnpA77yRabvMDpgbd
H9APeyym4HbPPxE+ZM6zZpy81vD1vwjdbrwksqTntVA9Qf+rlSUhqP9AijhNhzT3hQUAYiBLg81O
Yf52YHtSlzeyYLwMw5YfxR2bO/Z+UB3hlBAgalqIUakFrbXou+oHPTBYuLQBaJaZRYGTthMYTTIY
SBYzc4ea2hd9+SPLpnHXh8oQtMTeWy/D8cFyOv2IK78mOQ95PtGcHs18UE7ml+/nwC6nuDyru3R3
YOS2HYjYxAUzL86lsab5V61j66Nk5BT56u5A4lPECUt7H+Rd+zJmtqVpPBZBz1GCNv5Khq65Lggu
vnNDk67o98uXGqeBzDKTL2yRcZhsSmdx7znewHpfMgPoNCNBHSTI+5tgujHB9wcIJnh0t77kjx6S
3LHWXa1idMxUMaT62XfCfYVioDzXld/ah6p3+mpzHzf2K6tIlpe8d0HZImnu4L0zZkjXOnCVt7NF
nQxRoMPiPAlkI8pPnG1rpRRSC5XOysbhs5vDZonMkIgqJAqXUlflgwpITmTiNRGNyLgBuCgPIMLW
9th7Oe14z+wOIcpUnRPqnVcEZ8lD14QMlBfGIT97MMpepECwoUkaJzAp/v+k7jyWJEfSJP0qfdob
SkAMTFZkDu5wHsSDZCS5QIKlgRmYgT/9fsgu6a2qmZ6RPuzITh2yDlURkeHuMKK/6qfMTC7SMAIQ
7j7wQi6CNZnAXJaj2oLpmt9NjN/zZsjn8A1G3nolzYAObGo/WVA5GwSUAydeB51dzaRxReoKTElJ
VTxq3welyy3fTy6x5yRp5PW9DNnBqjK9pwuyJYGfjNUpW2pxGmtGyLeFqMaj43o8BdpQl2ou0uNI
d2u4YYiFvZYrEQPlpHv0p76j8LI1X5tueRSDHziMtuP+yWQuUQKq1YYZdVm73m3LwdfICLn3ynTe
LKK8nryvbe/24VZ4dSaPebcMya5vPM7SGg10Yc3OOjSqkcsy2dEvrtWNT10ouzyqhrl78hwzvDQ8
w5vJsMWjpRvxFbiJoj+vFGft0jbqZu3aizjfLmEhmGR4yUhfTH6DL/psdzyw2JyL5UMVFSH63hHz
vCodnnuX4rc1toq3kh7GRrVcLFuG1QeELucnB6e539cGvuwHB9/4FzcBe8J3N4NLblE5cyCe73zJ
poz1zje9rj43VQhFolVNd2/4PXEWA9zR17oIASszPMApLMzGOboGjv0t9SPEGLyE8xpcrzZ3I40U
RKkj2ou61wTYu10w6OJ7E+fmfZtBB9woh1ozcvlzyRkixFdg+kX/veFWfd/bEC8r+JjOVkpXP2kU
q9cgcOhxdnvtp7teShYaE3LrNinsptnaQB/u+a2bc5wASTh6tTlOYEt7/amLxHQonR4xV8VBKPxj
Na9j77Z3fGRW8IR6m5gJC7ZHO4beZp0ab31u8zQmlx0ZJok34YPKNjff+uVQnXUCvGArxuadsXNx
rJvFf++5xOP+mrAQ4t+lrGTLzrTQIdNknBwyU353Y9neuGY2fGW0uJQb5kvZ7WBVX4KRScOm0KkE
feT7qD+tznaZGrKei1P5QYU7LKYxbr8tJf10bZPznjMv7Rml1WG6smIg/iKasaZkcN0Lj3aEPcyI
5pqly8IjH3cGfYywEFp4IA0QkJ4SnY0k22ztEcpXwJGCWJwDj5Q7IwBnY4hAfuknL/nk9uDwSA+r
cFr1FcSYdFmLbCepmmiBstSwKvfAahqNk8YnkkMDmp2p7YCH+mVg4obXP2kPLYrfpm6KGoV7XnbL
nBw4kB5zM4eR02ZZyZjHq2FhLR61LRPkIidgFjgyEcJ067MEpirXxCGwY9BkNm3Z91lP0H/sswyc
mNxsUd9U4JqemzgAAtLFKnIsMYG48Ipiq1uzeZOtwqO3JInzPinMHPFaCVMt35PY+xzwQCNfkMDV
sT1A0pm9BTvaHLgUyBCDOMSxYpSRp8lymOfEnndG15rfLMFu9DVpKkMhpDjulaKUYK3ww1HktLA9
jhQJ0jw9hj0Wqj4s87dauhOFrSwQyGUVooBHpQqVL/RKHcm6UjLDHnCaUggOhMvGl7ibULVHFJOD
zjhlcoG/DLafkLzGej0fDa2CiarNEgMnzJnxmQ6ikoJCDMQHOJ7qzbc4JNhpjnGY8Zvx2QoDYgWp
SL73FLQPrEAmKGzTQT3P80pDuBlDUON0mq+Y5/BK1XT7ZFrM0A8xckm9WQ1rP7yUmzOKRkadCgc0
GpqDqX5Hi+Hp8Dvqry88eBwMiRhVr6HX62cXc8ZNLxz7qiZLA+0L8nrn1D2GTkd6M/sshmwsskZ4
EMyrjnx6RkxHidl/CLAf6XG9nF88Bx8JS61fr96YMUBDn51yiDKN79A27eRYFEpgxdK+/Lam67dE
0HHtFBTSmwDOna7DcmFYr2Gg+7MFh/t2tFVVbIAVcgQbOsl5QC2AogvTiZ0NZ0Lk7nDWN3OMnWLT
DDP+scWOzfCQlEJ9skhkr9k4+rcFLT/UaU9NueM1w1KA8IrE3FlJHqHXxxSLxtULaslw4WFlnpmO
xnaoHetsgdbZBIhPFPX0445VlQSHb9jQs/wwZshIVVOylZChvyB2hh8yrHm028TL31BUspu2dpnG
+ylQts2gW+uNgA0ebjOR8MRye1/P3Buh+de7yp4uLWm8TUNmYrVRFMzxlvJKf1VmbyEio0RrPJ6b
uspOY0tbqssiiVHARBzBbfIjzZPlDR4kkbYam+3tTILurbaJnJC1kE+9svJvNqXwT3R0cv/z2UPu
Boq3xoNtlRrejm93+ZYHCy4JpCg6nNK2vTB2cXeTGjGiQQ0lKTszfHua8fitwNdlfgipqqPDvmZS
0/uhf4FGjRMOw1TxohMnOU4Lhwv828WSbEGiJB+egyBLvi7YNWjIh7WzmDIIVSYX2YX91bPi5FTw
BjyH7gAdM1ZUJTn8GpyMsOwPazlVN7Lhzss8PNujcWbuyY3KKr77GavtFAr5RDzp7xrQ+z+LCf+7
9CK4RHQEC/le+GEo/sJ8qF13hEUOhJ8cmMPe74sBxLZnXFqQ0gu1unH58QfB5T8IJv81pwlnkRCv
S+MJzAffW4WUP0ZCA4e30qm7hT44K3uox6W7E0iM0VJa/jldwJda5ZT8FznNv4ImyD+jjTpkLSAk
2NZfc6gk86sl9vPpAEy2uOFc011lPFaRY4JRrhdK3rgEeic9koL9fyKy3abvMKyqn92fZbVfUtl7
hTqYyqT7t/9BUhzeg/9ciju/Yq/92/96VfX//tvlVScqbf9YrPP71/+OZ/F+o6PRIXrNHiqI2iJ8
/V2X82nWCU2K4fgY8y/vD/WRjvubxQeNia3j+7RFrp+03/Esjv2bDePECgSBYdPzhPWv6HLiV3L/
/0a2WRYRtQgBu8iFf/wslzb4i54mkAOmNaYRRjzSy2ISOU36dLirRe5Vu5DhHzkCY0wWJpo0u5lG
01zmaYhPVJ03+znx3Ttv/cib8+RHTPOmY+FU5Nu6GAZdbUiLAhf2sijWWBDHmDRAU3XzSbFZcpBL
5q9TWOiD35Hs1o2ZHAFENfdWb+dfZRvjrWAwdyChzASQVNMllGF4KhdqShxw5jsWqPas0oHrHAb+
14DY4cVPoUxGmLgI0Gm8NVGQifqQq1zthxltqqpHjlGjdLKnCsezgwxgBTfY65hGwhPsPqUfaLJt
nJaeu9IgWDQ3KR1xzZBe5pZmgdqejH3MYnmYE/EhmK9uvYDBwAZoJJbt3M7HbWzXAtORF7/j4xpg
mDEoIf3CLqPL5TvstGxH65BztOLcPed+MuMGYxW4aKmBT4cFpTI7OJmEcSzAp7dlS19aYhdU2Bhj
fHERt94EGMdNp2sjCnAzcBRvqBzRJtV8WZl/9d25/irTsD+apC+++UnOCNB0CfGkyoHCtrafEEdL
23cu1PHZ6S3PPqDA5SYxLLjXI7GBihhyajwbhvKn20X4MV/XFySCrWU5FuBXJagto71wEKxfjTrN
XSRSxvSG6rpdatLSRqSa75LWSS23vYMJV6P3Hsv1LovJkWWz8OaI2yCpcc9mm5Vpbz+SvFE/m5F3
IbJbp36h/4hkX8AcUX7Rztr4pwYbU+jiga/h3MElaiPyQN4rPLCnUDXJ1bWVTT6sjZFua5yDvGxt
BYKwT+ZrLKki0i3ETMG3tK8tf8XXngIpa+cSlYzKucHI4RsoyKUBlBpIAttqyU85JcKYOWJZ8c+5
9vg7kXhwIUJaGHS3Fh+VZBePjf3oezp+pWooJ6ESG/wxUbO3qBSgdxLOIUHNBqBLnHarn6tqHyrb
xpW9hLWV7vsF/KAN7fExFYX8CVWWenDc17vZTgHeuRXGfYZibcesfFy0swmDou+PWWCYH7FrzK9L
slhfHH4syTfDcn6aIShETgVuRb4Fv+K4AVfDYM1JNQngeihIbRM7CpyoyEWNGxUPdhVNgyuOoasG
FDXDD8Q1SSFaR2JoJc7xjNvOpqHBmd64oHWfHOIZzJxrQ6lNR+7S3mVWE5CtnXrzc5ybikFuanGe
VIukmkUSBgPPF7tnGv+kRnsJw8dimt5tamhO8+oYEOVCN6hZdI8T6Zsbpm55tFiNuPKihJT0BPX0
MhmZfBUONc10++Sneo4Z/Nk9J/vC68J7wiT2U1Frxe+6YFrZqnHgfUIG6y7A6tg/XTauARtZ2Ne7
sV36Y5gY8im0a8i3Qx1+opZZnEU7AxgbQvobFrbxTcbZsPcw2dyhJY/XlOJbJr2uumbhaqWQrbFW
H1iz+EGo3JnwRzmkeRSk/ZuCNykaVSV/8E3UkamhedWZBWRQhD8gF9a7oqy9m2UoSqJucEnSIShu
utlxf3DRJA5Skr8hxpc1nAPBUexqn7UH4F8+bEnTwNgcbNc9weSszpBX6yIK/PVd66j5u8kyfzrO
XhrsmB2b9Q63YnyDw6RALcWoVNC44et6ZaCSIKpF+MVbhTZT6/CxWoqHuSzHrZwmatZFUO5dgx7g
zeT29bPnEn2h2nfaSiHS98pOxLl3lxkdtTcPVNsUpyFzMKppJsmk3PKjneI+Kdxk3LkN8iqPersj
XuUgR0JPbTrqBzw5UcIqdTETSBXtwR0RznKkqjuDde9WcSy8D5F+o8SNh8isWv3oss5fGznEOHKR
F7lU5xQRjom4er3InxG7kk+LKo8E4HI+7HqyVJdFTdnRDM30SB3heCiFNM51mIDPG+0Sk/OkJ2J3
o8puJW4r0uXOuLxJI9THLFfpozJIaILFfAgX7BiUCvHMAnIM7e/s2xi62xwPuOvO3sNCvpm7hhwb
ojGmOgcdqbx7wXX1JZuq5CfBZPkIdS9+tmuo0TwdY/gmR8YShm7FncWQ43VUyvvapxktEOYSbEFk
qCM+Q+awYWmREPDgmGzSYfQf1OQQ2msXL0KBHW+G1hDAoBPfpqfKis9SkmdcKHaEL8mYQyIzMhYa
JFRrq+sYA2TFo+trtUvTOLGYmSTtp+k6aXJn+8PySlAD01gHOZpxSV6528yZphsaZuRWzjEYAaiK
NxSrDd9tfMt4502wjuxiB3Jq1brGB0kNnyrOt5bF8KUhRn+3cPKF1Y9R49MZqhLQIMsvuFU6ks1g
4R7ZB/o9XoJqYy2lvR8IzZyXYOk/VcCSXFl6eGol29AGT0HOTV4GZ9nI/NVOQ8F8ILTlPQ26JlTc
ok33jYtBW7aeg5dcEP3Utd9fCIFYl0GZYxQaGJZrJ0sPs6hY6Qy+5oSend9UTTxd6fL0CByZK74t
aHg1u+ZLPJbMCtlOtrIkS5FPlX4c3XYh1RL7z9ALhmsyjM5xUTP7NTPnS0CTS2JaJZ1ohuAwoHse
7czzb0L21bf/3mP8n2bn/38MyxlVw8J0uJ/983n57Wu5drv/6WD+jy/7+9k8FL/5HKIZSQv3z62X
ISXtDMWJSrmC43cAPv8fM3P3N+5/vg0Y0QI0jZT6j7O57fy2TrhdviMSOkZa7185m9vBX7BRVLu7
/BgAPWweDOeDv5zRXRKPtWHmITCNVB3BH+VbDnVnnnrSfBixKA6U03MeZIjX4LmoTlymLwpx56m0
0q+tDJtbowkW8A9gajE/DY96EA8WsZlNvoAVt8AaH+2pMrnsU9yKxTB+EXagyPoYJ93GyPd9QF9Y
rh+NMidjm03JG7FbcmuMprcAsXkcsiAg18Q8nXTvTBde0wvsImm4RDVF7s/hjAdmiumjW8a5vm0z
wXXBbWY6jYEvsBDFdDHXOVxVKvLcY6hJAxe9Sr6RLP/Modb7keychpRCmv1I7extJGN6TIW4ywDu
MwjhXjAGqou0A7cYgO/PtfQ7En3Z3E3MWAnRxeoRJYihZO4eZ/KeaKUWFvzUnbZLix8TIzVyZZJ+
A8+P16dDfP37aV7rEes1XnTTahnE+yHTGRPXcQs1CXqiHXKn6VT9aI7Zx+hqESHux1snmQESW+ao
GUCZPxTOMF6buBwOs70mgFY1hGzrtnNG42no/eJhKDACAfOOCakSlcAA7pPII/iZAO0pLdzVVrt+
T3s0kV6hRdDTiFZfHtOuw5u/3ki6RiBuu2WL5mMUnn0s6kQap3Ypiks9YXPiJGtTDCqgZ8QXzMfd
sE/oN7gMle6/dja3rZNuPJ0cCCkM56ZzG9Qk7IleNLCFrTFGk/FFRvCQKjIqid69xpleSnhDA6dz
zX1O+E3DIQSyQLibjTm8MnzOvY1qhGy3mEAhIozjElKrgJ3xW6e99pbYr6AFvVrpXZJ2qvtEllBA
uhEZvu0KkkGAUrDFlcM9iEBtPcx5R7YwzDRpP1P4hb8bBSwSsvLWOD4yjYqToz9PfXPmE+Zg1gok
pmHtN/adYYzlz6pO1cVvmYrsurlu6wO2FM17TjDj3EHdY0Brte649cbwgan6iRsRgTZmCsw28h09
DCoaoOBuuLbLnXDusNt8K7R/nTJuMQXRa0oF2mPSiWTjtjA9apTxyqkeATm8xbV46kGUzpaY79KQ
iZDK19ro5iaTceTk1clLbj01rIbxMI9quZA7qXjL7NGNOjXTWGHmzjWdHeOTj3NUBeVaM3+1O9oz
yyl4AEZDdQMNioolah8quyaU2/90lgeFo10HfA1+1G+KIqIHDfaj9hgZMpjnxJHQ82rrzIuq3PgQ
aZE/hbURk77S14BLml6F3WZk4DYQGT0WLughWArPyhmSQ55zOB0LRx4b8ikbz1MzSRcj2xDugouz
LOYu7yrjVTDo3DT+YSq5Ki0OB+WhBvEMM4PJx0r6FMxctlnoVBCtymo1sng/wlk+4QUijx7Y/WGM
i5pHJtvn9EhFluN3W4Yn/juwNr1rrXlnBZO+oYJhgkiGLbUs4tPg+k8sfbcyo3vBaaAw5Gmw7xR4
QYro9mK2vUMD0UvVAUElz/wo1lvJ5DGZzHHsMz/dDoy690IHz8YyWJ8Ir/lbv8iff9id/gNx0fb+
rPQFglQP1S9Imiia8EP9vxAJyxrXzpBa4RF4NZkWldk44XEpR5JJ8n2CAQF2/tK7NSfnXN+SLUnx
ZVYxnJJhoJtKcd5lnYS8TnahisNrxmUm3Mkpb2c+lykT3JZ4JYUcTJtfqra03nGr8zxjQiG74deF
j/avltaL5qpvKSys2+GcW1z1DjSJGe2ptVwWi7KOL8OcDQN50HU1MX6tLM2vVUavC86kpoSq+G72
7SPPJeRzrFOY4qkW21MFnz12mUH0qWhMnykdCWhATfIddz2aA9WHhLj6mwIP6RjS7dvjd9g42XCz
1t5eXLO82FmeXCAYMPuzSXHlNp5zpSThw5KWiaF3HkEJgftmObvxyphSQZozonDo3K1VpTpSU3xw
ytJG9/C7Tyuoyi/tIKsd47eCz6pmsnrQuYXNMxsqXL7eQihCA35iwG5m2FRDgJvVFhRJlj+l2C/H
y9wwyCuy0WUoMdm7iVQq6SZDRWEoy5ekCZerF3sAMEx1l1ZthiZviWvPRZdZBm2Y31kUsFg0FOa6
FZdTv1pawhHkzO+Hug8+JFaQXVpmDy3oWuT1lPIIqTLrFltffgfKwKdXpO1MLPVcs9MbxczqktCl
dV8Gyjj4QyLeg3gwDpZRdNfYWDMblPW9o+/xtE5p0/+YmTIwhSGfH7u9+YBhr4goKnkTRWwdzYkL
ga7oudvYqr0WCfat1LUPharmg9VYZ3Y7ZJPeGC6BbILIm9pmNyaMRLQdpa0VMIGbb2D7fGNCMVGG
lX0tJNu/oOSa3yRkRhgk1CjU1jOlvhU1C9OxFWv3dlHDV3I+pGmNXLyN98bJACqUwjrUSXfG2R8l
FuEw27qAFfxKGyectORUDYSYLQ9zPp3IA7rf3Pfuflr6D5VgXsob57MSMrzN+1pElm+2+2AygiNs
s1c30PpMpnzYakBIHzNp2jOTSv2gKhsqkXYJJNfAIJXKoQkP+p3Dokv3h/MxCNArhiIR2uQyiJSV
pheRGd+XBFANI1HrjlHfLa4nak/z3t6VcEwiwLfV3unqGH2KGdDAtWHr1X0fYWonv8ZqJcZs1wV1
xClhX9W6u11wjUXMWkjqCBqM1WRz/YmnW+x06Qntq7zBLOxx+LC8O0nU6iF3Ad/jiNmRC0lRY4Ji
K0eTOokYivCZXneC0EAVxaeOi2Fn91b9Mx8wAbB9V3va76pIaSbvjrL5r6sbm96w7NCM2OG3RW/P
3yfsgHrjTbP91Z/7DpkAleEbHTPdCxd6RMAyzbKfSZwiGlJtCSiml523cUGf1gejpYBjVzWtusTr
Ht2uuzWKHht3/WsTJwLGhu74hUyPwa+Nfvi16SNKcgCoab9EjPh1MBC/Dgneel5I1pPDf+9FisnW
/8h5iINxir3on1+1vnTda/u3a/v68amTP164fv/K3x3K4je8bLZJDoTRWYgm/49JiP8bDHUbhomw
oWbjO/7HbcsxfxMWeHqAyA5XPiYzf7ptCcEkzmH4Z+Eptv+V29ZfZ3tWaLvMQpioQFdizMZf4Y/z
EPK5rNm9OxzqrAufxr6d78sqw2jhhGn7ZoQL1wwTyfi/oMxanuAq+SdoLvZqQQ4hcBk1cChY75N/
/MkElXJ6Q4bh4Ik+3qcttaKvyl7ToOlgCYXP2KI+M23H/ltRZ/VCk21V5ySSChoz4nw0vYNZ1BZH
z9ahNLpBWqZApyR4as2yI+1Lf4WJ3EvmQmFMPo4Ml1tWG2Cb3AA7Z51fB/Obw13H6WBHHsCa+98V
gfE1JBu+UHFFxaK5ti3Ov4oX87WDMf1VxxjUMYr1sLY0lmSJ965Fz0mg1EWkFRF/uZ/Hhe7RpXzD
ILqlAIVpSGVVkY6rd3LpFpWrY/YQ0pv0NYSqckC6ZkKvaqvcJozMCJ5LL/5CgQvoMTqPqtOMXXpb
xvMnvb70zypnHw9kazt7yjCDJVeCif6enqqFQ3SVbyHdvKTpmo2rJ2x+o/00BAR009B+BA5SbqnO
IturKrgtUODuy5q+uKniLOwQU5QYb7dj27h7hNliy3gAHF8Ny6Cd7NfawL+OGn0xXQ3QkEShdNpD
GRf7saXzrAFWgJ8H755HGJNNo+B/qkZ4NHq8H1sO/Sa5t9MSA0CNC/LvHf6WqGLSg8nULLe9JHtP
dwm8ftzUJC6RtztX0vxoavKsqeOehOl7q9es2Vlt35Ow0enBGRN7u2TTsu3d0iZNmfV7rPLYShVJ
cOYV1LUsc3pYRkpPB1uQXteWpLaPHpkPiCDQyYRpQEn3jLuF+uOTVTXpI50fOuduXYhIolRBIpmI
CK1uLQciJtR1GTHlFGEEBC0ZdiM38dfZJ+GyrckfG4jUi/9dwkq99deq2HKw1UdHSbW/xdbiUhOf
jDAqq/zGnAz6qkcMvHeZHTYnhm90nqIIM3avz8miqq8q8JBZIVziLDEXylV33NfotNXI997GNCvP
26Zr7a3Cm706ul1y+mItxmVndO/Er7bcyXIYpWtlHSbM7OqQG0nwpFyjbSJjrdttfjXv4tijBBAY
YXBrgs3FULjW9NprYa+QySwR/2ouQg0ck++6Wxt+oR8tQA+dKiE3Z8SP8xiYJ5NaLhKia0UwQC/7
lENcrpm1cpESWBefK+Y5MYU+ARK++6t8GDwLerjl1RhOVDW8hLIhu04t4/iUe5O9GkpFO+4Cd6Tx
eF7Lj6umRu4m6f+SO0nTHzplQRUkkR3uMRHhnHd046DYQm6gWtmjZNlb65ZzHWQ591smbduSFCUk
j7WcubdTStlTGpvB/1v7mn8cpKbUJ9UJHw2fD8RSQFb3Mb3PwCjftEpurIFk01oM3c/E8xnSFcch
CZ17by2QJqp1k3aE7TGL5TfhWjONhZDOXJTxSC0GKXvaqMu1lrrJzA9AnN6mrVr8dF0hjyYTz9vS
9/O9Texu768l18Sq0ivUvu4wrRXY/cKxu1trsReAMPt5rcqmOg4ulZrjFSdLlbb61apNFDC9hASB
Ez7Aa+/28quDu51d683PxvRMD1pxIVl5P/kKmjJTEvKpFoYc77OpZqtAqSURQu04x3tNR0CnJFEh
rbHdW+4XzDD+XpdD/xA6FhHwJI2DqHPRVGie/qxRskgsV0Lsk7aOo9Ce/duBpimXwQbjvMmQO7CG
6anqEnU1TCtutq7TY+Ek4/DoE8V2ngdj4WhjIoWcIFcN7x1J+Ds99jrfJRX8lwlM3X1AOHc70xmM
K92ZfD5ZoLZYLeRbMGQ6MgACH+ml5BdD2Nli7uHVmGz7S0BWDlc8I0IFYXs7T3yAJdlmajP0dpQx
aBJbremdc1ck/m1tewnWaPcnu1N6V2LMOxRtI7ONxydFnzgnTtSecxzeEVyBPJRqadH8PDftR2pQ
I7/BRg3YwMOAvrHjjChuQvU7dyJ3kLdTMgB7kvlXBtX5rmBy+bnGhA9z6mALRLVND27DjeVIiV8m
yNkOwR1EEfXi8z5th8lqj3OBCagfPHFllhO/zUROxBMXPJbZbqE4M6o6CLibtPXaLCJ+g6JoWBLE
Wd0utzLFVpv15luduLCPVqsR94wBj0EIErf8Zkw9rdPJRCV8lOvc8aNx8BxI56rXZM/rILBonki7
5zG3EYRiiN538JbHCRYQt+uCOcZ1DsqHGJz2artoCR0r41p0Ir6bjBEurI63aSD2pgYIYHHniexG
zjspT8rys92I1f2SNexMLuwKB3wPv0Jyiyb00fjT+8z6fho1NPTA5OaSLiFZn6mxj5g9oPJybI4Y
Pd/UpAR2CwPHQwCOYBtLO46WBPtGRa3KBdHkRTqh3DUdeuYYjyzPJLLRPYVmFG8syaOa6nlXEbnF
nLBLKZ3ad3Nv3yTY+KLC6Cxcan76MUmyRXE/dLeFRoggEMBcfgKFQhDA3mB8aA+1P9cR79C44yzo
wLstzWiYli9cSnghFWNw5fHCFk0Z31bBgNFU119GN8GXVpUtPdZuvx41/E3mtd0Bqpl1YAUKLsyQ
5Y58InhpnCWRS5b0iEkQA2FGHAiW5K5UtrifeN/NscB3Z7fDJGh+Jg6CcUJCXiRf7jitwwOfCvfC
cUF/R5DiTU2Q7vc9Acerl9Yhk+9Ow4QrY1Amvlk8+kyKLmZY5D/15HonDKjWyRrC8WsGoT3q0d6H
/egywUSY7ctIAkz8aSYMoz0X2ZzoFxoe22x8MIbATenVtJIrE0h2zlzCZfTkmrCwMwfycNvcDKY9
3XN/ZhwPwCtMeb1t7yxDhQ2ZSjh1xoCcwsS33IsZDNYzqkX8WaBsgNBEJzgQfkhzFiYrPmX4Dc+o
jKUJZixDRHKM9MyjArLDlNQgQMqi/hs3rPVCB064Ea4g/KrmKdziVJEffV6aROwxt1W8CaW65kFg
PONsyo5pogn1TtlyKM15+CbcTl36Bp/phjlgcsesWe/J44TluTMZfgCmdJbnPJvnTwhYiseUssfH
ljz+Y5hUNb0QqZdEHG377cjRntrQXL8Ec2XexUlZnpPYMhHeBzT9ZfbX/sXWk99S0Qg0I7O4uJMx
PQ+jEsehpKfCCJ2O06QXXx1dBVypA+uCB97/ZhRjvm1ksxZsxiddWe7G6+RdG2TejY0HZ9k1MH89
PmdCcXJPTPhsi2ltPNwcOIRBTU4+SA+YlBx4xhizq99ws8BXNZkFTGGyKxsIWOouDomwhwU2XHtg
6m6ruXv0OmM5+TV/gzIorS+ON8Dor9rOeY5jpLPdgqRrXdkiAAZgKx4oy6stj1s7Ju6i0DoKlzLc
e0657ENYHHd9LjKIreEr3bvWDpNYzjpTzgd7yLx9g+vkg0NLsTOgSiHMYyyVULXo71Tu2J7qZtDf
eWghhBGM2y7uVGKI5IdgcMD7gYto52Jz2HqUBF2rqbXvRm0O02vl2FPzMCM2FU8GXmI/6moGEdxE
uOBtKYXMwLGV7RSjeA8mu2zfYZ/xAlQrF4ftoxKjfJ6wyfxc8Okyp/DQ7JZRQIRqTf1Qz7b1va9C
0FrTiEl/bu0Qzq4MqU1O0/JJMq+nd8TLzoYnnNdGIDVu/AYE1wY4+fRockD9bJ1qOcuxctB30ql5
nFuLtWJBP+TApi1WNbdr5KGZcpbsVjv9V4+3+zWPffHFpYSsfQ6U8Lq7uGrAV+MYscFy0iK8Q6xr
d4MzZ3CMXTn3Uaik324Id83pqbb4EEZ40OKMc7tud6j9HkGEnKcXphPs/4r98FJZGfpm7qyFunR5
JhG8OPu2MWrIiPxBHUpFTeGpqajkLeiDPZRWWL/Uod2/2lyJyMvXzWPriofUGNCUC2o+16LfbkY0
k3wOscxSA0yaaPwhwVaf4FSmL9laF0wDigs5N5zFdy+dp/PQUSw8rBXD9uJ4DxI9FAzWWkEscFY1
c52fOFEnN+TtxmOzVhb3vISvw1pjzCjAuwrkmT304oMFjuZ+rfM8d5geo36tQi6FIW7Dbu1HdsPO
tLZNnSJSBo3JhL+YY6wV1CqLtWAZiPSPXiYfxqCmh742Y5QghCRWa5ukhfaG8Gcf1P42IdK5F7bH
AGO0k5d27XUeM56cAtve12xtfY4nz7ktwbKdUyIyD/laeSaI9ts1JEVK2oproYaG01VafwoHo2Qq
R/tY6tx7XoawOy+Q1HfW0o0vueUw8DPy5E7HbnZFynV2c8swd6esuruZYjFGLRr/yZMqeRgQACKH
rg5gWdlYX/GoF2+MKcQDmZZuPy80U+qgau8HGDNgCJuvvTnR7DEF9szxgHDQbqrClbI32/t87fFO
AIvR3NKbW4ANnIHoQP42JJVN0TQqRuHl4bfUb+IfMQXbB7rL9YltdXicZTX/SDmL3ZVr1/ii4+62
Z4T31HHKY9JZ0Ey+GLVxdgRt5TFRky+DZr3366r/kf4f9s5jOXMkzbKv0jbrQZpDOYDFbH6tSP7U
DG5gDDIILR2AA3j6OYjKqalKs+rq3vcmLUUwqQD3T9x7btKW23Duko9JYgBapQEttYkxDGoAzdpq
mHi7Em6VTbxEqZPJG2x97Q5r+P6s08Jsh9AkvSntIXyBSatOODPTF6PiuVIxsWXdEtvu11O2KWLb
vJKRaEGcGfQGSy400CXyPTYIf3f0iEkVtr/15FNP3oqCOw/faWh/gSKgw8KY3cLGU/A05xBrmsGD
BnA3H1g5dl3Wv/YNCINNZTj1KxAgNoJ+MJqPGYrKJ6/FfpziKhlXHq6hEmV7U74plYcfuhNkNwQR
58tZVa28zpx+LzMYPSJEy3zGRSgLMPNp5ocfUafpr9w+sX8OssQGbBUzQAyv+hi1WcOiEt5rBV59
7RZddYmo1JKV5uzgC0qLTVb6+S4ZPOchMDi9Tdm6B36S6q5FCHMzZ0P30Rf9cDbZa6+U5YcM7pOc
zbc97WakpRe1oFRhEtUg0gUKoKwwHtw8Q8pTwGs2vTUb8KFa46Eqv6qykWBqcLm6B0POMOhx00PB
1pH5grkVsEadjcn3IHBTB62YWKpNowR+piPUlyVpjxk95CYiC+eAH82IV3zzETWBE9JQW7FyCqj6
Q3uZoFf8sILEfPLSkgcoMWe+BoNkhon0ZFg3EYsUp2i+VZY0GBVAWRLQEE7fFTXoMXYNjiEYiRjB
oPO7g2HsITX+zCIGWya6o96bPvLRnTYdV/Nad529BrAvlmLshUOmOk2tehShtvYRVuJzlOKuCCJC
pNELuBtDVhdWBSFVuv/QJcq5C+2wuBDksgQQOQVTgDEkiL0ryzPWEXlMxonHwWDod5qLtgd/G9vL
NVXssqprNgEILq4qxZtmzOeRuL2bJCLqlaFHuzeDEFIhj8/P2lyskllZFXx83pxlLNybgQ5qJ3O7
ewCZeJ3m2NxzN+uHJfO5XHWm3a57w9X73ABqmDGUunMtcbfMhH4IGTo1KcLatAldLtM7KrvFIMR5
BYXBx2QIaYrkpWCBcPYpjefKG2eH+dvcbWxs1C8iJ6IKqm8r7ykNcgfjIEtSpG/IO7WnDiy+5TrN
7WRjs2FmtTXxXubAEmAHFeEOUHNGGlJftWenZZaIvsQKX5HtWXgwa/UjnWxxgweVkCgZGxzgzuDe
20nf3DR8tnXVNOE1xhByI2po0aswqLxzHwTewa6y9IRGVp3rTtTnxEn8B2nm9a4kpT3aWCXv6aSG
7o7hmuq2rq0oaXyvyLbNYEwa926dbiNn+kTxAOjIwjQ5R5b4ArqZHQegt4+SkwnMbm+Bt65nayVn
P9sB5kQN4ooZOSLTt9jygI6ZaeHfsI+o72djRPbeN4L/ZNjlQVZ6/hiH3DvVbp0+S7fhFEQshivT
loQUMLzC6W3U6o6ewHqRMQq0jRADNRdhSbbiMgMpvYpQONDusVRrLePZ71i9pBMWQHMqUPEJWAvb
dMwXkrcFv2nyjWOXy/pkVLhyJqjM7yKhADGiCspckcIZRtFIu77H39rcIfzudm2Gj92cRy5S/tE9
do5fXEhx1Ts75zrdlHFaTxiTwm7rIHd5ZanMuEH6U7hHd9maXDzWcLukNLyAqDBffF1Gm7yfUuR0
TjvD8pMkfnt5CTYD1Hf9BDShELvEVSP5OR7iop2RM8s7D3FsMZKtK4vnluEHOvgsMl6x1aqTL+KU
2TNFdLaO43R4wCoJsBN3VvIYezO5iCS5MOydEXnpTdok/XcKJRsVu5bvmTXLB38MKnPnlbkBSiGV
Mt+5dsW5ReQT/v4cGQ1xMgEEcEzllMg6SCxAmWCaX3vHTn8OhiCCPvC1cI4jcil5mhn1PyXOXL41
Ni4uIy2bu7G3wYJEiLnuhymaGbdNln+tNYM4e1i8uFn3wzWxoIW+ysjyCIJ3o7JjfGgj9A7bs0/K
t4qXVCFMWoGbamCwxeCESzNnkNIRdZrOWyXq8VYmykNvXgXVY9cN40aE0/zE+NKFfmt5Vxv9b7tJ
tV9fwPuSyYVnwP9iakDOfYQdMlstuQcrYxwNlEyeho/ils28bqNqfEtANLs0I9Z00xUOCaHxfYJu
EhZlKYOnDCI23CIQwRli7A1pdiNhYNwEB8U1U6ySOe5++nGqQDKxzENeURXDsGLq7N5j3kIoXesp
D3DwTQZARBaN7mZA35JtbLtKwXRM1jWHtnhvT9b8yuBc3xuyB6EfmPk+gXq+xwphP9tZNt5h0HK2
iQ8MYVclFtqV3E3vYPtM9OXal+9dncU/klHmZ8y+BLYZVtYwgjRjB+D3yNbFNBf3Ixtg93ZKqLLW
nWcMb9PckUElKa53rPjJkImT8W4MWgSmnpMF5TrjB3Ffsd011hF5A18keHk9HFbTfIxCBr2rBEPH
Y5p4yAOMkAYaQBpA4VK5a4npwlqPhe3etqhZHzDwiwdL2+XdZBArtZrCpPlBrnpyK+Go0ss3Poh3
DPiMccqFPJV0jfksoQyfkwZbO1rUBMqM6pl/kihSeKd0MsLPJCvmjxoPosNqnoJtNYiG/PZhJipK
olYv93M75K88bcOwJjqGm4Cp53gHxCX81Ij4OeB4ifDz5K+eZ1uQzLv5RlildyJeReyjplBnznYu
IBWIL+X0ECiDiptP14bxLI2kvh9JVDyNUUr8rO6G42zH/bfqnWQveWwR22H08NAKjOMvmeJLbnPU
+I7O03Unu/JQOrN3cjm3N4NX5Y8ORoWTYZGQNWdT/1Wmi918lpOzr3PUcSlgL2o0/NcfZk1cwzbq
PaRYCPd3si7VczbY/j3iyfwTQ6T3iI+Vv7C43pH50LxFHWFQrQon1h2Jt+j8M6G3PT/Dx1Kr7pMb
qPCJy9UBsiDThrpSkKi2rVR87QtPPVRV5rI94GwBx47Q+ByIrrsWrLHPtckH4W8FyzpL7yrHkmmC
mIr+fWastlzIg3Xj9/CzYbhKewUsIn/IAF7iUQoQ9TwCu57vRxA7+5ji5iJEIu9ZbpXHXJjxAyD4
em1lIwbhAYU9OgrwBC16zzkGlFMMkzzxYdEdb7fxczQh0vKPb2Q6IXFPqvGDltm/7XEXXKex+GrI
8ioywGcN3I41gXnTjewmKIva1vu28oAhxsHjRO7ONpM5MgHJ6PIIsdVNV7YeE0Q6Qj7ZEGzhnXm8
PFPdbRxsYumqNZTeIQJbNjQ9Ew4jKcJjR9n+7qF2uoZCILh07LF9cCjo6QRy10BtiHpvNWBGOBGX
gN9jItHgR5SN7YXt6ieyewuYGjgexISWd6Nl5dyPjDPeS5ws7goZa9TR7rK+iXueJo2PnVM1XILA
4aYIZgp4/q3vukQug16n6UtUQ8pYpFf8EDeZq6di7VIinHvDK1/tiCsrLgJKlnihJ5mWTlYO25Zq
hY7ihX1qd8Q0VG3jpqsOY9z6G4Hhc+sjlK/2woaVX8YR1BC0nMW7tEN1w+6w3+KN8r8HVaqzJsWQ
WbDp/xBeLKDO9VhJ1pkYghPQcQpZL2VvZc89HYxlopFSlmKUU+AI89nmMO6t3Y/aBZyxjvPOOIYG
OhOHGUmCNwk7RTe6HHKB19T4VVT86JbsfKBD66fEG52vSk/jT7JBu6dm7Pt2JTPStrd9SLSdDFI0
+TMGgPcmW/z5nArRCyNSSpO5oMdbDSmH8dBDjuMZ6uBoRlkX35BwIX7mtusXW12HHZOUiYtrQr11
DCt8cHxTxsyj3o7rGBfzcXI7nENpGQF1UC6KnTqySBdNw3x6bfzMYm8TBzvLqrnzywaCRogBOVxX
xIOG+F+S+aZPQk7vTlvZyQukIsIcvvvKzSYP+Q6AwRX5KRR1KPe5raykxshgBqQO1EUSt0hR7azj
MecWW5GRnQ6IHHu7uQTjyKfJMic6hKrCrUDKiElgTssexSqz8zh4Y7XqQsM4MmQvPMhOavkXmpdu
hYXHemZna6NHZiHqgVFx3S98huVtzQb1nsuL2gXMZ78KXa72YyeQLW88ax7fmDdb2zZLjado6a4K
H64a5JexWzvsB7cafhAu+lzc+MFgfWVOtVxiizgpBIi0dsweZ5eLimCNo7LAByNMIvKa8XYSbLyx
sDIkR50Nfaa1tr4vTd4sUuqNVN8TGn61CUyku1ZvPUX4aQrL/OgbpbGF5qk2GL6GX2btpjeA2ZNb
azmdMaX7G88TCJMGTBLhwN/NgFhRoPdKvAnIIregDbObrNXWtiJZ1l8346CSte12bzEk6ft2GMpL
lSEtU7FpbCF9FMcc4RaxMoO3jWq/vRR9Fd+Fc5O2ayDRyabP9fypIjs+gJhBaDhDvqFeZ0wM+tfd
/Y826Df88N9gC21LLpbif60Nevookvw/bj+++n8SBv3tw/4UBok/8FGgebUCF5c7pr2/C4PkH/j7
MWDA+/HhI/6DDcO0/yCcGSO+sLk2rN+ymT8t0v4fKO4sPspxvEUxJP5bNoy/mDAcL7CtJbzbcvls
QDH+EpLcUiT3krJlm0T11QwLOgCjeS8c1OXtTLncZSdHjUw4VRb/TXD2LwkHi7/j/3uzPYdviokr
hqnAhd0oxF/8H1morCKj8Nq2IXsvY65LwtiS/PwPv4/r3/5//0FQxHKDder//C9WkH/9PAKpiBtY
/OR5uflx/rMCaTRMgmeR/27N3JgPYUcFaXTxhM6FoXCHSJZzKLUuiULtzZA1YYZris+Si3cb1CO0
RgTvWEvBdo+3A/pJchNH91y2iFtbN7FPTUtAWNKq4MZOlL9BWwWFLoQaMx1CQePT1t498UJudlMv
2Bkga09kljBZjCz+h97MaHRmMnbnkCUmNr1UrGYLoPYJp3LlcvblECxwP+TKvvWc2Xhi8Q54ry6Q
vrdTZLGgUcaTB46MHrUiJtEG7cVd5UDxEuU+IebvOU0ah6lSmNO/j1hmc9nvrUm45yAbgr2LCJlE
AvSFa5KBF+ECVJnsgOXBunjwYxQD3aTXR4MoJ/vchEZT7x3PDvf4dUhYYOGasU+d/Hc/dODWZFZt
PXDFRvUaFzHnIJsOAg3t6TCxnb9w2wH2yAiGvWcMNPwqwkn8oMtRhLYRkzWtxVzyoYGl9ZsmdASQ
va+Lx9JWTC8NdzuEiBsCqzv7JWVnWdYHRrDqMLRszNFhvcteBDeid0Ysgj3InLxXPZdflvbJmcXo
CGi8GMfbHmATv6wsOw/AUvY5CJU9qy6/X6eNX11KdHTHmHvtgAtAP0VUdESH6wi9bz/vlPIN1sr8
upWZiY+8lGIry5qNdoCsAsVNcFdMjb4ENKA71u31jW1k+woJIJILDVHEQ9ZxYJ0KeYX308WJ25uX
CaFCvS5crkuG5WG9Q4bFr58kvh0+XhhyHoCf0rCC3eBY8waysnqVkem/MscWN6jneKYj9+ybjb1S
y3MOjpIZiQicG3tqg6cByiXK+77baFWp7bLw5CoM4F9GTUxK5OSrJ27gPFi5bps9+syRzc3AgMFk
tELoD4vIqoFkzjRIv6d+b6OeYR4u+BGLclnoDwlvi6ndbOfMcyGpkC1n2MGbnG/90rN/lrhCH4Rd
Qu70WP/uJ3jij9oOvV/Mo9pHT6sANaaCkDTFvfGeJtZ4SQiYfLIzCUhwrMbGA0qSBcW2HIeq3YSD
G+qdaRjogwKXgYkWCfXzmNFkHuEn6Z8MGoimQkVnXdLWbM134D54/WEIAFo3/QXHL9OfamzzK17Y
DAc3E3eVWO6BAfBRlUx2/Vx/zx2s/KId9Y7IYvs7gjr0lYDWPEyRm9w0WR8f0a0QChnW7M6ixh5u
6Xtr9HMJJUw/mt2z1FbwmTJaPRqVnDcGAfDrErAJOB9VuIdMEIexSUylbmYTZiwso/bVDvNmm/fa
vBXV7H6wyy53JLAn3xaay60udflQsjx/rMiB+Cjot65mP/f7MA75EY6+eobfXO3zQYlLR6v4Fqdu
8wLy3X6GyOIcKXWCVV1PXbgB5QDboe8zva+Z+YPUKrEIr2Fam+0niQBldI7tFu9Ikea+82xVSYXH
mY98a+dwHxLH9x2GtvQODmXWvDURlcwHaDkzOU0kcWxBZ+38KbaZarhz4W/Svh0FHUlDxps7TjjZ
TCPA/psOyQdP2gjyPownDiTw4kTkJZzGsE7hF8ZEC6U71sVTyfwEH3fvkSZ36WoCDGd7MoFzO4DX
CcOy/GPY+Oa7a7jBtW/n4dgIL3xVNn6wTWoM2qDq1omxDcOB1wbeVMh2aco9km8DfYZBpV/6tOy8
YwhHNNwQYU8oJSQ3/G82SsAwSsaPMh3r265lxIEKkVUoA9cfE8A9a8M4LNyjc8ev2Nv1L2z1w1HN
uIO0Zw1ECPc99LkJHmDDfKIo33j452hbzMMYrfWUBfY+Czv6yN5tmNg0qG/0uvCaDg58hxCI0WJt
/hjrwd4MHZKyhY9VOkiTmu6HQQ/vQKuundfCqcVbk2CuEc1sfSY9yS/s94JNQLjjTuBDvyO1NvhS
2NdvRTMG6Z6yFC2oKedwXufzgpKMGEWs+WPJuSESrWIE5LGcZxVCmIPDS7+qHJI7prTlC4D+m6GD
j2dsZdpcxnpRlgIqQENEDOXcO5wXZH8m+R4UK76ZMHJ7kgylPY87P2OWsi9k5UPwWu4dWH/VC1dP
GG0Is2DiVI1D/ZwlHeq+lugsfmXlmpiybudk+XhpyGrfJ1FQBitki92J6B+6QbYTRrcmLrYkklXB
g3V4HWoj8yALTO6VIQiwh6Dw7DtcP/IWlFu7jtjoXoqp1ZymUIhJg9f7OEPFBFKFPNE1Ok2GXkFt
xw9EE6NG0IJ41JUzaLG86AZFQkd7EYnA/0onEiEJo0oCmLpZoL5buuO7ec7sai2IaNuR/0K9FaCK
eysc8uN9xtL3Rga2rZPjNdZm8DBnOnoxO6YO+DS8NVQbGtI6xukC89Vdx17QXlQcxXfKg/jLj9Nw
nvMK/dwAEYB3JiE60ELbwtoylmJGNLX4/By3vfHn+AJ3cpu3Axdy36g9lgbSbTwrfsIyqm+HueaD
Y4dEEgvsxjVPcvvWGU2J49EzkoexY8c5OZ04x8SzkOEFeQx+J3w6ojoXUiA1GXnkZJRSJn86A4AE
Ldu7jBQOJDWIRZ205vPxgXIHxd47dXiE9vA2rXVBXMgO1JeGx5aW/lXHFW23VIT/blCdWaSgyro6
V8hv3rjl8MMylwLjKimEvoshnm8nhT/06CfGDHslZdrEvBq9kB74go5WzNJyZUGwRLrXt7/6afbJ
EfKT7rP3Y9CZOAuHGLtHXR+8wRIXgHoDiEM/T2rWid7kcrQy42RQW4T6WCbgQKHvzFRrWdGXj46D
wldN3dyvhxyHHSUfQqJd3Sf9a+cq61U3It9i6J/helCqyFUnSYRaCd93mCw1QjK7y7x7B2rsC6R+
Vgt00NkCOkSy2gEASLatEtUz6lsFZ1sPvE8Fnp5ro+r5NhPtcGhLz3lKjTA4CJyDJOVI/w1fWyvW
o9nn1QZR81gfwzFxMr5oyVcycIDX6yjIGaE0btb+CjIriXfDTDw9N3o6PWIbR7FLX8C6qJxS4eKg
qtpLbzDp3bJory4xQWffnRfxaaLUHIfl9+Jwrqq4zdeogTjEoDm46tI2Otd3JbKSnPBTg3EUOoRh
hu1oTOFdJEa/3KR0uHCVJ+y6qzQLEhCsFMTuzgW/+Djg7TUYFXmR2KaDZQ2nQDaDvzNNxMo+cfen
fvByn7JHjFTABG6zSXKyEwv4QFGtWT6YMY2zJxYSuUuQDifTae1zYcYjimbgFRzpmfc8EZxTnkdM
U81KJJokvmxcMsJ8EOiUrPVYn2dWLR8LSHTcsKuFA+MJyqgtk0t6fYvOYYBzJwGv8zsJ2lM8heFr
ng/pSzvR+FyYv4CMdFkgH/MK8FncNsYvYRKEnYUm0k3BrXKcRs1RXLFteLO1wxg8IVXmld92feOY
M5FibOa7o8thztAmt87zYk8O3LC7kEWYJwhlK6ypfOusWDzcf6N0xtua6Kt448VRyK6N8oikm6Bx
n4BywyX6N12fuYDr/tr2CUIXbBBg/gIN++d2DDRX1+eJwxiL/S9K4OhniX6pwbprB8Wj5ZZcrF4c
bCgy3xUJqff/eT/4u6P96+cPMOKgT6bvdIO/tIOTmgdLz06/HaKObm3o4Td5ho0/zolnAEzZUBfW
ygrK+ItUF8PaWLrJYVUNuX6DJu0eWTIyHKyL7iGDyXizfDNr6Qg82Lqe3iyLEp5gOsSmPTdWdwWX
UoX/M4/59V+Zx5iopP5TLMb5oy0Jr8j+KUniz4/6k1jn/+G6jMoF2DmeAuxYfx/HOPi0HFe4PBnC
ZSDDQOLPJAnT/8NxAbGi8+ALWHrnv/u0TJOQCdxeAf/F4W/wPf+/GI0/pxNARf7lTOSv4xjp+j5E
DGlLagbf/s3M+Px4SMqI0Yb5vyXs59rrAnb4CppDOd3JMPs2gRIN9BYAfO+HKvtunK79N28lfpW/
vJZcidAm6XjAcjARX0xq/+jTQgFjc8Hk/VaS/fIrxEu2Yq3D9Yj4xuSqFDPXZuI5XKEIXeYHvI1c
rKR+zsSRq/qbABAuXhZV6GPK5T7GdVWdCXbmkoYx5xQbEM4c40JNPqSrZgQ3jihmZ7uhRSyUzY0v
B+9k4Jzc0XdSEACbqVf5UiUwn7rTEZJiSQEBRLncwB/b4aXHRLRUGV5TYnii7ui4BKRhCcLcRuIG
xzZ9sH8XKuM42Lfm7+olwlLMwouSpl+qG9tPn4g44PNRz6r9aMvifnJZk9TpJbVTdZMhnF+NwWzO
ayI6KKCS38WUXuoqotaHT3uptbrfZZfqzQi9H7WYu1RlYKsQ/ks62FW9VG3WUr/hQYlekqWmk+4w
oiqL601ELj0brv5+Qlm5CZdCsPtdE2YwehHJLZWiPRj+nTZU9x2OFpUkdgSqSqQ8wVdXaybmk5YG
jC544zCUqEUj6CtyEy4lqgLuQyicM2XcrxbjEqr0Se994cdnzGBEoDF4uVhL4Wsbrrwdk8K5E8mc
xFtrKZGbpViWS9mcqBHVQD2W1xGSNvAj6JhQ55diW3oFdTeA13JfOf14GZayHB5/uV4iwXbpUrTT
tdfPDYrjHp2JMqKNtxT4ID7g4TElInj7dwfQ+0NQXUmyoP2JnQyiS47xlmVu2RRrR9VBR4nZOwfG
i1RiVSzmlyK3iChZUQeA9bVItmTrTqzWHX8O65+lS/OXa3iuYE06lNuB6IZrLDU2NAHq1kU4JzF7
YRo89mpwiMTGHjnsUaGjrlLCsvdO7MEmr6LafXEnpnbIXycZbuRQhiuiiHy0vK0Cp89gYDqGBWU4
9my3vun7uHtvSosHKWvEWySq+FfYefUnP5nkQWXlQnNzSzC8Uz6V28Tp4zdK+iXbpGd2ZJHFRlPH
zvSKXoPPMluxeUBRGAAvzj3nXZPTcmJxLsd16Azw2ZMhZeONjHDCzTxaO1LHpkermu2H0vQRA2jT
6uZNWjQCUnUwjJ9N4cGKTyNd3w+hGbwjx4xfWxBr/tbx24q0izwzie+L5AsEY0ZXfW+OW+ro8aOo
OvWsl1JxZZEV/NEk8NuA+xsMQswW5YXMU0rABg/9L0Ml5mPc1cULMfDhvYTj9VbitxlWsZ0vbg1t
iyfgcQhCHXMAGAe2rHisJINLKpKFv95ErK/CVGZYEmn87V0CSot2oM0NcyNHEGBRjCBnGwvL35OG
QKWFH99cDR0ZypM3Y0KNs7h9aPXQ4IiM0MfPaCpMInBCTpEMnLRegRM37qZ6UgXdoZ+9oC1gxola
JyXaHtflpxAtzg3JbvYwo04G8Wek3sRJaHnHnkgX1mc9vSZBB356NYo8vlqdh3ejBb1L1GRp6vuk
8u0XfqXuqqolYzLp13IbOrJ9jOCObJzaYbRiu8V9bi7O0FpJuarl2LzZilJrNXIM/UCWI985zPmN
+nWJ8hBgZOmukTIZAV1ChPMtGmu6b2D/THx5ydmldniljkbdnXow21Cz/XShOw4lx8IQhi7dAAyQ
Ww3I+iUXLQk3RO6kakVkpFXTPwTWD8CO1J9R78LpEKZRkvpI6uANXLj+arh+/exPI5m2Khw8H2Jk
6bxpgn+/mmgmnLqIl7S9RASLDMZqQcDUeYxMJPKZYx9NwA3kpNs2yAci4eNrBcYt3jqgqE7VIKN4
r9AFBqfJ6Nm2T73J29VWRUI0Z5MaH5DxEdeTXNcqAOJliE2NONUVFiFCwW2mNhsNr6ZahTZu0DUP
DjChBlz+4p80CgbYWgSbJqwm1qWTq/gj5tLljK3fX1qsS3yIP5/oD+p1jez0hiepffcQ1t4YWesx
KGqL0wBXHfyQ4CAWSuaHReMG0qjsJ5ydJode5Cf61ukyH7V0xkk9o6Bl501TgT3ZdTwUqVI+jhke
w8QRkuBektvQhfde+z31Q3zfsgvALl2mRDuBv7z1gVTv+EZZbEZV8VpWUXuKMh+wDtOSYhXJfIHW
lPMZcAKpsl6vzh6v3tbmK/+Yu/S213GIflS4E55FacGAdPNbJ+wVahBC5rBVQ8CkfaldTxxCAjBo
fHpUvswSPED2ssumS8XQDFK+HOJXYWP4YGWLpZkYhJFpem3yveGond5s1PRPHL/1FduE3NPcTT8q
7ueLtKKR1ARCe34U/RhgDlUIu0gmWDreIfUSdOq9iVhZTZD51tIQ7bvu3e7qoF26DcfQugpPub9s
Bm9rP0zmZ5cX6ZMAupB0ayGT3Vjle4v0V5IFKoKuV23etV9zMrBnQLoG4SIICIZcfmnWPe6Z/rGq
zP7YCyvLL80weD9cgKDfcxYW8dqMG4YCZo7WedWzNgdlgqIHN9o8OkOzJq/Cf5vMWn5wuyT3zGlj
WOxhDSlrZTGFhDvS1bitV43KvDtUbFWzdmDwjOQFli5QRLt1Nqrt2QnYueIlwHk7KiP9aKwgvK2G
6nUoUB6RJDNu4pTJfFKoKd5RGKBmw1TiDecpdiRxWZh6EUi6uVwX7GUAz4xGvQFwTy59OLXbvjZQ
8heW/9lYnX0uY9z72HgwCK5D1LuHxjAklH7zRyPD5jkbbecnaoQgP7DqrtiNWSpBDooBiFEAW7Rv
XxppA83QY7hJjovPoF9G4a7HFzKt/IzmchOPfcrbaffIXbS2Wx6aoQBOKzDqYgHuMUif+8FxXnXX
8EQVAGEphDAsrGl1zUObC8Z5/ox0bsUFb363GVohzukcz1NbkqBtsPa5kwkCgg2Ko2Eb47BEuEH4
sH3JEHyekiYxfobscHwILw5G3az1xbp2s+7dxvkzMYdJjPcISbRc22pK0azbnAIBBj0Nn9EwH0u/
dpxDNGDa4aKa9bMGUsBlbChbHaeQthf1eQhxiHCdhYpvC/tBoJH3d7mWGqHcnDdoyEgEPWIK8b4K
hsvr0SG4PMjyTdvUwdruTLlzByd+1aOF5tGYqdgA/ppMaFSFsG1qsdqPNKtBCYYYWbTxObFu+yFA
tXSQ9LWDvDgNZh89ul9gqDcmGG14gXpmeesRgcldn2I+QBwJXMgeQGQjHscTVB6iAP0fidO+c5+i
a9vqovQxrLXMqcgf4ModwusUuoTCekTu7vy2QFVsma88ifa3Ju9i2w4J1AW0U8HV69v2ksajhpyZ
5t7DjB8I+HMXxI/GZBY3Vq/5+fFSvIyO5rjKbcyie1+l02vosIxSbReLTYIJa2IxGimT2U3dfwdU
g58OcUfM+3wA5uvKhg/A4sz0v23GLO16JqTxyamniitWWQ4ZwyweEgumKTElPIXkd+gy3pj9pL8T
gyjxem6KRw1+qsMsGELJJZ7ES0DIRChkwq4bLdgB9uhvpmycTg4PIkUvo6qVnrhpRRYjKHEdwk+5
xsomvy2o5plRQhkQR7fN221kItyts8Z4qCbG/DNaIkaeHrBTAZ2WIRFhJQw3bYPAjl6zUiulccry
ELrPOCUFaOMYKWoVDhip7ZCIihUXJcqpCFGjA8qogSfH/ic2oMrBz9oYzsSP1nOqZ7Mril2NaEai
76vFmfU1y4tOlcy/Ilflr1MP4u60xAb/yhjZgT/2QqoiHOCUiCYKc9C/2qpeRG/nT1oJ/8sqouqg
p4nJYZ/wjkLHoM1DjU/+BdQFiIuosu5YYkzmyiY6L1hZII7OAcpDqG54LJCDlwT54FfCZL9Cf2wB
9Kiq5r71dTqsMZ0HLlmBMwV2b9DmKKcVV9jnjXmGygzdb2od8eSR5bDSRv4LovLoMZDzEXW2pocB
eCggKB9ctqMn2Wr3tupYn6ziTgc+lHBfnMIWUQHHspsdu9Rtr8qOiIlwMgcTiEMUGBq8Gnaj5Yij
9iMkh0aVfklPIVGzvcQ80yW792wCzqY/i5WGA12Atr4d4+wZ/Hex6Wi+thUiwlI5qHgrIs4tULcr
bck7xQtwx+rCxyrdEZKSM4BGGRZsWvYVMHy9Ltsyi6axmBMIUD1s9JHFwi6z22RfNmZ5r52uuLKe
qDadSdW46ATbkE8zOfmlAo+5xX6erlDSU1yMqbxjFqd2BB4fei62dUp9SfShvpayFS8Cf7DigE2D
DZFDrygDsY8nlnwYgPojgUinnVuOd0gCRr2x3F4eKmcMjqEXOmx4EAMPnFCE2ATgts6MXTXezcSf
t6LNF9htFZzmodUOgrUAHAGH9y9fefvGF+q7nuLsGg14a7uhDH5UrDJPXmzZbyx/oi///3J3JsuR
I1mW/ZWW3iMEk0KBRW9sNtI4z9xA6KQ7ZkABKMav7wOrzK5wjywPSZHadInEJsKCNNAMUH363r3n
soGuJR9QBxeM/8XtIA4ouL1iy2/MjNuZCBhJuLIiXr2PW/VYAAk72AT/EE0TTNajU8TEmSPmW4HH
pocPv+NJyTp7Dztzxn1qTsYPGJVl++5kHIMoABLMGmXom/O+SbPBZyXF/q4TNzKPSafyL6AZuHms
mMoS9zUbWDoSb7my8G4Nu5zR3SpL/eAOvKqf7hgvdyQEDIjBY1Mh+SBSD0mdwHvgki7Inql8hTzP
UT4LlT84AyRwBwGfOi87mkt7055LLvqIxM/coF3npsAHPQvwihwTdoxyy3FtV8QXrJXscBA4pYUK
XA7WdyUSzO4u0vdp4+PSPAZ9MAaHokasunbKmCJ6cHLvux8Rjp3Qyblsh3a4hoA+g9M3YwrTzkq9
z6ZwNSyzqE7uaAtUB905zj3jnr7YRj4NeqT93oAHCsHLWimEBWjBl9EIhOVlTHIemSCwM0/dMkeB
yU71pM/jlcoY9SepyAxdzk3e/+4A3f952R7IO3/Lsjp9ZMTsfg3fv6s/C9as//i5f3RI3T8smj6Y
19FSMWBd+qD/yPSw/0CUbHq0QYXvoGX7U4fU+oMzQoCSTKKzQpzGZbRVp+P/87/9PxYxgs0rAZoZ
1zP/razdX+RcHPZwPNGDZYQAN8u0AmKF/9yoBCAY0i7k4OkNxUVQtPtggCQfFc27RpYCp9XcZB6R
YGmDDsKnRcXB5ZlkL/NUtT1Dk/StU801AU7Tnn2wOzBLvyX4nO6cZyWbqjPguSiOf43IX7UP5NwM
steBs3HQTxeo9chL6ABnMaiGWJve/H468XPqz/mPA3hkCZP5hCQF5Zc/LjXzWIPRcTdQdYGXdLss
/FE26tb05N+guX59JwR3kMd8ZtP84xLg8vPHGBnsk31RcNSwSLFgWpGWxgmkysZS0eb3f9RCMftp
5OO5C58dzprnQCHz7F9GPjhzhgLZPBxXr/+UYS3XtApf9ITJrQmsY9jjp8+9PtuYtQfVFc/w2vRc
+rrIkvahNaDY6lCcJfKN/+uxLIsrQ6B/EqJ5jYzhsvLkh03bRChvI7zqW0Ohv6btCZSgrJltR1DS
RTLsQscEtdS1R6eN27Xus3HrMsrbMLb+8Pr5ra4TDgGSMjSjkP79Z2At39yfx0788ei4TEYP3iKY
+lVoGQoZ95NjBIBt/X2coq8owLxAedwp0laC6lUVHvj5fm3HVHwsnWgJiq8csP/vL+Qv8y/PlRYA
OEcyzbCBtCxyyT+NGKZ4RAgUCeItNFh2DufAZAz5itgL9Y2Vf+ZdBteRahnUKVK3x0pM9AVTuScD
gyz3wL5zuuYhHZPNKOo92Q0fcxq9F5O1m3Nx/zcX++uwUDKWYBHCu24idmUJ+fliyxSuRqZHAG3m
TH8WJ6s0h0e3Nx9qw7vCpPnYdiSABt5hHr19UpvPRkzNQ6m+iiFxN3O66S20DBhH13Mer+kPPg6q
cf9mfPKXb5frZJppo/rgURKsdD9fp4iYLCeJNMitzx+Un9Y7Eg0GRDsjZsfusg05uhQpZb3raXyr
zfze1/MDupDt0sv6/Ye2fCZ/vtN+uRb/l+Qw0yOaDCNruAlBiY6wdrPAghQGwtq39+3fvt15Tfr1
/Wi0m8hDLYZX5i83FDrQzCcdLNg4GvVAF8G59XWz6YqBu8J9AMBmo/wqKjxvBuSwhWxFX+zIif5d
To4DpypstxExuGQZlK9hR3uRtPQibR9nUM2XNob/dRcG4y4UyR0RhR3BrAS6OvPJ1617SD0I2SD1
ajJE7RUQcnRxUXeJ6JleCi3krevWp7w2ol1IQMJK4WU90BBGkSYI2oHlka5oRTpb7cy3v/8ifl5i
pbt8ER72H7rzniVd9r2fnzTHzNtK80UQkbRlEL9L1fWY+tBcrn7/RvZfHxNpLrUuYmreyBG/bBsC
uCAdT55pJ5WX8I+/l4LoOtdXYFoCBxxHG7+k4/Dg1vNRd9M9RsO30C+W2I7wvQn9dSnar0gyczMz
uiz2o9bEzdMp+v11un+9NX++zmUI+ae1x4T+EtkcT5l6eVTRw44WWLqGwPgaskGjl+ihKasekaoR
t6t8LK8a8EtrX2FYm4uSHu1sXDOHMrbjSOgsMRb9VdM2BdbyITuI0keSXHvuBZS07LkbXBB9tb7u
q6FfuQpjpsI4ujJs5XKr8cae2eNumifsKrVrr4wBwj/yjYJsRN2RmFK9jDr9CGO1wKKH6X0S3bMN
xoeAw7j/URAwBPs/anZhV0eX8PrnHcD+599/Zn+9iah2hEvVwzbNMe2XpznTAeWGUwabSITXGuij
0P06ceQ+VPbu929l/av3ouZg5mY7LrPgX/bpMcUP1jpVsOnt2bnouvllTpRzqejOP6NCc4FT1TST
p6s2+hHJhIYFAwmkEmywg0aNO0/wZJzlNI296G8ubnnvn1cZOv8YKAiuACSObeHnWydPe6sQPonZ
aZFfTNFOCuNyrp/+5hP4tVKRnkQZwCImeQ8LOfbP79LYGf1peuagruhHjkuskEiyDUa0PX3OajO1
3f0QKfWR1+IpHaY70TpbQrbctXTLblvPhVrVTVJuGQffEh8Vn2CEZfTuIND//lL/1ZV6vsumyG2x
6A9+vlJNng7EB1SpvlexqiQkwKXFSsQKBgXhUhAG5M40w0vf/gco+L/UKFDJ//xNSJwbHphbCfNH
il8Xm94v9FxFFdnlSj6Hg2SJIR8mILOxtO8hodCQrv9mS7P+1XuCjrcRYLHDIi/7+a8N4Eu7jElR
rdbhvrAXL2CixguFC2FjJ5T2RfcZZ/1THbtQn7wPmzEpadTfNPGN69ioqmt/LDHIOyA/5TpJH3//
Zbh/WYChvlDfUeBKgJlU7j9f32jUVmUywd60frchxmgfinAXpjwukIqAPWZzfgkKbE8/90cqgArO
3jsglXGnvfCtqWfsfp6LKbr/kcYk3Y7mLuoxDBtZcjvgS1DxwFaFeD9Q1SeSEH8rQTP0sNKOFS/P
DAwvUtBJYA1bYme7epeJ9vtUmI8dUCOrjcg4QEPSoMunNQ2pqcn+5huSyy7/0/MJc51jC7JxwbMD
//jnT6BMEtRrmMI3bS8f7ULczX51ICfbQBEw5us8IEUc/MaVGiMUgCH/pcILgfKt3eqovdfNcO82
CPhNZNvop9z1aDds8GgvfGDbkn7Qpgiw4UAAOUWt1oQwsHjXQHibAa4EsIuTjEAPEb704QvSW73I
f+id4M2ykysLBhTQhmMDM6dPEY4PwKxWICu/ICsoSHX1ddMlm54LtcziJkdKPKYpck9i/8ZafPRa
bwyHji168b3W3lWFm4O4bmjFQSbxkXvzzi1J/hudelsBtkSshwRdF+NmsrJxF4OXdEamgrx0gX/5
k7CJmyp/lXOwTfT339+Mf9lkfYdymUeTo90SzfnLytARClDK2qEes9f1fBDygB8JRwim6P/40v+7
2yz/P4WjejTm6Onymf7Xpj94Gx8aDk700cQ/dVH+84f/HxN88bUhJuM07+PUs//ZSfHNP2xBu8ST
pkvck1he+YfWzKb9gg/PDBb/3/IscS3/6KRYkkQntkCOGRY/ig7t39GacT/88swy0JMue4ft053h
/X5ZtQgn6mEo9+OOMUFs78jibtbkskGnJMt5Bomv5mWek1kYFfpoYQVIqbp5444odtAqa+L9qIBP
5UC1SSo8QdxdSHyykDJ/YMJiPIolXDmCA3nrLYHLTSHNBSlDDHM7Aj+UDj135vTxV++gQ18HU+7H
G73EOAMsy5/nc7ZzmJdgLiGEUhyyMa0hDE/oRypkms28SCYm5j2HnFRbf2X3RJ8g028uYx9sxXhO
lybvo8tQby3SIBBrBk15e6iJqpgYJ3b5bD5wtMhfcXpHD9USYA1FPf1Wn0Otz/nWk9GTjVcF4n2M
kTFr3RFZZw8oay24SHCNmHfRSl1XqZXZtDxD5FGYaG7UEq1NxHi2KknbjkxNHFABwzpxGnuH/DUC
EQQbZYaM880/Z3aXVRfatEeT7FTjSPs2eAE+w+wc9V0Z0ZONg42AgXMWOOdNoHIRIEUQvNAbAidz
V+YSIJ6mkX2R8gWsIb4xAl+CxlFoP0/n7HFpj9Q0c0vnOD+nk89LUHnsIjPb0BeUV6ht0g/AI8V3
85xu3pyTzuuyb2e6YQSgzwEpeUq0Bijkc0I68SOkpXvlMioyHDQqNgjEK+0PwcUYlOot5gSMBeOc
vO7Bd0PtIAlkJ1ASy0O+pLQ7S2A75STW9HOKO2ZpEt0zAujK1SQaXEJV2JA7GAdhciAeqvtS51R4
krrHAzPbYI9IgtR4G2XLlmQYFDggdZfcSW7rJ00NdZslqXsKva59jJco+shcUukBb9TBpY64FdfY
6xRyKDG9wduurI1A+ZARetiod6sjGGZRSMBlT9OyebCkE9y6roUHf1ZDcEqzqr0t0HHUaMdiePXB
6Dd3PvnBz61LbMaKJHTje6dSQWov4qhX6pnim1d71R4uC68Dox8e27JklhPpAqNfo9N4OgyLF3PV
g2W71KlaMUG2Qe9ofI1RPAzPgTeoe/oiM7iScnlus/og/djoCXBBhwRsg8lMHQl6TSFqhm8RD9fy
oyHjdbfJ8/pgMrNtti7DHsKEEu82N4QBJcDNR/Mlwnn06nHLkXhJxDkGSAox5vSYufYOye0r36lN
yBVmQ76yrGF+z7TWVlHofQ9ze34bIlwJTOidYnA+K5CKuJCytPkm5FjkOPXd8W0Eh7Spu5iITXgZ
j+PQqVPsO+QMCte+KJFj4ZiMNC9LmJ01Gs2XuZVuDKsd+AJT04oRzLkvNHt6BQVIYUlQ5S6bGKSs
Rj88TBNNxGKaCeHI1ZpsMntFc7DZd3WDctGW4XNgk29DXDI9DPCBHlz9Dr7ipBtVQ4Uuas6IJepX
d07ANRbDWFRbO4SESq+uTr6nnYqfZoiVl2ZmwYKutQOg03Dt4dXgQbF2te00TJzrunsrnJR5cmQA
52EEjaOYGbCobxUT3mlXdinNCORS48ZCpLVCNsbC0nVed13XGSKKCWjdURdt+9piZKPOLr+yok9J
U0F6uO1BOl3GQRZbWx9GGjj0oH4ytZ1ezb6NKTGIx/7F5bx6csI4frN6mdJyEcW87WxD4IUYQ8gb
hSxMTMr1LD9bUHyHqNCfZp24KGfKvrpgKxHk9KV5/eUakQTF23ToTko9DFdJR+7JOgAAKugqp2kL
4A4fzZqIlwriKEZieQA4F/urFksHFZkZUKS69EjwlslVRRXcR3Q9D0AM64vQS8qbgk8Kc44SM4iN
Ic/03kZmER+qQtvIGjzGfQXw13ad4qCim5lDHUOf5DAxJYuNyDxuzfrHOEz+hQkufGO1bduhIBlZ
nKDQPpQGj1s743/e5ENdvyUMeF16RL5/p1VjP0+yQrHm1Zl9MmFMPgUN7BxZpf6FD1aTJqPUcPl9
FTk3SvvljWcH8qmeJBy4IPW4fWTb585uIuRioSv3V8x2vXntjm70HFidWeBpldYPszYt/5IrjB0U
pQI5ZexP/puGTw5oJUc8ynMrikPo2oKFYRDeI2tTc+qLIL1GpWXvHORlG4RQsViPBjTyVW6AI8S+
l1s7o66SUzqF8gWvDtywaixusjQAjG7XCtxdldySUEImxWxZtykrEkiYuH7uCGR7UoGjNtbUvSlT
Oo9a9e5tlk82AuzUOdSCE0ZtVsZ3O61GpM6RjXXEqZxjCtSeRIzEDR8LM5K3skoeq8o0btHXhRt8
f2jH+jjNbo3UtgjXBbKJ57FEfcF+N8dbEJfwr/Q5G2SSqcukPveRdKNKddQHNN8QSdfCuehBVYLF
Bn4RLxgMvQAxcGrMn3nMNMc48zLKBZ1ReXl7omVDpM7gJe+Jbt4KQuj2YxeM+zDBeCS9IvkIOTDR
oh+ye18O5R7HOxU0iOddbYDXWvu+bWzLAVDH1MUOIZFtazdXUhTFex73gBIR2Y/+1kQxm+/KxnSP
eaRYXFpCOo9dDC29Jp35UBoNJHP8Wcgw0IUzeQZUl5FOtzZbF60xC9AabGb/KNhaoJIQP7fGKZyB
aMSvta3Mof2YrXS48luSwrasCPGxr8L4OjJ7+8F0O1gOHVJFBPFCAnLsvQdUTFO9BrFv7RHD2PvU
H/3riaRcfQmeHiBxYMb5lZfK/ENNQfjWTXCotbSCH02dO5xxJkoJpNZKOFsLqhsnsakxkM9FXZnf
JqOLJgu+HGh9qxjCQ9MyNGdkX00vTKuRhWeTus0QqpKh2UrQnU5rOUxdKJpp50bxM129uNkhz6gM
ki2b+NKNUrINCSckzixmXrROE9Q6xyCULTPoKfVeeoMnEql0f8+gqN7rrLBuBju2EZeKltCJDpXd
Ac1utPeKXL9FU1YtwARmMDYYzIuuNhfoZMazOgMwPtGMnk6Nh9EWDZ7R3VHAohyvgz5+jZn6R6t8
6FGVu1nsPJrpWL84dqpugxaH2Mg48RqQBlIIti133AiCEKgJUbCgzCiQdbou2mUd29O10YflRaBK
c9/Mwdivm0EbtIskXj8G4QitG3f60AilSbUr4M64k+q/pXaegiB1iFIZsjiA9DIPd32mMeOf/8ra
leVauXX/FnD8dlKN0GQexAsPJ/LxOinVrT8UuDjr4klk+X0eEzo4Yv49BUUMccgJiTzL8Gbu8S0E
ADIWjBUHWr54OrPBi7IadpBQDVGGD8Au4FfbaJjpvcMJsqrqPqgqBCOFp644vOSnNpryV/KB0TN6
cLo/M0ieWDpB+eM4k+J6RCzaQ7zS47ufTOZ0UY1OPx2YVPTZRVzaEIS8CICGphX0GeYRDZXSxCK4
pNaTj6Kg8tK19wMyx6L5YLFzfTcsIiygyTY4uzBq45ueTb/ZeAXf9Ur0TmLv7SpInvqgtXcEsaSv
s4GPxQyK0Nn1pDGzt8X9s5UF8b2c7PyalIv5dk4c/d05b75NiBSaD57ERKIi7qd4ar+N6M+uJAyK
R0Tll1YdRR5Ow977iKukHreD68fOdml7E9/nTchQZtu58TM5bMwFbUF+xsT8DfIXqnfc21l26Lp0
Po59jf68rSuyVYkgE69mZCFZx9pNDp1JWBKxLKb6dI1aHwbUNldV11SoM4b6pQnm+KutRXCAP2k9
95YJxXGcxgj5R9fqnUWKSAKNSUdHEKqzccyIRjkgrRpxVDvotXBV6veYQzJjyEYTbBI7hdpnHvJn
8GJteuJIkBw8WEYHNZp1BgEKzqdF5/EeYwTajrgrlYL5XMzkXYYCA7ApmRzSH0dkVqSLOGuklgME
bFW37cJk6fJFIjo5XboXJkwFX5QEbA6EKNxH3JmHwfLKb341F+/LKVvzDk6RbxjyGQ9m13SE4VjN
SzbWE+kzDsHuNRv+WjjY15XVCl7pEWgOhl1dtuakTlUQ5dgrnHihaOVVio0hb+IDSaPRjV1hGwYW
oiRjOjdN77qg+AEhy3N4XIr90OSI+psE5uWUdxWMHCEuI0L3ehwqhvmYijC4J7IAA6s/445FqOhl
pFj0FCRV77QXLcJYe+MBW5mIhfDUAdmuucZEnBgcTWH2sikn0CAa3fLVUMabRTBdAsduLjQ70gfO
QmhqZRISKTLaNi6T0kI/tom1DkkYFHrczYNmvJy1iJ1gbpNqjjzRg8roIvCxUfw2WT9/IUf3dvM4
FnopIwtFQzFufKbwWXIM8Kh/H6OsuoqajJXEIJbmrgZH9VSI5UyhfZFvUlIjyrXpW82N26GuLTwd
HmyzLw99Jtsjkve43pF3Oz4z3LXNfZF6FQCZPnzXgFpqQIZzfkUocg1osQGa+iK7EbdCLwdEuOfu
zH93m+p/nhoIMdBvG1lXH1/x9PG//kW0He2l5Uf/0cay/0Dvg4aDvpQpTILc/tnGklgmLWeZ/VL4
UNrQlv9nF8v7g1h7K6AnzuCTec1/drFsC4IVhTDcKyZNi47o3+liISTiV/3UevaQJHl4E2jBM2V1
xDLW+tNUMQEcMs7Z3O7GvGMzMxusIrSy4hvDSJH+CG29+HVELGQzy/yU4BKwLvxS6aM/JOlD6drJ
TYNjhr1+mNwv5j3B40xgntqHVWR7J+SDXfwcMfGYVgbM9mfUEPidlG1vRgOKQksSSo02+EmKSqx1
3PU37O7PaLZpkqkS0KBQxWM0l2T1COncwMlODzYBOti2gHs3UcEKlhFYQE9EjBW7Aanb8CiBBGp7
0nuYkq3JCQsTB3qowVwjXp9IlQv7acWsI+dQ1tT35egV8z2bG9W3F8/FgzJ9hINp0vQPhVUVqDDd
AfdWgJyeE4trx/3RjnKY/6Cf1Zdh+B1LMOEzpGRRsutTN5ZBcAFsSUqsha7d3E1Tpr7cxgXMCY0v
658JEwq+Kk6x32ZrqKyD3QR1sdXSWU6IgwH1IQiw/RheZhc3gE3L4WImRuSHDqVmaAXM/J04Kuux
8uxi5TCHvrNdhINDmh5jrJ7GhTJiZe6r3Pe+TU3i9kfHU2iH65AUJrAegCyQeUBM9Pqm2llp5BIK
Y1GgMRwwHzlYJm9d7hLXUhvN52i28hrxwSS3rV9jP4+HiGSqQg2XTAL1vmQywg4nGlhQfe1iLcUU
v8rbug8ooNRyDACQE1k6Ojk5hqF3kEXefQrapFnBSzEvDIJ0VpWRQyMklyNfKbgiKzr0oFdUR4Mn
j0hyQfdPMqib2VTg5YDfVaXRidr5syu4W9ArZRCmSOxbz0mUPvgtKR4t/s+VmfN347uBPw6PFWSQ
O1Yf5nLoapMOHlFe+C9ug++GAUabOe+xwkDDaalfs64ukHgTw1tvHNKRgNMAhfDeTMmX22jSdS89
XdwrhumYSpv4JMQk7hY1zlvT5MlVhKjf2+ZLAVdr6SMHpQcJoNPIX/sGZibzdDFybksiuDW0m6kN
oUHFGb3FfETdHuepumhLh5xef6aImZaqcwj7BPhOee8jitkmleUiJVqqVlSyj7nr9m/NUtGaqud+
R+An4nXft5h+/Sr0nYMZwvoF4tjFxEVUcbJOxhjoPBaWFK+uZQzD0ZSa/W/oZscn0ItI4aNl+2zb
aqnn24H4E+wlka52FVYoyDHnc0GcDfXApmZDqAb2zEkiNiCzEVBlSRx4jffmzLIxSPCKCMCjq9S5
L6Rl1MY1TBmOL0SKxB19dIzWG7dv7WmNFNEROyCjk7lJz4ck2ywFOFXHjsrx2iVUvLsKe1Tva8hC
IJSBxLjlfcwJtEcIjvjtRXN3+StT5gySwsggmxlMmLm0ucjPXgGv4Di0nCzNNBdHbO1R/ZC1FUDo
xNBB+n2geXvq8woloyMUnNBptvLnhgu112QQZ9/zQQfN1gkB1XFMqw3yDIRcGEdw2JZwDgNkR9lZ
YQ9HOv/RBGkNCdQZom2Yqqw9cmfip1ALz9MKGvcO+wcZGwvt0zNGUhqRHgYctlzRfHOCvCF6Lcaz
iIh77PGTBwmLxMgxbmGL1mQNmFQrlrvLF+yoMFXN+NYn4kQKnDvr2SLNl2l8wdE2OwNLWSAlQKS0
qzmctnmxsc54U85oNIDzMUNiSLd2eAOw6V/1GG1fKuJY8NWJYcL7ZmcXeAhwUyNNHmFU2ZGxGdtg
OHiWHq76oA6Ik8bMtvYXBmtqeOOdGLtp7XJGuS/6MmYCgqk7go8NcCzEokVfnI7z0aqn5FLDQl0L
chcfrdJ2Xgp8lTuLIntFy8rDOTHQLgeLDSh2NGDGjhGCEogTI7D+xCCkBDBMtzenLjipSgMLw2KE
YYlZN6boUt0YpGp+YLgb37GTu8+gQ7Oj1/XpDu5LeM9umfh7yrb2kWid8RsZA+4XlvDhcWgKwMSi
fAhYlsbVUEtwIHFfPaS4p8h2wZF+QcORlZemUnSAm+8QttSLfV+WKQgRV/cEJqYBUBg/7+eGc5z3
Fklw9xtCntvLbIH7BhivCUZm+sDxxzykGv6vlAWW70qY9oCbtHO2hFj6G2x/1aEo+gqMM4Z8caYL
15W20t1k8QfjhEfMXiXGqQuX4QcoMkudJvCHatPCPX2q82Fhdo0Fe1fZK/eoXAJCsiwGhVydscjT
QkgWhuGSRzM5V2mdBTflGaUMheGTrblhpAFnOe2x9a6Ghb6sxiwCAlOQ4kd6V3kvHEDNRUKji65G
H9xwLfq9IMOdQJwWawlUtvnelqRzJ2cGdAgNupXpd/h4+ZMnZwLtwiLR13x75Zs5mzPySW3s00aL
fWW76YaInC985fNtjG/rmsplhC9VFlgJceXXgZHEx7IiRqu0OhL8gqrneZNLxOGCxzYJ04hXRRdM
dxasafVQcrC6sGFjv9tM71DqE3SNnamqQa8N2EwG7JqtZv7Quxi+VX83Eo/kHEVcZq8VR9PoBqIT
liIzdctv1UIED0mRKVcQfsHttGdwOMbfIEWF0MuHwF1GaY5Ywh98mAxAfRH7QfEThr/mt7GYmYaU
PQ6XhFxau+ZF6Gbizk3tai2GlpWZL9d6hgRQ6q3GagtykJbnRlGY4foQY7KfONn8WAIAaPH2/Dvz
G3jtA6D1fBDqNCzwdbFg2LOq4tTTyqmONwLAzhN5Y+We3kdLsC8od5JCvIugOcdZNEmOdy1HGwo5
mc0GT03frmXGxIUOJS+SvqeDQ5MWLRbKyZk/6jNjvh6d6SNZwPO6HSUe9bYngjzy3Tpe2ePia7Ho
dlzyxYO0t/nxEumjAncPPb0kFsGfGdtYMSDjiGkBiR4RdAFmkWLF74z2dpBW70FGsBMH2XLY4fxI
rFWY9WqlRa3eymrhOyYAuD8ANIhLN0T34HRdCx6z6RoKPCO8jKA1CrSReJwkl7SNWDOndUpT+UUT
ZP85m1VNmFRFQyaJSZVZBUx27uNqGhfHc/lYBR3X1jQV/ik/6RNE75CaSU1ALmm7UXXLqj9tmkYG
cFWnuFL45MPoKSS2gHWHM7jb2kFPBwg+FhooiqbNVKVlgRZiqmn8pGw1PuHTN01RQwpX3dgxeK/E
Vp7DFIo6y27o2yDXlQN0aNIVGLfT5Cd/QTdW565bjDpP0ayDR7KrMybD/LLrZIpN4I1jiW0GxDdg
MBq4DxmN3tvahTWwZYHxYWYY8K4XKz1OcXbm25KxxUWcVwCikkKTH1ot1LiM6RsndT4zBmVBvxda
u+1KWI28S+aU/A2/HOwHnANqo7yoe44JiXpAXgmr7ByHEQuSMXLAH/3ODGbRUpKcczWwo02rpo+8
h94LEsBzMyFUhA5ON8Kps88iGp37WrFQH7xzaEcClmMremF8seKBP8xbb2dPfvodj5faUAqJJ8w9
5H20puHdm0sISDXjnF4HsZOskYei+EHeGFzEXiXfMroCt4XZGN8qv0gfzHO0iN0SVVj2k/wR+GA1
TnPUVuFqbkXx5bijfp6HcTowUCAiFNdcsnFBZqHXOeeZeNDSpk1Ssgod6rrwDoQvkolAF7Df5q1q
96YW+rKIG7C3U2KChBCKPvJE92Zd2nl+YWYFIEw376eXeQleqc4ZLBKPuYQ/n4y7zKoUZN5MwsGJ
kgb2ZZRcjlFLyFHRvY6mZkSwZL7MS/pLUtr1e7gkwrA1qYsxdvxj0ihWHjciIG6QAHYmG1BosiTL
mCxe2BTjZxsMPVNRvIjchXRTiKSppHtoPac5jlHIaM/X+c5FYr73QdExNpjC7+GSaAPlhvUPRirt
lZHToaHdPTOqeI/L1HU39ghXMKJHejuWIj7WqWp3Fhypg9UO2WUdye5zyLS6k0DPfAjilEYYGqtH
XFbRzsMHdxjyIHqnnGkxicbwgliaodpSTc8SEx7ZCSvJAOBSiT7Zq6DB+hB17QmfNTs14oXNkAyf
nB40+jefIGR2Yrhm5aC/MkIwh2065P4RnL7/ntbYFDfkYumLgRtkbRhTc9ngEKdYJIUoaLP+Y/br
r/mcUZS74bKdchpTcRkevakBmW7Y854jEAK1OOZUm2CBvgoSgcRACmddlwZ9qSUUKUHjcacLkyzQ
ehybS8Zs+kTAjwKxpep044vGvBGzwBxipN7JqcJHbvs7z40u+7F7dubBvWWK7pOnm89ri6YdEFGA
pnydOKOzCJV4Pacx0Wm6zNYpyQLP4AZgFEResOb06XVssPWTZ+rxIyHo69abbZh3pqfTq2lmWOnZ
g3usQgGKE1Suy/K25EzRzbrJVAvBEAseKa36QP+roQLsSKgyia1/p+okMCMT4rWdqv4bKpqrYkm4
anMCzmp0H8TrLQlYGPrNbxHlxhrre7WblqQsCr35sl/Ss9K87x7Ig2Of82sBI8judnUekbzlNoY4
FnNhX2N9GR61pDafWhIImBUa+g3/IwHGlt1vy6LDazc57Te/BCaTB3K8FFCMH4Bu5pxztLmjRc3u
5nnuzjEs78VHDYFaRUVRv+mbfja3VCO3COJkvSUgMFfofKxiWzMYA+qXdSWwHVtqtnCrJiOJUxun
YcNR75iOrWITG13/Ay+Clo8yGv1xbdllyclEI8/U7CZfjW0MEKPzYjykc1K+E1NLe6Jjgh6upJGq
6LZIlfkcJn1F+Z2BAU8d+90mDZ1crtz6alOjYpTu5nTKFd/DseN0s/Mkop6VnMfkOaMZLICgKBv7
tUJfcRgjEtZUhPN26+f1THigEkdJB+g4MvbnvDA65S1MAds7LA2Sj0gY1rbPZomivh+JEXNczR6m
STd7sFr0EHroiQobO/UQ51J/2NByV0ZrFQdbJO9NSuS007YawmYXYXEa6LNwrstB1oSVeKzlpA9t
OTv2VTROFjrBskGPYbf2LPeEIjjGzhmNVGMPxYn/TNATzVTFrgniOcyXkjE6DYPaJUOT8kHooINk
1ZozowqGaz+UOXbX/uyGLyYRDQyAJidEi6Bl+pqUSXNBB6cEzJvWWPZthJoXhkyd4nEINUEw2uq9
UzHGukV3M2YjyclTsUVWNJBrPPGQO/ItKOoi2CK6t/YOzTnJipSYwxqP23zFobN5DyClV7thwOea
Re3/Ze9MlhtH1iz9Ktd63UjD6AAWvWjOpCiKmqXYwDQCjhkOOKan749ZmV1xo+pOZmVtvahlZoRC
ogj68J9zvjMsuZoZD3UQBUca9xDuybwz0K/6H3zkpDqx5Au6inSR3liR437kqQ6emcyAKGA/4iRd
e9syy+uTF9bNh6tiYOfAgZ3j2GhrY4VJ/pkatRHtmiCVIeMHBRXKosWD2U5YKG9hKQYGWNts1S1F
PXjWSsl6uMY+216uhajea5nD5sD+TdfSinVdD3hY48FbUppLf0eeXBid0h35uLdYdLxFZBads2u5
iaUboq9Bvu393lypzOsogVO1fnGi5nJUxvLLntPm+QMNq9B6IiaWNyXXF/5voVjcEzRpgfMkzMSh
IeL7hinGXShNh8oyI0/PCYctasL8DjY1KcbDENbiPcut+lkUVvAyi5L6RjL8xrkKUFUIzsNRWA6g
LMjggBvfyFyrPSfxfAPXNcuX0aRbrneIQKTR0q4GN5EE8Q+XmtNtKbQ4YWYLXC5dRWBsOjxWuKIC
70Mw/wCfbBPQQe+71N5x5nlJW6Ol4k/oBs1DOOcCxzDGPOLDPMFOflcaGI6GyAGAkaC0EnYL4w4m
vRLl0Uov8fi2KfiQFDjZ6nVfVKrZRnZBsTsBg6ioSXqpSK91YaXbrPfdEVtANL72ggsWryRon/QE
c2Ip9IgnZPAv/Bg76zCW+PQ6UgkFL+RNYw14CDBJ9Wu3ozIrqugRvBJtj7QRe336ZlPpytxC0hyw
mWLLxBTTu506hD6JiLTUXLp4PAVBnnj0PXxU5gh/BDLStijptGUg4stNGTglTDcz/4RZZqN0TMDv
cqwpelG0vhI3ErPMUwO0/LkZTAqP9RSB4RqwTYtlZvioILDALFgePCqHborQX1FOmn6h+zh8KKTi
Nj/C8F9Mwkrfo2m4gKFtu7GPrBMSkdS08GO2mUcpdzDiddrG9KU4V0OBrolHffQ/lKfVYy7shMsY
olOxyGxGegvZ+dMSlBazR+4CRrbOUBchm1WWE78h3flXeLOZlcowDU4EAeuW84RqWLDTmCLqgvV/
pseTzDxt5B1h8ry0GNiIBMWdgFxfn8hwjDQqwNJ4FVGKg87HG8UnSdlHZZp6G9dxq4+1aYPIGgyc
driv20vpmEyTzWjrlMNeVEKRYltiXRlLtLnH1OlJ/oQVxlVTd41YDmyT7sIQ4bB1BU5Aw27BlvS1
OR3p40YV5hZpxMtajQ1AjhxJeG0ncr4FIJDVW1hpJdgOtLBVQywXVRk3y/VAu9mwxJpHI7Z5cdMM
WXHBiZghuT5WVYcGp2JEXx5MfZwGSqiWRsMugxJYM0eTymSYhNjPOjDT3n5q5w4ZOGdn4woGk2sV
pSmkmcDJldjSD/s79zVmWISHlUItY2yj61aXpAvywvruMyO4U+QRmDzS8LdwjaqjGS9JyZx4SV5j
Q8uxSa5bls0Yq2Nj3MZcNYInW87TOha95AKTdlgWB6uHQ91iA/h23XL6kXMg86iWtuUdU1yX4uHS
wwc3+PIuA6uHxxABYZNQIP9UA0a4mqc+fkoLNPEFgJz0nDf5S2040bqSvp/tUzaRNX3t2EObro8A
4kflG4KO8VnJenpI81Abq6S6lIWD2eumq5ytUGHfy4sTd8gx2MEJZpZNW8UHhzn1bqZB8Tibo5LL
qh5aSBtGcjAsxKYlzHReURdpZ+EIAdoiyd0vy2hIm0WTsxkZKFwx0nGXqePpc2tOmJaMonKsxewP
887hwb3rGmyVETaxBSYljEQJ1qZ7RckxAg8ujYcMguZ4lTS63szMV2JEV5+OyMJomURZdUseIHJB
5O0CHl8Yhmi/zC1lMqQnhg0ZVbWz1c/H+hKl37Wj5yDPJF3gApe0LeqAk/ukccWSSeL0ZkZy7Rh0
ZdYmum7QzPnwgSADaSpsqD5uiAGxt6WJuM+4mgBGzMBfSCXiB2VbwQNnUUBrZphgyDKRogyObU3z
jDO9+g5tTs4oL8wBlkFrFl92i667DBxoaaUYGfY3+qLV2iPpUeqfck6UShTb/9Zn/zmaLXgF23OI
sv3tsMHDV/5Wxm/l2y9Jgz+/8g+J1vrNIR3lkEDi37PNCzXhD2aD/5vtYPPH4m/9HjT4d43WCn8D
QuOHoed6JMHNAOH0z6SB99uF/BCGCLuBY3riXysZCi/5rJ/TQTBlHRRaViKXRlHX/iWTIrNAtk5K
WKc1uzv2K7krQCrBSgNxEBrF8JUG8AhZqkMINaT3feRQro/CoZ4e0GPI1Mhc91CW2UOtwbtl4oqV
ZY7KfQcCkD6bbDz5USyuHZSZPbTzatPhPuJ6EVXk0scUBYF15b0Fo9Jep5dQBhd1KV6I6idPHX2J
102liDCyRMmIA5cZXFEOzNRgGPB80aoC9ywlH8kZFtu/1i6XWK8cPoDNKVDawRXVBf0LOma/9Kra
5kMF72mGpc78QIlA4h/kuLUslKv2Q1ul+NZ8PLXcs0l22TlVmziG6RlblmGMO3N0ya6mLjs4V6jQ
u9ZRIMvtaPreI65CXF6Iu5TG+7Lb12EaPTDfZlxsm1nGsaERyWnCP4911Bg5U2D5ljcdpPEnBQeB
7VxJKFCoO4seEcSarH4nGUR8VCY2RgPoXMNEv21vumw0ktVQsvDC9/OeInNwjp3D8T3JfPPFqEqU
VoF8tqcVbQASEJdr5cSAe6acX3gsxssPjv21zvjZdYKRuwrUrtJ2dWQbpBiIt7l8F5r7V5uYkBKh
8tv8kEHok2NgwJKZqXVjFyEM2cxnwBRVaYzH0nA6yFVCbm0RkPSaLLV3kyhY9e1wqHDwrm0czSnQ
quROj9JYDGncWwS5ZiodDOCjS4l97i1OmvQwTP5wzQOlU/qPA8onBGe9dZz7jJ0UQdixBYppWv0q
nJXY+UYhn2oMyySAjebKwkZ2RwlvscSv39z4YUDxaVFN9EsNzg1WbHOdB2CoMM2YV7yj0d422mZT
zJn5o5nn+ZAQxztXTsm8IeVBVdXgv9MhPW5Qddp9VhGJ4DD30CBKDqGqllGqkzPIUtBFoaofsdpG
m1gH7pu09HQlTeUugXBVG8p+MROo9hmX2GuByewiFaAnNv1Tiw0sBmHSlRSEhJ68L8Zhx8zqXGPE
1Yl3EPWGJDiUR+4lCz0GxYJdThOu7up6SYcAebea3tsHPgf+NbdccRdmnih3Zjemhxyq7UtLTp3R
VVplK3ZVBxZrARxhUY8OddxSXXC03DZ23Fq8k8mvD5s+7qUFPUhyX+A3RiKshPsE/ME9eQVyr4UF
lYtlwTgy8gf5bfZ0Xyvuwx10q6h9N/MCaKEGYwYSzII51EkWilgQS+BEL6Zz4srklgILsfLTiHQe
Ie74XHPso6WFjqS7MQhAQw4TZV8QXvrXWhLVl5JU5YRae+J+IIk4OwxNE9DVKwYz1l1oN/4ORRve
HxSx/iG4yJi68JnYMih9D3NZPEydXakdern7zvMtvxPRAzwIPKsJwFvbyRtBSJeGJlB+uCsT379J
XaI4k1nQEe+khUOQs0qb7cCpqcRBHyXbWmflTYL7+qEv7BiMmWffQwV0jspgyLvglyLOiWRGs7JF
A1lRdbG71aaOb+YhtW57FYttOsju2CV18ZHyCPOuRo79BLipO+YZeebImptd4ND2YtH1g5ZbzBxR
1VReIjWReSWi2tpRiBJfUZabHqEKo2cHnoe7RBmW9cComhOZL3JjzefXP/lZV9wGKjbvXG4siMyW
cJIDwrX/iG/BdJYaU8fHMFccUwo4fr5ZozErr+EeFxzSC8KSU2rVkPkce7WOjCrbXryO7TqTQXIA
s5DshrA8mYhp2I/Jr2BoRchMws7ajYFVwGnrhqXHB3fNIUduceCQFRjm8r7tUWPhBqF2y/CmT2V8
DSYSv6oTymtcntnGAp18aFTXX8WisHc+Sav3bG6y6773RqA5EQadwvNBfEy8h6SPjlHYZDSPpVi4
kXquqHcGpFt5elj7RfFutXm1zi1D7Ry3FM8GLjkR6OdU5DUO5hJ+IGa9pIFnY6RZ/4nZ5itta38t
WmPiJGvJJRgNCSmxOUgD14SnPXePn+PGNlzu5pEwbsHy+jsgg+U+NqKDGSsPTqIYzXWXG9ML4RiI
nRGYz1s7ch0HLrtRr5Vrr+iveABJOG4KjwINrN4vOYfjfV7jShZKvqdUJuWIirbvYKPQ2QoDDeNW
6p7IMQOfvrN6N70ee6OmyKfuTsq2r8iS/9BjvQNpTb93i5OFehq9LKbRop3DPlou5+lFlSDkLIQK
KXsbQvBHla9TyOQwAhd0W+CjGb0L3i5BqVjoyi22jZMeoH/qdBl5WGiZTGFSW1kB3b0LWQ31rlf5
WzHlxUHQdffq5HUbLoHQyut06votCS1sl5hSmrumy9V2boBILZQbcE5gtoxSEWfFxqa3Z8WgiwZm
bThfRRf3cs0W72Vrt+6Si9ZCmLketMQyXrfsA9JuK4byNjI4vJlUfJRVq2980Q03MiMZVZcI3j4s
+0UYYiPImfpVVXDDy0L+ib0pfXBas3GWUdgNxDCiYXyKouQz5HF/nT0A+EN3zXwGLlTbXHyrUXMn
BTPrqvMKZ6nGduRFoY+aBABvqdKaX424gXnu5+MhdVQ4MKDGlmsO3bR0QjVc+0Hmvbd2Fv1ASiEY
BlZ1HYSOINdn+Bvl1Oqx8jF1AhJGyPFBjSvsanUaxU9MFuptgcv828Gc8sIQtN7Y/kyqO8hx5UN6
i9VuKEMPV2etGCzVZW/ifXLLM3vAsNV51p8CD6iyzYHsSTJgPQC6HQ+NHcQrp2nMfV14cOVr3zvO
fUnNa2DLYM/kiNst9VUfduOZuyDu2pXjzch4BS6+VWF52yzxtnOXPU4im9FL5cr3BsZbjloxAliB
EIK2iteKJFDBNGlQX44LIoTGMi5So1jDdAF415SrohuKlSuMlbCnW8NpAFFXSAJZPXk72pyrN4/1
jBkbRwqvLZRcB6W5gUqEOX3mrpsqckQCaOwxjrh+FvQDXpOVpUdhiuxNnZf1CrV2SYmkfYp7fWXb
07dltYwne7YprCOc9j81CXl39qAA2xy1TiGBzk0ZD80VEkuyNWb0q3ZgVwFG2D90keoeJ1cDJpFj
vxms8WReCKY4PFrmAiKlMW9kKjSg4GYR0aXJrcONw1KWLB1nfOWL+qMES/quCEnh8DHTjZvEJbJM
5jzz++Zq6dJND22wlv6mTjJ37cWmsSulmxz8yPdv6569PNKARhPmKDc2XqIT06vo1rSs4FiYZXbs
aZck4lRn3plPKO4bap4I+ztmcVvGtvfFvZ5kbBeVN85oWydPM1XTKve+wiQKr4UOmT3R8X7vqKa5
8kCF0WjTlPLVsIrummUz3zf0Za3axv+IdR+CIeA+G7upPnWUN7+6btetS9xnQLjY6DkXOWl9XU9N
wckfdu2+KuKWwmuvnlg9ukuP+VhuYPnoHaYBsTc8f7pjTtMy5VL6wIQjWpVGWB6cMZuemLWWN2OR
vKDNRGczqrPXwQyanePXEnqsswXimdGSBCPKl8JaY8Gh3IwO7ZPyU3a6Gp2x5ty0Lk0WZx0KiWcg
856J4hIckkFx02gWPM6PtJpTT8iAPc+Y45c8wKp1j4HV1VQrx1ojh8k4uY1tigYLLTSx2Hn8gIJE
hgMX7CIKbL4zYhlGFfbx0ffjq8pHEOv6+Dm4zLnsQlwaSXHjqXg/x9mWOs8awTV/o32xP7OjksnC
aVWtTA+8DqbAlYnDnqRbhGBRDx9SDvohC+vikKph4rHu8XB6lnXwR50jcmRALYss2g10Iocmg8S6
ydO9n38OvRl+xkFNlAz0Z8ARFi/KkKuPyUiYDoGDbzFN5NnGHioDIx4uQkij1aacMaaBw3BvDC+g
5zHJ1HlAmIP8VdXvhAGbk86sfp/aJJhw8/gLrj4cJzDY7DqkmOuCHNRyjOVEDb1sOS+k+VtmhTMv
hQrZopyTDy5jNllZ6tLTyHAXfdg1j0RJhjuM9T78l9KxXmkKMH4UNCxtGmnWOwDGyGoyzKE7z2PB
pacLrLMCpYLaS0oxwNW17MMw2wT1RCKMUJ5A16Dta1m3vF+eD4RwKseBJ2tgMEjBH/2I+pqpF+I+
W0pF3pNpPdkUifeKA3/fhUccvPz7dbcc+3JehZJCNX8wDyDnzTU5z69mGHe0NzwEl5SmsHp5lmyJ
C1rOpl0b+PFmclWz752q2zN4Q1g0K8Tf3lLrEMbuk+HZ4bGaqujD4MyUg+QvKTpTXrjl7XFp1Ov9
a2fO6yOggOLVDyLN2cjz9pXJkVY7BqEQOmMMenlBuOxwR4yA+iwDM2ZZssQDYgq3ODG9RTJUJMYm
wjabSKXBBxl04aJyeTiW88j/Aehd+LA1qGuoOSKta4btp26Y8xd6tvENJUTGhe2Mb6JMCvaOrLTO
uZ5M1rJyvo0Noz9k3jzeGi0E1IU3ZMjHQILWUebP+5lJxV1YhOotniK5JfhSv9TsbyzxrbP3J7dY
i2ygR6+zTb1oOqocdGeZxFua6hbXA9QP1C31Zc5x/2CUYvAXbe+218KrxBox0KkWGdrJK/W+zdZv
7W9JJ8jBTZKIjMkknXOABLEcckdi2qQSWJmtTla14enr0Z/tg4ps8kzTVLxoL+Pkisf9jO5LDqnL
q1Okeu+UE7DIcXLM06pKyqFglme358zv6hsO12m9oDtgwuJks9Q0bKJ3GIdUuMATlO9rUQTbzJpB
/tWcYXEHZsWusEN3FXKLOdqxRSldXraPwjSo44OPgzaYxU9uSh1vpCInoGG1T/dDCTnTa4f5AEn9
4i+ch5d+dvqHkFPorbYHdpM5dZ4K4ASHsEfSwBXBXhQN8wkPQO0sMCTGR+Wm1nXZYltPoK4svIvn
FZcwbt6Zeks8oKkA18IclGBr5phvhbCyhuHBPD67KEbMWlJgaAu/c81mjSNDXxlza60d1DJCVdS2
bQjvEmIruTgnY1Q/9X4Dbrh2uRiAm1tMgV3dEOYMUCIz/wDiiUZF3VNpaNjFyWsmjlhp12YNYojs
XyzivivPTKluB5qxVa0108M4ZOJ1pu6CQwN+JjS3/MrIwAQWMvWRyrTbrP0mSs9pK2Le2uCtHpiA
JKmxnRlabcyJOzivg2ZFGvF6cB0iClhds8HIWoICzB6sgnfJgkG9UgbSiJObzaHKWo0lYO7EO+F0
nGfAyfGCZ0KQ5jOagvS8VUfm8gID5VVzvMXuei+jNL+WrscPa48YaEYXpfj/7fz3EgT6qLgjspt1
tG39EQxaUQT2V/+x/n0oe6u/1HT31eq8+7OY6/I3/9k//MvXPzPaZRR7AWv+7bHuWX9CpPpSavp5
rvvHl/3f2A0fI881Achwpfq5ON77zXM5VHuesC6otkul/B+5G0uAiLGBuWAxF3SSuYBl/pzpmr9d
Qjq4VRgV47QBB/PnL+D8b7Paf6mpjMFe4ApS3+FF1g9+4bF5rLHUROpmbQTea0QpVBtAaohjjdw3
cBPOGj1u4tA/1qXz8dNv6o8f5a8q3X8dJv/yrX+hCNrMFOi7bpt16GYalgVafZLOuzqL3ocGefzv
fzf78kp+nl1faHBMqZiHc5J0bfsXSk4a9SkbWDkBWMvcQ9xEMA5Sv16NgZ1t6BclnJmmW95pmppz
DTHd7/0li5W36oV+6asSw858EceyM2b1ay8dl47OPXzN0XPTRFSTY83m0ppeWU7Zrv/+T2/9Jz8+
5MDgQvrhWeGB+mX0bivkZkGgZU3HBUQuh04zrouEVprendZGN9PsW0/BCvrLeA51Ku/dyLuxx4tW
S7M81/vmJZsxm+KBfDXc8pg47tauQIn4qLN48/YQlNPFOPB37WJI0f/AD8RDsBVsNuhKU7OnTddk
77uMeKOcCbCRr9ALMehQeGYu00Suey+5c710F0/DO5o1a1myRpAHadAz65XZrZ9kdzWjQ7f5nJRL
6mRc/OCOM2/9SUyrzin860qhE6C+Zfsw0Jp2V1FuW2p4Vl7AixlL58lVlrO1aUB7EJl5ixuBQUrI
d3YIaLKVjdNbWnT+tgrTcYtiqa7wGJH4xiLnLwTphpVraXkzKbgXLryIneln8cajLWHloTkcXGOI
jkHAnZMe0fY89GRX56JFvm+r4AeEG4biWOJvAu/CHQrrGIe8ENj6onBNK7z9Duei/6p1Zx5664oo
+3CiVhh92AzadpM6WbWBJDUfSs23oByH3pgSvEN56SKX6aeMK7EnQU/W2Oa66QqLE00NWWZKDlGW
v16GZY0bPsY9W7HPW+O1k8KCyBdwoZe7oYjSVV60zbUVgDLT1QPJ0vL49x9ImwXorz5OEJdcVwgH
hrhvC/9XGHQYV1aDwmutdZ6XhJ28uSK63lBhvURIrbfEw50HKW3aVxM64JOIaemivhgfItlUx8B3
Hke7X87E6K8GZr5fY0mJvJOZ+bb1onYpwta8I/6RPbeN1tf+GJnfv7+E/86TPkz11//6H2+fhSxX
su2U/Oh+3p181wPHQMzTviwlXNMukL+/vcWt3j7V21/eys+/nN5Apf1l99Z/5fIv/5v/sXor3srf
/2gl9T/8Fv+2HfrOb2xbtgvv0vs9hMqD9YfEycbmw0wnPOk71J4F/74d2ibboXPJjPLpstmuWP3+
2A75o8uDyL/Hy7n8k/9aDNX5VeL02CFcmzisBQCB+9gv2wTnNWQmgt20nj3i1rgOH6xNvEmYyrG4
M29Kl9LbmO2d84hDi+bdOX1sG9JPxTP1gWALaa7CRogP+keInTNLdgl8Xm1s/EBte6ZnUVvsk+B9
ojoiqWPwBvJZDz9s2dH1ocTCnO8vyslgTzfAjTBzEsT4VhC+dpF46JkvfSYl8RgPxjv+zoHFUi8j
8Y1csMwUwxh6YywBywwfdWhap74oVxP8sDyZ6GPHXizY4kdapDyD+ESqNilByCWBBWKcP8qQ4W05
vJth+dh25m3RzMlKxj5eMmeq18Rglm750eU3Iug7/EtZt7DYhRzq9vKkWahpMfj2GWLQfZwDsnLo
pZ/sneEWhwzoA/mBIy1h6bKt6xtqurkZxgi1dBOR9jvnoCJoakkBQldfngZjUzbuq8lZmbdpDVl+
Tdx/kUashy3btTth3hlXqVArtI5rR3bnTjgnrIYfmS/O0HhSdCA8fbVlP41yeqy4EqBAEqCBAIUi
ZS0SASIecgn1SYk8x0XNrY/x2sIN5KnB4JiO/wDvbP0HvPjlc2f6JucQ8M4+THTW1J8SzllvtkDT
jHA9zsUjIke1dN32PPbeLhmIBdgmmpQvDugH27y+8YpxC4f/CoqYXk0mliTSW+hLUbgXMt9lhrmR
ethQcAIjJXLODt7acfTuHTJ6oOPwOznyqimvTO1uMc1fWdPGMoI1WC1ifvMtsdgdKIK1srhk8xYC
r/p2lXfnZa/MjIAhe9icig0NhJuYpKpS3aoZnFWVtkeE3ZU9VpQWGbt6Ns/KU5vecc+TGR6xdV+P
IDLCsdgWSfeQ1ui0ltjO7KvWD7pSF+msD42YT2bFSdOoCGz7/kjWl6cSFsEGbvQxKK/9Jt8akYLs
HbwXHYmF3NzFVJ7wWSJGnen5OI/dOqDCbqq9TUXEseAfJLMq24VhTQeWi2fbjk9p+WArda3Yw3GV
P5Tjjzn1xqvanlDmgS5gs8bLZyRwTlJnndTWFpkPagVOakuEADfVJ2NMMEfFdBNPOloE2H1XYefo
q2ZgRxPzj59W1//kWGxfzr0/H1QvTwmMMsckjG9SZXzJyf/0lMwVAxA1lNFaVNkXXerP1IZzBbd+
NCphv8Ts66s7ZrKnmYg6uP99OowXlXNhoSZsusY/Zl6YrpCb9qBpbhK7YO3q7jgf4ELosnMK9Lr2
yn/wdCMp/fJzC1Zunm8WcDYYywx+QVy3zPxqLvzRuvGVvwA/yWmFH9irlqNmbsHgl1NjEmwhXKyw
x+6MgkWqsfSb7W/Gutw2SY6l2iA6pZoB5ofv88zGNhRvuUNHIqsvGEHL/p6Fdevk41mm+r42rMfZ
QS5Q9id4vPuCWA/DChKDieo4ahCSUKKr1kjDLI29/W3qhMtG1xlHpxiY7c8Q2vJ6uEv6/jwE+qoW
DGykKK9pSEtR4MMfjT9bCyfrH4SV39DSNS+0V3+DNknWnlM/wP35Jp2TLwMpvoWR37cifSlm5Mm+
zTee9V3ncpswCQ9LfoK42TPdXcwc1kCBPZGH2joB6puv3ofE2E8SFa0Y1q2F8ZMIM2Y0ydC4BF0+
yGTnRuMaLeXaNOSZTDleedMG4RHuDAtuU6IRIBEOGpMhIpWdc9Y8xnK80TZjw1534DU7uN7NsonN
ndeU915CgBPjddmlH5FZ39NactA27DJs/Sr1ViINznFp7rHmnQkYrOw8AEJANaouxEqb4Tq0QuYM
3iZOzA1v/dG08vVAKFGM8jkfm13vazgC0KWma7M6dtG8bidvA7JtmdPKZrUv6XwfCYIDMqAf6yrk
zI8U+6z4FW4nn8R9GsHdKwtcnPTBDijXyum+aWlbjp04a6RCAE2vTTGjKbdpubPt3FzOJLkXqfC7
57TwbyucFNDgG+B6A17Vuj/jsfxocnpJDIZ0QbGPjPDZJVaNIP0ZxMYGNGqJSzY6YlDkK/rq3DXZ
DvzVJq3qe+a2d2RSrlx7GlYzFJwGUWdpwGGM6AZjEkUMbVhFcVuyM70AtN/hJ98R4AixYkgMrx1z
nKR8iVvvOCrnKe8CKufEizc3D2OhuzVP9b6J/G8QQ1eRThgutkwBcyu+mmAuLXSHgUaBwVh77nyE
c76A9HZTNBwvfGW+ue3MQH5QdxW5xqzBrJPp7oU4CwwD0D1LGU5n5XaPuEcPvQ9l3DHl2sj2me09
AQIpl51FEVWSPpCGfdG2vjLH8Z3mWZoaynxl5c7OGMbVaJrnApRz5kVPiGuLQGVL5YZ3QhvXcfbK
DG9RBXoZgjJre3nrACeceNrdtP6eSVVM/MbGMbwfp4sYJbdVN++V1dxB+u4z5t6zSYAE/7s9biwd
fqSI2ohZPWYh7y4KvwqfLSNcu8ZJBacaYcm5KfUdMulZGQVoBkh/DgRz+Ktp8AhKe5lx6qjmblkK
Bw1zXNnpVyanbTkE66x98cOHgW5I2GcLJ2foTp+g/arjez8utiK4ZDBvL+BPQg93eJ54XAycZ3ej
LetFMh9N0spMj4maTTsp3L3yNx6z5Ox34uil7/fGGj4QT5nZOy8daFsx8bnO7JcgPOPZgRZ0a17Q
VqyVz0wRMsrFCAnJ94GrYqG/x7RaFnX4PjpOvgn79t2oxU6qeJdJ67Mf0m6pwwTHN7T/CegEguqw
sid8s2EV7FMMXgujx/ocxMUTKdd4jdXc/TRwlGK/CvD1+MGGxPMVZNaHJCakN6fWQ5gZr9U0PVfZ
/DBjKZrJ/SzRfiWhFsfdx12GgTSn+9YXpV71Q/lR6XkbzP6uM9oF+D1FJonjFECle7wNdPmZ9XoA
yEh1ylsHzlPj9BJDhFHpUjou/Pei7w/hkHwFk36AMws2JbXx6U2kzFuOJvBK6ZrwMQPZcFrTvnvI
nZmjHSP72T1WtfPNtXGZWtu4EwcMWiurUtc0kLP6utdJ450m+CswTu0VObd4o1zsB+6Av2RoQgl0
l3xc64bdOs8Iif7PZI7s3Ncc02ovPGeo2gtOYA/SLF4AHOHfqbA3xG105yTWgd+NXEdAzIndAJap
fEJUPqQZctIB36QQ9/9Vl9b/L8enockp4W/fLc+6TN/ef7452uL3L/njrih+A2jNiNR2uK9iC8XZ
+sdd0fmNWRg2cDB0/uU+yCHqj9GpY/+G8uiDKsKAxRyFC96fV8WQeavNycTDSSvoc7H/pcnp7wea
nw9qTG4FF2g7tDHeMuH95Th/ycMDN7XLrdZ9u1NWpt9KKWp6sJ3oDFymvRoac1rlmL4J5PI4eEUZ
79UYpFehWfL0e17wFJST9xkqk1y563NNtNjUKCQbkRLKZD27iPvK86KDW5Ctj8f5TWiX9JxcOdqe
2GiLKwQ46rvDgNLtilCYCuXJmUCA97N8siv3Ewf7EmsAtzCOaFsbytqlRxwKSVMz5UWzkuw5vvWY
e9IIFg3dJwdndstrWI/zDSfk4gNkJHXNVEm8TxIvI99vuGFwbGxs4LGXMzAYVNukUFwZ1Gq7Ewx+
FUbZDw9S9Cqe+a4ROUlWKXlJunGT2btNFT+7RTvsjbJyVj6q5Yp9/raWWUUSnnNIak3FflABxxcj
CLZV4o1E5dqK+uWsGvU5IdqwMzJRXlXxoO+mosXHJUobcF2X2o8TUfVYjQgfqROf2sQdFjYFZVuj
8M+2W/aPXWjGX00u1YsUg3tbmIRAOHmHZxlg3BlVVa8LEcl76jjsfWhPTyDYmnPiSYshVePtNb9r
rmaRxAYRlE9DNJpbEtHOYsRViRmLDbHB2zM0tTwlSZAgS0k63BZ4Q/t75orFid33i+7N4P+wdya7
dSNrl32XmvOCwSZIDqoGhzy9dNRbkieELNlksO+7p69FZRZu2n9eJ36gJgXU5DYJp08f8TV7rw0j
aIWf9rJ+kShKfCJfq3e5hD/mZHaXwPGm55jcdsQwp7430q2qBAJAF1WqIm/5NnFG78WSU3VFqK51
NvMG9yQF94eV6rAZ01VYjb+NQ5Cl8KVYqnUYTPrVO3vAel9xMxzbKWbtFDfjKdet8DLCWTgwM8Qc
KVwYKIVmXAPD/R42Z2G8mAmPDI/ae2ixW5wyG0kKCm7HZpfVV1viI6MIB0VVLCh68/wW70t68eKF
hD9tmZ8MULZ45XB3RVZZPxMRPl8ySKVBpA/61WzUQxDVeeMjkhmDXvABkV1reNf5iHsJB0bVHvQ4
RFFRMIPINPmjpzK9dD1e8NqovZ3s6smH8TsdO7quC/GIT/CkahZkdrcj28vdMS111jtuQLqDBELG
Gmk4LYIR3yZpnIs4Etuk4ZqqlxmHR6FpgBeBBGoz/bnsSx0dj+J2g/l4nUs2rkbdO/sM6g9mXuem
mJp9bkIZd9ylug7d0ArsxPXZIFMnTNWe/fGmIlqlQW1E9gXOMKP8BtV1L6xMnelhUFj1enpXTQSe
V6sRL4VibYnU2kkcdnsjVMWZztF9TdXEvRPpxXAnVD3eSwjtlsy/FQQT20t71RbOe0K6Mhd46h4q
rbF2DZnhHD7r35g3rumPYkT5ttyPrXXvCvQGebb2+XU4P0SeYpU44gkMSYJBiAQ/wEbdohAUyc4o
fNFLUpBl1T/H5YhZS6SkraZSvwGs3PnlXIgz+rXuVLamxS69cr53BP/sZCnN66Y3+TExKNmGwIMe
oMjzrk4WKKPZm/x2WAPY0XHt+B4XW1fMTAro1KbnKA/do+nQejH2aXesfMrT5GhqtRS1+6FMYEeW
Nn4fCNHy2C6QgcM+XFi+U74Dh1+bwwgNcjhP6/Qi3MwpTCobkA+C07jbp16dbbWQ9W01MzYxettd
w97MbxVJQjV/upyvumbFh6OThnZQhs9zAeENtw5YA28cTlArixOaa5fBn1d8wzrWndkJ6L6Ljvye
Hzk1t4px+7N4kIp4lNF8kqp0wI3NWbVFNd4zIrdiPGVAolyiz11zlwwJ4zGMhR+TR/sw1vWWcc2e
roOk87Q9ZFbpBFwY9stQaHd9S/yr4pWHiR+DcfKbYbYxqrk0pmDqlm2OnB0jfdftShjYQdhkHgw6
w7a3ZoO6sfV6fv8dFP5WQRjrClu/bZ1sm+p9tokjjzw2IJUJS8E+sXu/N2PASaZ1ThZCYzGOPBTL
MJ0xCaDusAure8DmDfe7Hz9S10whnUYiCMPhGtnTXWJKMnQTDd6lS+C3gtu968gH25t9WO1NmxPc
FghvJ9ymGEbZq2A1vYsH5ymRVechRTIlzIBqfkFsvFbpYZ7Yh0GGUEWwS/t6pwdtFjZ4sEk9WPRw
/qrYFd0zkBzO/O1+5g6HcIheu5RTP1OPpulcyMXelmDs/TyL8m27ssvtjMluPLUxAm09OU1lah2d
RILj55U/2+jdX1dnTKBqNz1ySxyKLqyYg2rNfq770PbFAG4WaFZRvRDMG51rOXc3Tj5X51Jzuu+5
Z+HoAqbFNTizzkrzYteyGg6cpfXuWwk1BoPiVuo9XdlwCZP83I/JchF5xAw4Nrhms8IPgdxQLteq
1HEgcqiSanyi+V0jglumr7Ofs3TZGHGH3TUxQfKx8RSYaLo6oW3CvpgGYumOAEs20+RWV4blktiQ
Jd9xyHv2ThYp72LWGs0DU9/6qnK/wy4ie92Zw0s9wXAYQ9s42zhci/2APF0GKC27t4Vr6Huy6G4A
azbDlR9XyPUkVg6U/MPyiDsCM57umVqAmzQ30Mmo+m4e9C5gutdca3MLAqhbfd+gavQvHD0J8a7h
tG/rol2n5eNeNwoRLC7C3B4PvU+4s3zQ0ng65u680Mkh+4kDM24fK4bkU1u7Ny7im4raXiNQA+Nx
VVKiRHr1Paum6bHKnQzwvSN3vZVxe5tm7t25VvllcobbsiA1uSjiS6eaHep2aD5m/wJd+qlhUbgx
i9S8Y4OPjs1j4cy1510XIQYOLAGZ85KQ1s6UxzhGdvqexNYeNAyJC4DGlHMYu7EPxtFip7ZYeZTz
yyrhPg0cGIQDlIkNIRHXBUL0W0i196kev3OhfRmb4aO1rf2KSbiAfQDaiofLl0nFdxdUHPcuVVjI
yKqQDnPzZb6uWkv3WUdYgTlb9SW0411mhxFWoclpAy+2ejjkTLucqiYWQmuTKkhs3Xzk+HWv5qWl
ae0GDYGY6UHlE1SdVsxQN1Vn7K1aoIYRtPzS6ndUcfNDmWSEKw2jfSvwooB++7AiCth8svpzzweN
+qiHW96WJy0utU1ro6G0WwO5KyzBU8iCJGBnMx1MbdB94FVvyQx2d66z7Gp0Z67osJbMmkoW4q2c
gnKJ7auWHpMgDKs+uc4A5xgi1okFzznXpvq1xzq9MkAZaw0qRpdEoAyCog4nbu1WN14oQKwn5duq
gqatbmhhuX0wa8ljrSks+XX3UsvmrR6YBysD3/Cc13vZQVfBm6I92+TTvxT5qG0VENCnwmoCuNrM
a+xZ9T752dp3TMj5lopS3rGriPwJd5y9gW6APLtOMyKN6wOtBVl8Yyd5U/PoCnBgdeu4XFJRmQVm
V/TPZM8S1aPc5rVUhJ2kDPZcZp61xsGzYtbGFEhNWDd8d9hfQX4IfcSC2g7hEyJGZrn7aujDpwLQ
L5MIww1qBL/3ZlOZF2CQ1ZEajMGHkRXPTdTAtchHzNi2Pd8bWq5j9eqyjzIXJMEzNP3hVVW4n8bK
8t2aCrqC+X9lCGuVrWlF/oYPGTDlwAR+I0bXOJf6rB6iiCoP02CtvsBg5cpA5B8YfRhdRKbr+8jM
9YsAxxDgmDexn7ftMVxywda+iL4WFsNZ4KYGyq0x/7Dq3rtACbG/zEKg2OtGyTCob1+9to7u0zrJ
HkqSQ06j64LMSoQaeOtJsGF2rbb8YthOtevlWsR3bWLtlsaGd46K+Esfs0DQ2mm8OIBWfTnWxcVq
IWrkTMW3Sxh+H4uxwXtcxXJXZDOl22SGOxQX7qtgzneGoWzej4tst1Mn6nPUJpL6U9qHubPtr7Ss
9XbJI+971YVG4NEAHuPZLW9kpNRlELE62FZHQW4VKMBMT+fWsLwd4ncX+Zi6TbWx2MIlQT6rPIGl
RNikGpAqYSzNTa7HzMImm5xQp8tP7pIiVKkM79ghmLmyxyb9wQutGWNUzhlSFvKOrMOkNWbzDztc
3rscO6ILjxePBJJ+0UwCDaxYo40jzs+sCM9hHF2GNKVyFN61Uc1pQGjV4CMBUc9KS+YAFedr6Q4L
4+LEua56xND2kuwKHZdoabTjeW3ygdwUqFmrPSxFMoI6b96GTewFaLqTL3FskFPkTGCNYn5zuLck
uFImnEHfN+LKogTza8MoniIK+JBebvgS4Yhl9qs/MEkKd1a4c8dwj5AwPYX5cJeM+Mgioo3CmZJc
13daJOZV484ShdHjxpwnfFztN76eRDFNeXJBAEpc9dywWmPNQs8t2awtyH2QTBdMuU2+qFkIWbtJ
5A18ilfsLJeI83Ob6Ya+1gZqV9ZsPIdKM7b0eeHBhaEQpJZq7gb2BGj7W6bmrbdsMTjmB26K5CQG
ABD1kLs3/TJb+xbKAkGv0fXAshxXaKNHJzX1giUsOo0ATxlEY1GuZPHFM9iBUTxZrm+hyN7ADyWs
qqy01KfwPcTlVeq6LM2iYbxCNQL41tWm4aG1k+I1Dw1+PMy4wvcmLBZtNbZhTtXjetJZTCR3eSO0
+8myWeMcG2uA39TFUN0XPnjwiGlxSbpEsFQumkulZbS5ccMTT1JMc0DwWIiAeXvpzSX8Yoje2taI
m3k5CvzHJi+m+QjZkWUcUvU91AN53xRTepo72R/tubTvTby1+34wmnfZEIISgKVQr2Xpde8TWVbY
jSp+jAOHJ2+Ndw4JdjwCfHQPnrEK2KWV+gqnXMBfYL3QS49fhl7lD109WpfUMco9utSSdbje3Jh8
pndGbvBkYAZ8iYzxe5UlxpZOSJ1ifRA3s+B/wULwfLZmA3MDG35GS2DYDbct1gALLgjVBxkSs3al
JTr0T3jGxLVBJkZ+q22yTIAVMeDOUqaD0rnolec84PbRkF8bIwV3mV9jqtsazQKLN7I5sYYINfRM
zoLXgK3yuvJxkulbU43Xy4xZFnPgRwr6/ujUzXU+NKavzxM5Meb03NL8uPyGHVPM17Amv5bAvE4w
OeK7/1vDyr9KPf/X/0PBgibDQ/ax/3mi+aBSGCt/nWj++a/8KQZ1/+VhgGVayKIUiYvDdPKPiabr
wmDXJcoTEms///mf80zD/RdIYzjNyJGFvUpI/z3QdECwe7T6JsD0PwSk/w0pqFglhP+eZ5J8bpk8
KwPaO6NW17KRBf118RyasV6MhQEzZ4i109KM8L9LdW2FRoXRA8F7TMJpYMX4L8cqmp7UmEanQtA7
1zoMauG15MgZg0tN29Lh0fHfo2CfjiUpWNf5uuP/yzv7N5vydb76u+e7LqT/sii3tVl2yp0xsaps
PMwWI78KpgK7z5CqEVsA8yCQdbke/kG6+I/Ruean2vJ3D/2LdpWJZ15RIbHyiVq1QYmQXFIOth1k
7HKb9FoZLF5G/SGalcZj30xDM3FZeXngOeSyoMFvsHYWNqBxdPwQQBjeQrpn1IzgseLdk+Z0k5lh
dB12GAyVU2IvaAr9QMjVfTWQ5pippzTRgf1Ag0EcWNHHvqRKmxf2QGN9W8Y5Z1iX9w8Dt8RV2qLi
SbNJbbPKyE+4Y8pru8cc2+C0eY37kepaq8orhYljOxP5sWuqbqsX7/MQ60cEfnutSzTitmPGc6PQ
n6yxnI44Csd9ZmaomrDa7BL4h0njtSxjS6N/qZSt72P25DukgQgColptm9gu4eQmT7YMb8gBuoOh
2BzbMRgz7cVqC+/cAdc7zYn33C6GtocOdm7AheKsIqAyWaLrPMezUTHKCdw5QR7Sq705QsgZXOet
y7mfaTEw8HrJiTpN2xjDfDPpsb1roRJueyzSvhab3akaJjDchDQGYaYuZbhAlGn0QxOVcMunU7iQ
bxU1GPvonwzoQti3T1KE9iYy9XqHgnhCw5C3O7UYw54hChl2Y1VvuLfAXs16ueWFxRi3iCewG6l/
HaMm2spohJZgC1aFCG7vxt4zT/xqNkrrz+HsITB2DaaS8fSI+xaWb46ibMotnQl7v8OkWzH61IBQ
T+OWFaDHqJ/PJC6JxfJ6nICY0rMr+jYkwomAji/Do1tIfd9Byz1aJBVgvCzjbc3MjhQmaftej5dt
mMzlkYboxPpwq5XD4A9xflzMxgwywLlA/vg2TzYAu7HCGoI7n2Y4hVMwsvVnLNhB8B3yb3DeH7vV
1wKMZl9zx3ux+4i8JWgloAIj4720R8veyHQ4SBMfd1qbjl842B4yw4UG21cUVCiZBs8+YFx2NrkV
7qX9pShaZunEFK5OPnoeLNkB0DL4mlmCGrim4XPcZA89+l4Uun7WInhiePdHkl5G4lqqzjnPZZU+
wCXWgtlx6E+sh3VKGKTuhKVujnWW5MlFuhOr6ZhWAiB353egmwMgmHttbPa2QdVmyei+N5jPMu5h
UJseoTDfK5c+mDzDx25SZ7tSftfFl6EWFS06vE5n2E7tlyUDK1FDBXT0/j6OK/fJqFO1E2yxC71/
S5VBSxGhUkohGeTFY6uBDpy8XR3n77ooth0rAqRhYqDCbWOfgeoF7xTxGAvw9aQGheqdtEbcTE50
SsLCYC5da8YmxIO2I8WxWB09ZftN4DbgfS/0hwmQXIuC+h4xVbQL1ajz2x6m9wH1NAlGjSQ6cjK9
tzhT/H9e1nGCIMtHBSHaR65rbsK6AtAIdgFt4epTrc3i0FTw+Y3UIC+jJ6y6we9454YGowu4iyzN
6/6QaRFWf85Fil6CaBAIr/yj8TzrOAwbz+Ww6JiEmZGm78dYMNpEKYKwsHD0K+AX+tGr+1X9hHt5
ZNN/UKUBM3xM+IMQGtl50fLiBNevZB3e4ME7NQapl7ZMH+ci6U7AqrkfUgvAHPF0TeWQbwAbbtMY
SPY1o2ouRo1wQXeZFXUA8UA+I4Unh2pBYNKqY7SWwInW6HvotWrr6MxlvLK1X4j4wje7cN4llp8v
bnJAXZAEhiOXQzNiWNJE+cOJVr6G6va2JNRZo2E6tJ56NZnMby0V3jmKLDoRh9oOBzjojgG23agl
4phXSXGhR7v//QVqorX99QZ18Z5Ypo3hQGdj+vMNCnVlTHDz00sPOTId3TI0TA2AY9yVnKI1DmOc
WqQPoPe6Qwqp7RKuv64YJCWz/bA+e2OHML0t2VwlzR1qfw/Ja8PJF4miuNjOQgAoZHN29ll0wE2K
RGea2m3DRCxoCdtoat09UN7/YCpFrDYCez9v8jueh7YFKfj2+9f7s7b3s8D56eX+4qFIrCzD8WCL
AzmZ4X3bTCSt0m4EjAAX//cPtYbV/FIguLC3ABDxHxar0Z/fWTEy2gG8Iw6qd350DrTX2ba+IvUq
gsauXn7/YCsW6reP9otkUFP0s1OJZsJWw+3S2+azSaoGwsDoQyi6rlqm3W0fZ/HJ7YwFmQbsQyOt
CH6VUXftJf0h4ZPE79vtM1lPu6TtUYKF/OCjCfeGUnyEqT3q6AeRhSGdLG4xwxXkTKzS5EnwtzFd
2rSmdjWtF3W9XtkWd/fvX+fffX6ubdiCzsSh6P1FYSjIvhJ448QBi/BdqeBT5wlqPBXb//BAYv2b
fv34/vpIv5TCaTcVsW5E5mGIehvZnfddLEC/aeNLiMDymzQYsk02MmJvrRQqZyyD37/W9SP75RlQ
8QuJu8J1+Q6tP92/FLdwtHFico8cZA05OZU4+nKTnIvck9qtGjSI7n2Npfj3j/p3L/ynh/2lpja6
ksOtZHKrWUSw4ov8cFLBzdyE+J4bXTsV83QJ2UreZmuV44xd+g8v/G+fAh8y0VXC9Vz2RT+/8kwX
U1vlShxMRWRCy5Wo7PYawl7oh51Ns4ymirUc9aYpv3Lq17vfvwd/89MlfuTfj//LKdGPhC+JIrIO
XdZ/NVs1XboiNE95LfkRa9E/GGnWTuHXz1m6OrFJOsFb/PfPrzYeldZ0JVx62ySUT4wpfvYWcvrv
X9Pf/HJ4P//9KL+8ptZEdJHZpbXy2sQGcplgPmFtOybS//Dx/d0jrS9FN0AF2cZ/OfggyhTLIvXD
EqK3HF3xnEnvyO/2H17R335N/vpAv5x59B99hwvN4tfJalmN3U1iONbeI10JMEdvPhA6jiU2Wstj
qL20AlVX/YPo+W9aZgs5P2ZCVycJjd79508vjKexdlRoHnonqQ4LW5jHyrDEkSRi81ARJlZWXhpE
AztnNcyUb9DKfKTtUK1z7U0jlxxIBDTdtboozmmUP8vGZEGmjC9IEMp/aJjN//pls1Bm2LD7EJfr
fMd/froasZxELjU8taiHaARGVcQ6+ssF2azUluvJk9MW9cGhb2P0lyMSR5pQbaemlPLdLjJgvlwd
zVAcKVPDbcLCIQehs2mR3OPlq39UZIse9TqnhGMjLNDMgEQm02mYid2tNGwu1VJSW1UhkvrsO8QA
sZnHOvd1OVhXbdv+UeL8f5PXP5i8AKAYHGz/eVB1/Ra/NW8t7keKqD/M0MeP//k//vz3/pxW6f/y
+F7rOqWTy/fc5ev9p/7O+Je0WQyDonQlVq5Vmfd/5lXGv3SDf4CPCgMz4jz+pT8FeML+F9UmPErK
29Uj7Vr/HQGeYDb10+HJ3225lsWSwjRdqQssNT9/n41+dqfO0Kbt3FUGfSUD1GAaWhYDS2z9iFaM
ut+B7yD10xsWpLzRUEOLiXRx9jRkI1uXXSa6bIDCL/lsed5l6PX1TxSt8W7WJBYGaoEOMVk60nMM
omKTOWC50XonWXVnkyD6zEWpogd9ZiJyVxtF1gJlVl3ql1YxkpBQSGYMuEybJkhiEsk3HREhKcaj
NiSsOcdqu/EMWArQa+BUoHopoltSXcUPkZTWNpnQPvl12nvHmkyveyONNQP0yTIQkRXTT4OIFXV6
MzL3vdLrLIcek+ktLwAxV9dxIVBulkN4CXNo1nh6lZ7eu6nxwtZ9Zr+pwZWnf4YY4Y8hUSaTihFc
LRN8BjYqJh1r4bZxDn0bon9ApA4bsjpK4kcgl7ncYQqKmc0YDevzEexacsNNA6dKwdCTNTQ7TTdn
qLqtO2QHzY3G9NRMFWEGcF843dYcyGoztx7xEhMzlDujE+nsV/pqDLZtjokE+QGzRuOGpJTySjRu
fMcCqHpthfZuNx3xwO2Uln0AE97eQohm9lT2kuEDWqpn/ja54+xtbkObvLUji8WRRWSRLe5O6pF1
n86Qxa/XxEDa76y3vM1ENhfROPOCIAV2Cz7kkJHpcm11DnlJkSMqCXULVeahwWPzDF1p7Pd9FaFm
CRvgMECgVGsE7mjYt8U0idFXbtgWV65O5gmImQzBcznA3bM7D31dO5NSedSJOqzO6ZSjGXfZVg4s
6ce1U3K7deldGuU2gkPVBR2Yu5kqO1bhjlzvITvqc9nOW5RGhiCWo5IIxaJqemzjWAN0OpnWN/ws
9VMerwLOqGk+yjYU04lvHR4nPQ/nZjs0HU46W5TeJm70/hhla1phvTgLMm7NHXJSF0J5gpqKCsoT
/UREe08UFZaWFrWKZ/CJzczNTmypUXWoqkmRSAFqbJRzS5qYfGpbQij9Lqy1Y9QLepBxdMg9EXlF
TkUi7rU+br8uDDTOnp0ehtKA+wyDyDUeVuxJjP6EoIlHJl6O3Ag0V7Xf69X8oAqTANw4X64HG0Sk
T5BvLG6aPsIegD7HGLf4XqrhsOhRTo/jNd1hIvykDvRkyF/J56hvAACg6Wu8CthRqHsko2u2aT3W
c1xZGx1sEiWw5prdlnRx+4q8iNhm7IdaZJNQCYpzb3ImbNoot66biiVWQJzMDLMzydVXFPjGtMUa
wLddRDSYokJrG5SIAZjz6eEXbcnC/eIM4GSnsvjIKq0HzxgrJjbW9Ey+Ye7XcJydvaib/JW8RX43
FdPVm6gkf9uyclTFejY8tpFMADuiHtsgbZpOyrLM28ZbMTyWZyaHfigRqzDZzTeJPhj5odZr6wm0
SHtu5zH6aqdG7G2XrmPNlU7KQQVhYn7aewySd0TPxN+mSlu35THTSSRUgnkeLPRHJXWTsZBD5LiV
FWg2YkISN1YIMfKjsuPmZGI/g4E3ucuXHrDVO1vbwdsNmTlF+5gbpwry1IlwQIwg/IdovMR1qR1D
uBhsKtE3jA/VqACrkZy6umWzgkSvhqAKcZJGWJ0GWWX9Hg+JIG9gATYZIMWSqb/A9NJ9W6/b5yGZ
EWQONG2eo7SvIgqd4slNWsIRx4kfCnAZVocYf+wVJ8ed9p5rs7nJOPT3djPy9YyfF6Xp37oeHhHT
04Q5TdrsvD6Gos6ElaytPMcUCYBM961I1QdprTyjFlEMxz4l6KmeZ48Mrqk3LV9Y1bIdLPQV+Roz
TZQ976gEmgPQxRZq3GZrVrXeh8RW97pBhDWLIUs7W4uRvMkhLIdDpPQ+vbbWVGwXgTM5YIKsbGJR
dAnesOlv8bxFj8LlmAuGaBId54XysETYpGZtvD8iuSNvfPJmbDqcVwJQcss7r1Y8jrzDtqUZDMUK
NJ/qMwKcJSNPxFiTwVUNkNfnbGDUFlcK+RtYY904KnfNGfdyJZlnWuhKhKMIIoffeuDLvGjHvhDR
cZpK5qMD9UF7MDTVhLuutr1DkSXqQ05e/Vwg8b3Thg6b1FSr5R0QesZ4yaFb437o3TLgIVBBDGu4
uvjMWW9tmPMbhRYXbZtcDGvjuuubUBhYMMY0T27bdJkpEBrTfHPrhYvOXXPe5zXxvdSrkdTZdAJ8
aq3h8DQPJppCnD+XSZbq3lyj5Mc1VD6dI8/cgbld7pNcZ2ceuX07XKe0/4/E65BQP36m1UdpU1eH
CU3Yd2e05gO6d3EJR9Ye66qH0PsSpB17gjFaysAd2MoIQk/DG2tOiOWy+qTybimVB9xpoxNfa2bj
vco1yTUxtDO0TMaxaDju+zXvFV0ka7dwTYE1OeQwna3JsIrmghyib8maGqsqzkxDb4mStRvgXn5k
LO5zp8iabStml/GaP5tqaxRtWQ/pUZ/GlF6EC0Bfg2tnYHtwYPoEwFyTJ/6A6+leqwvnJGpHN/bD
GoObr4G4WcYyphIRnj3Ew9A9P7NzSdEzaHfsFNlUuKBEXHD0IjKS99Zn9m68xvDKNZAXyMhymHK9
9zjjFCL+ajSFn/Gk90lUjogLBOG+XRyNZ+0z8VeXI/Q/ZsPOFg65w8idcGDcmdGHNcr4NW7nR+0z
Q9j4zBN2BnjKaqqsIP/MG5YOU0c8qSanJGmABpaEAqJSra1JxaLIDO00kF8sLIKMjTXS2DIWZGC4
rh4zSS6SLViDXjBTDj/Y8pKIHDkp6ciyi0lKjpOR1GTbWFKfcLeKKPvPXOXSSqdvkUHYMvI+NXwp
w7GARFaK8qNGO9LcjQiZnK0BGAez9Gd6MzIbIoijyOtn1DYEPJvRmvXsAX4ajuFnBrRGOYcK+DMb
uijM4YGRKonRKtXyh3WUYR7Lz0xps6nvh7ZKy5Pd1AN5gd44382OWei+ucTXgv3FQdkz5up4arp9
8xlc/Zlh7VgxedZrnAbSRld2t2ppYmSVkXsqEk0dQm80b5iCopLEDFhuuwnIQFjC2SOlGn9ISg3y
0Vh0w3bhxNveGQ1Id6TEcPC6XzTUxAz4Z2KsWFdlsnibP1O7OWi9x1kl1kc/1IhTI6spbnp0XF/6
KSM/+TP/20zn7Ko1SrSaWR2JZ4OJLD7GRru0nR3tvWyIoNB+hh3Yn8EHOmuNzTRXVe2baWW9c0Fm
AVcWcQmaq5nPXdi+GU0d4jAdMkIVIsakP4jTxanwGbpAMhEBDHbYU3CgAiy+1FEfPY6fYQ2uxOOz
OqQfxvozzaFakx2IN6t97zPuAX5esbHWDAhBGMRETf4mpkX6PUERyZoYocEGxUrIts071eYaKqEv
a8BE+hk2gdKKNZX6DKHwPgMptM9wChbGBFUQU5HDW+cuiX12RoRZqJpci9apzencr2kX7WfwhTIi
A1fMGodhWFzl8ZxW983cRvd895fDMiyYA1MiyvugWPoeP4yyfFb71VmHbbczNKoCRRQHcBhCOSpy
d6kb3QT2e9LO8XOOwB3uHm44gkzZkVMxmLq4rsy6v7WwjmoEgW2mvldb+PZI6HOv3Jq6bP2hHb6m
/ajqXQ+cDqVi5gCvgxtooyz2unsm6ss+Mgz1Uk22eyzwWaS+iSK5PCjN02SQ5hYrGV3G5JZbg6a9
xoiFtBMxUigUeshCT6C/AWGyoREma4ahfNcz15mQDw7xJbLW5gzUc1pye3sYh2CSZ7uSdBw+Qnt5
NVU8fjV4FjJIxhgLgMv7jRzCJBbRMpvpa21EHaGTGDVu0JPqjxS4nLAJhBsi4RrYPWY5fc/DemZt
5mQYXsNFHQYwydc0DW54YmNsfMNizN5V0M4EFBmL48eLh1dmSYkHxrsZImoooFtBKA6R8deq8sHy
YX92UjNNtvyYoeyMSzp84+crr9o063CpCp3bfUBSfAiJ8mOpHWe7Ua8dE1WSnd8YOsXQNqx1JU4t
bFa5oyPWIUqj3KOror2RPk3usgfUZXy1Oy4wf+l6+leygSzwhn0G5zGUnpyfmrAVCCU7k5ws1Rbx
x1A39nGIe/GaQ/gJ2hjlQ1pxzONvBqlio+HANYJDvykYJee2i6sdNnNd+PPUk9JLTHn71dLY5kWA
qvZYYGIAiqvMO5rh1u7g2sm7hRFqe6pLI0Tt74USF09UyK2bT8iq+hGw14bNJnUNwbjTjVu5HtHr
nfI+FMPwBzKJnuI14h4OocShhdiKr+7i7ExHEZ6c6u5pbtHXuRCkjhVBSbeMtfSgaqRsttzNWbZF
0tveNyE6abPpnTVCU7XvSRfLbucZXtdgpyjWVOu4+6i6ZbiZyJND0Y9/BY5lGUVc0kSLv1kdO5aM
z+GHlVrL/RBzwVONyisLI/hdUkV4aOMQ6suwnCOw/zigbIh6RNIOh9SS7y2BVrepXKeNRjHiO6FL
Mmp93yYZFe8gzedliT/4uk28xyQu9VJ9ZIPCARaaeZAprOh5QoU8CXmx8HCdcrvlCQ1ldUsAAhdo
10RfqSly8IZqlg9W+saU0d5iW1tT0AozUDMBkcIq7WMKe/EBaqm+b1ZnBwcnXoDW3AtVONCQNXEI
CTo4mlV6WAoQthvZpwn+gKrYJXjYHvAlzOTuuvo3r7GKsxyM8a1vqhAPb5rnO6+b9emQpaWMthyS
4/sCGheaaipqvw1tF4pKTdHFvjzJ/GHU6jc7le68XdinXDEeBl82UdOnoDj2SVKNB+y7tPtDlYKB
MOeLRBmNvAQN7NU4DVSF7tgt3+ekBaKTUkH6tpW7j7MtJaa1KvHlOk+PJ3SOYwUO16CS/55peMGa
jkRFLpMX6DI9mkSU+9et5BDtZFIm0Kxxd+5z6DaHTszIGNx0X3RMX4WJN2+T4nJ5otwFop8BqfOn
z55jqqKgbu30h2vGHgITMqtH8PSvIkMoWZRzz9Ke7F3UAoRobpAYCKhFHJdMbvZ2mR1HA0JX/L/Z
O5PlyJEsy/5KS+2RooBiXPTGJpgZ55n0DYSkk5gnVcxf38c8sqvdGVHuUr2uXGZE0MwwqD59795z
CxOVam4Dss4n31hbTl1R7BglGZK4G9ex1zkkznM+7T27fR6VOPPMGc4EimfnFiVAt29LNd0UwqZx
JJLSJzwzf24LKZ6J0muA5yt1OcrR3ILdA5TtnNpnaH2ayjbRnszONd5suDdemh4BWaxaOffQErxL
nzIPwapnn83I1SikgmVDAE+7razO4YwMIUbhjtoObMY7DMXYv9y4PGehyra8Mv4Tk+qG1j8OTDjq
cNXJQr2fC4/g31QM073rTnrHEIRAuzbonSvCZnyXdGB3vkCHNG5ZcbFyy6rYoW9oj8sSN9YZ6CIk
UXTTDkg59YsBR+/ecdsOMwkuh4dlCKj24lw+tVMmQoJZBXd1EfsGjfJaVXG39QgOxYAwjcVWjMm4
GRigNKG95N7bVGFENPghU23SL+iW8oPMmShkfahvYawSfQZa6pK4AH9rR+NTl7Gx9iZ0p7hImjp0
JtTWQO5uk7rwLhsnKs1Vx3EAKRbhXizOo5OeCRRkB08o/0N08tqIKLs1gdQUZNF87dqzu52Mbl4T
bWCgYx/oHxloyKasO7gTApTVXC/uo2uVzouTE0KlE3YS0AVnHrTccOa8AcKKwvYympz5bUkL+UDG
ifgcVY8Sbgmca7LLQ8CuS4cgeM5HECsoBfhbyb5civcWkQIiDKmnPaX3/Jmgjb7OtWPtW/yAW0U6
43wjgB3ZPZigwe9QeYO9xlUzES4LmEGAP13nWbqMazCw/Y2QJXhspzLZ9P6apPzPWOEPYwXpmiYT
v/96rPD0obv/tfog6qr4eazw7//ur7FCIP4l6NwDRPU8kw7+iXv6bxGsA9uUWAIfgNBJN/uTrd86
BWAhpghw3Qccg06zrf/r6zfx9TNyZITq/SBk/rd8/b+Of5kpMB0LwBBIlhbv75Au72RpLyjlOQH1
+a4VxA+T751uiFyieV/Nh58uz/Vfk96fKajmaaL+/wbAPz7PNqFReR5XBA3uF1FDZmFtDNDmYEzQ
MQVunn3Y0m5vBrNqthh8x00ZLUhyev4tvSKgzw9oxTn946Kigq67xWs2RP7whznuj9Hl1+9l+eiA
GbtYATKEX2crJ7mTnc1Qo0er+NZVfA9ELT6wT2eP2ekYBAtKzgLIW5QW0yaZLxzVi+PvL86v88q/
rg0Rs5YQlmuSsfblO+R+60anxk/YpBP2tVxHR1zK9f3vP+Uf7jgls88InnkVjbkvUySPi5wlS+bj
w0N6mNP2sz0wmsAKVu3IfvX7T/uH38Rhnl9j07dCGfRl4K8sZQqGHUEYVJgLCVNGUNY31h8+5dcx
/I8rBxHRJ/rNFa6LHfzXu2dF1EGjE3mhQxbtqs1nSqOivx3K9P33P+cfLh7zP5eWBL8HndOXD3IM
erw/Ht8oBYJdGtnnmFKt5LK6hhRw+f/xYa6UiOFttBLiy4dNvV1zQrNBu0q8i4Vv2mjRLI4NC3zB
KXP3v/+4H0zgL+8AkxOfUTUrAuvUl3uVMsFclBdjbjPsfMWJMTgfvUjcFphLiZdIcmqZ1t0l3Wjt
lzo7WTPL6M0tcASN1dTeZrmvQlmVw0ai4DGpnNpm7Uoflq2zLNed1VAm+UkVtIc+q+DrlKXfrVSz
JKRyj8SFcVgwNz3HEgxKmXujylLd/P43/tN7jiKAMSK9EYDnX59HWlDWiCXRC+MqsQ4Zk7LDzEBl
zWnrwTjx+LKIiZiKP5kKNFsbeec9gUH+Hy71Pz2vDIstOJ6ecKDK/vq8qozKgWygIIS9bB8mO72s
mEoz7kncP0ic/v5JDLTZPyxf+ugsv97TpEn0yDTIDz24BqDpyCYCkfFNo/fa/uHSuvLvbwftb3wd
mDNs6f31z39ScbWlKQ3P0l5oB4O1zQe6ZYoV/9oS7nTrGjwIVtvdx8z+cA10aMc7X+Aph+SA/LMm
0i3QTQEKjQSKle4d946MIufVGVp/P5KGVaxpq8x3NGzt864b6rMcXXlYKVyeNGNxuO4KP3DWbc+h
SJRefxDB7O+bxHZ3garm0Gg14y/VWlvpKED0bS8AmTkMmKJw7Kx2HZdmdNEnmXPFfGLCHZloFzPy
ZG1oXadXlPnZK+a88mAPwbgVRbDs8YnjZB9a7wAQ23tOYclcjbT7cTjbem3QtFzhpnWP6FOiCxNr
YJB3cltEDVxUB3SULk165cSw39uWap4tZhCvfix8cFJtBeF0bqN1VZ+SyaphPhmsi30quuzOEE17
5YvSZ/rnNSOZLhMT/2mULQ2jIbpQQxI9JgEl6AAt7Z1ss6km8lu+5Eb2RMMXEGhu1O5Z1mH5wlN1
6ZXJhp7IXtpGua8GzmOsALF1a5o+nAOZuP6ZsKW+WgZCTWKSikPdqjzk5zQwYGk8RPRnNnqBrnoc
6nQSoK44TQY9mVEExPZlv+mtCARPb8BAK9px+KBk4pqMEjo3oAAGn7152XYRiDFH4gxpa1tDTKmG
R2BEWUu3hM7fKlIieKRsmztq3aB7IGzXhgAjhjWcCGOtOMmet4NbbutWRJgNiGOJmOGw9ZOCCQ9k
lYGPYIQ++Ome5rQi85r7bemTYGIwtPMaEYzBOYNG0wq3W7q1G8d5SRqL4zlOpxeZtIK4ZJEnV2Ty
4mD2URmRJNcL7QPwY0C/gril3BWaxuBx1E5XPOJUILZSCEh8DvEIKy9yeOKDIdN3BagTJLnJ2HCW
U9GxBGVUoP34XGI5M7TuU6zxHGCiLPQ5eC+os/v53MpLDmpu59YbzEAzr1AsVkk0wUtZKHAYaVrl
myudIUARRuR5cIpEYZjoITXP+/1ATtMFEU9xusrsOAhreLGMv2k0bPwqusz7KUagVzMHmyqT75uM
isCPxEdhtqZDBdzPMNLl3BrVrh/M9sh4U53FXVXeyWrs4BvOIC695N4SwbQlgqYjxHhy9yP4013Q
dsEe3HbJ/Z3KTcwojEEwPTwG8kXv7miVm4+D9L0zObcfNYO8bdor+JJJ2wIZDlyTAlW2B8NUauUa
mbVmqogpwVycMTTwem3QiXL1wYpe+H0V0N+fk0NSKZ/fChcEiWP5iruXTOPKHPe+VNH3XC5ORBrx
SB5oJjjKc4vvIk8K5ksGjEdsQaExsQtTijJ2wQN6YwV63tOWLkOlwefTDTV3viCHprQwKg8UiNMC
zRZXabadPFo1qs9I3WmOMeb1M8jqbYdwfuSgoGPMHVn0EM+DfdYqM74yiFY5Q2wSvKYIJGAZOMDa
4liCCo1UT1Wuor0lnBpbDTi2yYFc4/gGvlgygjZuQ3FcMr88i5vhmfGgPvq1yNfseswd+r7fK1LZ
L7rCQfnf2OOyqYnBIndSAV3xjALqMY1IjDgU3gSUXWrZArXPvOXOaj190Sx5+gZiuAT5ZtEHIt0c
/0s+XeuhHgkoIkmziTHqItoJEMXYy3ZSs7GpZm+5iGku9/RNw1qXE4BQuOexex0V5a0QxF8hboAE
30vO77TGYuysIckExq6W7viBRKQjdKDJcbv6vWE+M0GVF3ahL0b6Exu/ySAKjGJe0wMyz4tO0qll
QFHsVOHlG6eox12NRBsdBhiVzIRbtig13EaaYMGdsj2NCXyxVlllfE7AkMrRc+4pkpawBxBA05JX
2TWZlSFh3o5jbV4wQIPfpc5lVsFxxU62XljBgU5Ur2ZdM8bnl0uwz2kc03exO4QTcCZIarehEo4D
xoNRXrZjH91WIiq35ADPZ5lvX9j1UG0CJPqrSbrIcsa+/RYFcLO82azX7rxc47f1d9lIKM/KnUb3
mSnTtKUXNu/IX4Hr4os4SmFXGwiy4BI1D9Rl041VpXLPMC8KVQoFiWyc6DItESSZrRHckZHuvJC0
N+BUmQrF1XBLuBJ6aTN6c2hNvI3X1pGgAazyAVYvV4TBweJdF5h+mdmxeD0NidJvlkFbet16gUJc
k80T4qOqRA+jl8/ZSgnbSOmej17/ShMEkdKsyLrzaVBlNjmwUERasguLW9b+jWDxgT8g2nDJdLRG
fpe/YHhsj1YMtNbscamASmo3eREnsK5w7Zsualhijc7UEk2IqOzHAaXABv4DYTJjs5Zs8tcuY7id
RjaRr3Nsz/hp3JEnN9fFGnVHe2e54s5LMabXDTJaEvvEnmgcIDizRlAMnf/QR6AmeaGrFscWD8WA
ET9EwUFGKUlQmPi1QMZlFVDLS+u6PzndK5FUEAFsvW1thzDQOTtjlHQiswT1JxtSus2qsdijJB4e
YpOB1jqdnPFDFSArVrWoyk2mTkSfJRDUjA6UFSRee7+oocal+rO2LMhQ8D/upBngZhTzdaowS8+L
4+A4ksjeAEQMj3hw4k9nydU24d5ctf4sDp7TRsQxBOp2cQqyrkuml9iOLgGhxbsiDaqj62f0w/Ks
z/fTIKYTJ2Re91GboagWN+2C3x6VlrWDaQTYKHKQyMR2XB0zhycBm5nYmbLvVpOVLbt6SvMzeyZU
bIVdMx3XU447rnei+t2arOIMKUPe7aqOKxK4WRFGVWAe7KQGE5a4Z7ndP89qqi+merqcilp/J86x
P28b2WxO4II1Z8PLHvPXNoi0fpXadcJStMOhdOYwr41Hhq/IEfulibdtFVXHGoASGGzC7OLeLR8w
InWXAfaGULAJ7mk84wAo1YPdJGTfoghCATao7201LuzcFAW42Ot0XfcxfV6LtfnUoAd1V8U35kB+
mxaNS1yjZeQwCIt6QyNjuJ4S9dQw9UUi0Z8n1lBgyhu3pIkOG+Ifm23RTxtVT366GuolJMJswDMI
225pvAtrwfZrpWl6Q2FPxz7Oos28RAz3K+lDOZuqR82Qetd41XbIxXvlpvt+NLsDyWEEKiba2sva
i4GMDezCUAX2HVkWYWGcoj28na4db0c0CUympjH8Y1BPuLokoB5Z3A8TvNmWIDqIjc6mammqU8rn
Wz8OMHsmWRQmQ4A4g89fqdJ5R+4SPXsl8lQkjhsx0nFdSLzpmvZh7rS/0sN87Iz+0c+s4TrBy8ql
fQk6gz06Md79tH60ZH4BY/KOBFMbYbV5VUzeR5x/qNEfILCkiF7S+J65J8PXtjk2jneeOuaFYS3o
OLxenxfKOFc8Qec2crcwGqX/Xk9etouhhLNLIfdshlC6bfm0yO+04oqdb7Xm2hyzkgk7PtvemQ1u
oE7v+5q83U5XMI/8RxdCh9u2r3kTfZtq5zwxixfyFboz+EJkOhcK1keZPCRWsHfK8h5v3EtltYcG
k92aGJVL6ZIBhOIJUWgzjNt+mGFBZMhiLQO/p+3Qv0hai6nv2O5Gt7jNeKsORZa80XaAJTtvDL91
IDrT9qZbvGmzJNq7oKqvCGJ3rubG0x9Epwc0zZhMRUZ5DFLH3Q3EkoXlGL3lEvuby3H/vjvJpE6H
fF5ZEpDfk8VsdqUmkTsqnZ1C0XCcc+TyFqKeUynltltbEvWXFH6/0VOVbXwzUKugqi4sG3eUrsDU
Fw1siBM5B9sgRwQ9YufsHYMahh+cWRn6GIA3DBjtarPU3G/OrfWKEf8dBq0rW47p2rXUt6Fcdrqj
zgdkzKQuR+MEn2Vloj9dE2B9myzyQmbRUzdXl8ArbezI3HeQQWKVeYU6JMnSsOlXD6KzJ6hwkqlj
1jxnJjgVEwMD6UVvnmE/uQU8pkWxZ8+N5qYpAvks2ZPyOZSPE81QzGxOga8xNvdI0+otw/6ZzEed
vaZDT5KynZQsKXV29CqBvsZrjU1bksEae+pbZfZDiHiAXyoyFCPZcOWYyAuTUtbbBXvvpzcn8iqt
J6o7F+rxLES9MwK80HMuLirOLLuM888RRD7FEUxrx1LXquOA4TR++5w0hkMwcNSHtFju2p6xZYTa
wxli5kpld6Vbo99OrB1bm0nxRY2AlaJ/4tycmqq9XCxRER865TtECS3Vv3piss6QBE/FzsICtY2j
Llh7ozvdW+QAksDTUEuqUezi2qvfJ37U0VNesSFqgzR0s2/2VmL0EOtHcdm02OnjOq+wE+2RGWdb
zLnWhYBjtY11n13kUCAetVm7j/7kfCA4tzYwbQaGdVI8FUPR7SszM+6aZgAYz7N93SnfvSBfEEu3
lEaIGWMIp5Ic2LEINJmrugSUPVcbL0lQh7SoaOH6tPxGbWrvAVzX2ujjDmkbEkZSnenxEWesITv1
SdMfdImaDGTby9xSKsZ0vN4hhFUgrUxirBWlUMcROQwyR9KrzqiVMtFjWaucTUYm0rFR3fwCtmbD
gcndFry+O6HNHpEnYQtj5owbVcaQ/IWTUS3mcCY8CAOVdm8SGlHrgSkaOJMg2FuDY+4meik5ZJMe
hIAGTDEpwg8EMOpgnHYBLzpnqVKdYUUctlmKqRYhDdJffPaUsQWcx9xk6rZEyaEhRyHsJ8sNy6Jz
zvicedsT7RwuDj4CJmP+MfJxo+u+bjcypZrnAHY3akt+y5Esr92pA8Uox2czh0HlLcVFi4rvCeHo
d47j6jZAAYQJVhn9GnM/AK5cDWeG0A+W5TzxsfpYKVxRsHy3OqEc1vZMoklEy82aNAkWgqyHS0sY
9IYqRZZ72Qt6QaVh0nVM3XXsQ2it6hrCdVJHhAtmlv3Ux0SZ8gg2yF7ZpqP8lLha9cOqTQhdX8+Z
W93Qq6geGmMMENImzWuWJ/I2HVJxbbUt6RczR8OVu6QK7HXwhp0guKUfdzLuyA4/flPjEliydUdO
Dw2mnqQJXanzqm7zrRtM+YFQYlqibeRuW6MuQ8NIyITSfrWSnpke52RGqcK02kPNV5OwUi3fRiB0
+xho7HNSg8goskzR4XDfPOysFAfBDFLHjLe6lM2Jh1Gv82FOkQxy0iLfOiO0TNwEtgvshxFru59i
mZzHQ5Vtl7pOz6xhSAuwhnRUz4qpLzxmh3K4mTNhfx+ysbWOxpLPkAo96aMlWrxn4AqCWPDRm5yt
6pP0s+Yh89ayYb55nsTdTLR6QDhmIQwVbaEldTYyX0Vutuv0zD9HTnpLt9xjHrXDZijYHefchuLo
3GVuz5oZqPwdEVCyy3zzhOFBeSMq5E/AmZ2HKMcE1hGnXZrqWBDktKpz9g7e1WK5qBT5NdnJF7uy
oUL2q6RqIWZ5Rf3IB6kH5GH1M+xkYiPr8hISZL7LqsY7d5LA3BUmScsE33TVS4PE6Ng5pQVd2qvn
DRjeaG860fAwtvNyl0cD2m6k1ACHAoH/HP6EqACjz0ZGl10XTbE3mwDdZOelPQHG0eKuCAJjTSwF
+69RF365WoiNRUFwot95dWuv7AThcIFoaNd6Mb30uc2jDap6s195fW+A7G9JyyB4pnl18xNCgnuS
33usP5d96fcfqnIMwhM4TIY9l9o/Z/9G/ZNa6jZyNKtXfuv6QRkimydwm/4lMlIRX4wOqrPYdBCH
8X10NCCSHqAgn4ArZJJCmo1YeJkj7AxnVCuVN4S3EqfZECi97l2Eb4ahN8aUY7QZgja/cAh8XuWt
fvRagEnQtuBi6LJxX2FaWPtg8K21Utg3xwDhlYdK6pYjZcT7X2ZhCQd1C4OJb9Ulzwg2qG6cftoa
5kkrsIzfF23Zh2oaSE9YRhAFyb4FBxnSqcVn7EfiWp8wBVDRoTX0MLyK1LMBjVbFek7y9ij99NYF
CbgF4nGMbAHcgqcFlgxd4S1dHVLUdGa9EY6URpsyK9EISDF7IQixgWwW0XRntqf60PMcQB+xEv53
NxuCsJ+t5on2R3ODGai7JROwI73Az6648pyLad3tzEF5V9RyCHnb2N+VvH0bvAYfCHYVkcDmdOXA
4o1WIiiiN3qwVPj0y5uzSsbEjNuseaAEted5ux7MQA5qsUVTQ6pBR9yHjSMYCW20QPkaJ8aOpVMl
rJmyIQSvznviC2VBN8shnocmbh2p5QA7rqkpugUjVb/D9VN75UUHGOUhR0e/NRO/Pcc4QVIHulO6
SLgDEIWeCLCghUGqsPKP+taBZBiWjSmuaIt4/GlNnG6s6eg5njfRRKeWxZ41tVZxRbL6tgT0i2Qn
mtaVqjZOYw9XUVFsOqSREFizLSegaI0o8rNf1EPVTQEhYiOKGh3PmbeKK11uPHMBJjE9wQMlP6DL
rR0I342hc7wAzSmra0YtE9f0hBjoYNZJjUc9Gimx0PQuabvDNUugkcFG3ZRlcoLpcupqYzIZfRFw
mCVUl8ZLouSBCpY4qVQhm9+Jjl0RkIPfEJxcjwHMYJ80SFuPKER9I+nhXwhhXCLgmmtk8OUpvssL
kjvpSeeMoq8+WJmL9DdNmjt3mBGIeZ1rEgReaqbUNDzQ5C291V1rifqHBUy69yJu2r3KYw6RitNK
vZGRrY6GtKDIzdDKdrmvobvEtDXF6LnP/K5l10F6Pw0qnPpRLkMnTyeW4joScU3jZmnl99lqKXqN
xoAbGFQmfBG/bR78+bRY5hioUDvJSH7abo7mDA6kEWbMENje6Jc8OVPuPXdz4p0zkaovCiQCtww+
vYNrSfkgnDhuNq5jJBlVtU3IdFfo4AVva00hY5QVfqylw6hvC5yz+PwyqvySdys7xYdu0KObH3Zl
y4eeV/gxEsSh5F4FHLMLdHlVtcJixNBmYkGWZOffW8MRh2iaJ7A/TnqXltBZwWsYmn2ndr/NZIxd
OU1WvBVwNuiYxvFVP9X2c29I/AO6j8vXzAmWYwOAbsByENCGKAwOTOsJ9es6aGrnLqjx4azr0jZf
NT67/ag6HF/aT9zrXMCFgeOp42tjwcoQJAD/yeB+FDroPuvKqh8ZIkVPQGrrF4N3f2tornzG5cwP
LpXkfq7S5QlZXfJcxdYpBxsCyIulDPeVLrD9rdAzst9mQUIgAd/ZmhJ+kYMHWdc2j41h22wpWG5K
uOmf+BZQXNO3WeMwsUkC8PHPzYS0PxpOmRzkJOYLNY7BS2YSoiI8Xa/E7KdHlzYz6cpG1+yaWkWv
C00WXoC6aF98GM3HhVqbonop4KxTAK46XeoE16Bzz+ZVfQxVX1+7FcAXhg3wJx0HjhNlXgZ02viG
GUXgoUZGQe9GRJvBjItwiPPsEh0HVj+W/XYr66a8ZlxGYN8U0+9y0oKipLLK5m7WIxpnNOwo/Wa0
hmsbueKF1Y3FwR5n/zBFJCGkdt18zyjSYKKbnWxx/Hgo08ltKO51MAqx6fKyvmDBwFFlp9w5AJyq
DjkmT9Z6sFpO0XUJThITWJFTZ5Pm+W5maryhYT1eCxG1d87gEbvX9sVFJar8uPRkChJq7IMfa5rz
2PaA4FvmID+dvqs/cisfgcAOdf9SIT15zpTSHk5xT7kbH9U52t3RtlFnVZKYrxqKdcKA9F47LVpD
Hy4SyuGIeE/IB/Zj7JXl9ypWj4ieSf3TVCTDTIb4yitiwh6k0+YgTcb5tUSb7KGkKwmd8Rbsox6t
92WvO9p6DtE4aELHiYvcNwMFhuE2izhmSWuXUEtM0h3UFKWX89Q59cZh6soaEVf+ThJGfZZk7F8b
QG3dblxaHp0SwHOxtnw2G0vnDKIb3xAXQ2tPjK2q3roUvUfDDlzwvHZcL/6hTMXor/SzTQxDtiGj
KDkMpapvE26Uv7N9bWOEbNW8FWXrfac0IoEqSMv5PYvJcl8XBbDcPdJaSSFlaZIHeJozHUYme+aq
U3py115Qud/6OnAxAlLyn8WRHB/c7rSzBe4YxotB196ozAA3yvymFPGyTI7HacXRmveEGolfwDDB
hHhbt2y59LEn5jjeC4GNxXcVjxEty85ZJ+6MVMQ0z52OFiZ7ga3cEHOdncDrnidrhZqUgYfkH9yb
3TD0qwb8XrVtYlky6TC9utvaSUrrTJtEi2m7OGATdPCVIZE3N1jtUtTrUfuuZm9m17VNtn9GN/NZ
nhsFDtvOfV5apg4MMTi8lYoAoL0qcvk9KzpxNiMI5oB7cjDPJFyGhLO56yLrUNajh2aY51eHEXAL
+esM067dgHYmM8ie3URH+n3JMCrRnTTUU+YlJcJoqok6aT7lACrUAax7zFBbXY+LNDBz2pzWYL6q
i3nujQ2zWs74c74DWAuxiGlfyNkGpAGn5uaz9QeStgIcbdeJ71yhnE5DK27j+wSbYLq2tDHts9JM
hh1z+2RXafvVAYJ8a7iZ/W6A08K5fUrBwBIExSd7kF5C7uEy1mStuYhwA3bzcyOuzcsCbsQtkvY/
CTFOQotfJS+BsFFBsXFDqbTtk3ziJ8VCkguvaZLWP53pGZ5yYr72MGddYSSAQc9sVlwNppE9iGFg
K/29YML+J7kEEhSmoBCbEd580fcsluHCL578cIZLdBW4jdoPSjNFEIzt5Qh4lkQ0ttYaC+/3cWFL
UX1f7pohN4nA1O95o52175c0OxvEtEXFgKmaXLkbKeOZN1vmdRWPkrZM6eJ+YEeFzuXa9RE79HLR
6fRSWwOjCofeoESpVaz7MV9YV6iA2esLg8Z2boXllBPlhzpo4+LhWOG6xC08OvcYFpiMjbN5DQz7
Patqe214AzJpgwU/A4JI0luC0g9LrPzDpbP+LiMMAnq2AGalRXfwKwqh5FHi8tlU62goOTeIa9ue
yLjsicSoTCRL44w2QwbM3c0Zel+q+3kXYNFqeJhaBEybKCXnfV0mA2ijvnS3WSCHg6jhzdWTcTbh
St36RU4BLDPoZhmwgt/f/ZOQ9OujFxDZFBApbaJngA7xy6OXspc0Q6CCUKiG0C2AdAupisuUnC1G
d2tOg7sZ2JxhdunkCJui/2Di1R+UOKn1aLg5hCDyio34Hyt0G7//dn+X7QWIM/HyWRahwM5XkWBM
D881oRGHuUmjilFkHJD9Vqk/fMwXosxJuMf/bBSPvAIs7eYXMWLDwNjWUROEjD/nnO3bM/YjEurN
hOvtzeIAzxqZN+vKjKpNBB3+FgK7njY0xvMzNDvBVTH7ObIZXhZSPsurTvaCdJ9oAWCYivumy/Xj
7y+N+fXasF4LuB4C6aRN9usPzNxPawZmcGgBmmdv0BaLwmJVzpq0NqjZUd6s6Pvbj0F+VYu0fikI
mFsz/8FlOIAjI8iXJEmVzt+dLJj+Qiv9j0j7DyJtLzBN02aB+K9l2qR3/2d292X6Xr8R7H3QBSnf
+mfZ9n/+pX8Lt+W/AkSXKEqkoGP3I3UNPUb3v/8jsP6FZE0C7EAo6Tk/SDH/5sGY8l/8P9CRXBtW
C0ssr70GoJn87/9w/4V7/SS4JvabNZ+/+9/iwfyKTMOiIdAO8s1MvhlkkxN45ueti+oKqEiK5SYZ
S7nKHJKQGj/fSo+qKIkUo4+l+ESxgzAhyN9qk5DVoDY4TLLkz2ktV71f6U1EgsY6GtPHoQbY9NNF
vv5rG/1F7H3awH7aXU9fEXW5CKgJuSKo3H/9iiBpHVpVsQr9EnAExypri6wNH14SnA+MzzDJXrqa
QVJsaRoJ7Z922C/UrB/XiC9go3DnUuEQ+0LNYj9v/NHmsBPFfAG5TMO6IdVzJdNom7SNxRQ7AsIa
gP9L2h5dCN/j99fgyyr/4xK4DEtMFLyugB706yXQNj07crfaUPUxjnvTu+8JJ0vb6k9gtdMf+nqt
CaXjY6hnApyzv34QCWrMyua6Dat6qPdd3AU7r2ue67YMdsEcpOvZpZ9MlUkoKAfHNTM/aqvJusEx
UoHD942tNGT0qhlTbBVD+1uJnGh9ei/CE10DqEE9h6q0863RQMWEtu5tHbfhDN8PuH2aeIEwbF3j
KSc2KeJCzq37QgF6EEr7nNTa6BhXSOrhjs6hdjBhz9HDMpJgDNTkvjZ9Z2dPZDtPOv805ZJv9VC8
VUbpbwqkKosffMAIuZWL9/T7O/SlBOQO8UoIgE8mHHCb3fjXC+ctYEVAWRDDICN/S8jYSxZFG84A
3TrCf7u2E9jDXgvL4/efa52e/l/vmO1I1/UQ4ls/lpFfP5icU6/RNBZDmEPFlrYd9Hp/6faWhT4+
lgTNkdMzkP5iOWflzAtdEUpDj7PihnLWpXEX73pfQ+HB9LyCC5JvgsjD1duOMwFtUcfMwGLzno3q
T1pf62RF+PLdmQ+fSgOBYIsa69fvDrjAxrGVFCGy/GpD68Y5ixP2aTkwQxn7ept7XUH2dVdeNpN/
gK10OOHTe6Z0qwiZ118LkD3tGJ67HFtWvu7lKjD40d7Mr0FUjjtMLu+/v+Z/v9c2rSvLdSi4qW8C
do2f18zOgm6CMrYABYWRm0M7H4wy4K8LrdyG7mbPuJP2jvWn9/MfLphlWyd/ApIgJ/jyevZWGTGY
UwhaBnyNAy0xjsOd/oMP4ktpwrNMOtsJaX8y1+Aj/3KiqIqmlAYhQWEye1XoKbI/VJS8/eEi/jDp
fL37dkBtSNEGsdL6cvchDDC4BHLLYLL4jDwS1VauDtB2VVKvsBTx24yRvWXogFaYCxhPp/g0Y3u5
odMB7qmH43HCR5noqNcllEu0r4R0F5qHHBUmQwUiv9ey8u8N15gZTRNSNs3qkI69jz6NOJXBLIKd
AYNpCwDE2tJlCcXE+oZsG7d4GxjbOuVfw39tnhMqQJ5ejyc4iPjv7db3Vyfk1YomGwmg0wRG5CTS
gyoT7Jg0VKskaOydZenHqSOew2qAIkdd9kbM+ZuTyRvc0tExarBK2TL7VFZf73WPKFYE1d6YAsEo
RQS7ok4/VRxxuqCNjNvTIzdlCHjgTJ7vKtY0q5rijfb8BI0lfiBsYIEWFNwnPBxro8v53vKmSgMK
YlwfW2l1jOt428fT6k2xrJ8gA0ByMZRPtVyhgyVd8//wdibLbStbun6VijtHBRI9IirOgAQBSqQa
yuqsCcKyLfR9on36+sBz6l5bcllVkzvYEd6WRYBA5srV/M0md1Pjm1BnwrIG8DEfk9cumhxPbxoN
tGWOzI1mvpQtE8WoL7Q7UJskD8nCQbxYys7O0zemBVSPkXRoqXO/kZR3rZb9RDgGjDWa69EIfHEA
ywactO52GQeIl04YThet8myr2BkZYetu3Vh3PBNz2G1v0GMklpUBBjmvusHrMFc3QKXjBM5niY+C
URzRK/uSCve+6QqkoHqMGbPQiQOSH52DZTAY1PNqyq69s5IF7k3d35BgBGgcvbZqh6x+j4qVgnLa
zp14mwUjzC3tZQt2pOU3Tf4GxA2n+GY4NHI4LEX2ltulG0y0Zb3I4It2Y2Eyt7iizaQhmzNglaXa
11lYaVvRcAYwJMw8rYcLH9as82o9MueK/ArD7Rpzy+xNiRRWLG8WN/c3NMb4kdqYoO4YLpRMsTca
JrDeFEZv1eoeUcZEazUZHQ8TsOPEuGoTZ5zU+VK86lWRo/8hEDIbFOcL6uX+Av7H0lVgv7PaHqzQ
vldlznckPT1aaU9utb4YMoPrzmoR8RIcHue1O48sG7V2EY4Kaf3XcfLqYFEL80E/wc5xAznnrw4m
N5uMFS4kW+O8cNuF+w7LyUcREJp7YQVIet3XLokMIHhshdYtULDChNBPHU07j8YqKxLZp6tyWiFl
yZptKHxeVdT6xolZQQAUQWOobJe6r3AbQI3iOKoIYIsR1GrtsGgrmbyeb5zbJYtBYdVPFc40JEnb
AzPE7ql3R9fvpUq8rhGOz+24BtriAhUfeHf27Ga7BUqGgPnsMfqlfSFdPCCn4Vjhx7hNszD1Jxni
bk0AU7o1YNkmv8P3YOlm/3zBeF2dtLx5rmr2lTWlb0h4uCjBp6/ncNHb2ZsEFA4BgMdQphEX6Gji
yZwTpLaoDFshcf8eeYgUA+RDiJtsyZLtDegOIPBaeswrJ/OyhqhEoAJVsNTPplYdz6cTA12a+hAR
fHy9w0vNSt9mNQxvNYhX2Lwz+bLAErddCSwChgrx9EeZE0x0jZULEAlnyy6hCcs+NhQ+dyDWZlbF
A5nMAMTOqyS/WsPZDBAS7L11fQ5KvUl4iWX3nE7cW9Jb11qFqnuTmyfqnRLYEFsFROjrrKzqUnqb
onfPyz1XE/GasFiJruzWY8eq7OvzNxzn7G3dEk1intajwLa0k6y5sfM7qDUXJDJ2dGoZMk8cj4hi
4CBZrsumZLgeaiZsDtE+q6lBj7ZN37I6ylFVZ6m0KovxHOkcg2Bi4sJQzSYRFXbDjmgy3nTOLGF6
s39TdiYD/oXfcpA0xEk0vJTr28GYDjfcpTrid656MDT4q3qZLs+ROJnWRMyKcm9MHM4MKGEgLp17
O68bALmr8AaIwMnv4DaSxfAC+gQhmgSTeB+HSdw2MKD1HLPm+OmICKxhPn49V/SMm+rW5DmzzJMA
YMFcew6AfbARZx7kusKmhX8J0PRkEml80Dxw7SoWXesSePKaZVWAf4GBw6vRXRKK9e12KT7POLAB
+CTqUwWVQRPxgc1AVXCOv/kaHcFllAESEvpGcatq36Sd3K1nXOtygShmVTOvJyFbsiPaHwiVNIQb
uskZWHDS4T5J812Pn9qVEubzA1ZZ1d7GBRb4JsmVOmWv57VSyuI1deK3cpnuGQLOHBgtargDj3o9
bUKXuJhJtkDYyuxqsi3c1BQLH9ohR99RMno1NZCePdxD3x4wzTKsNrkekfakBbbm5/Td06aJ9/SI
OfBm2VwTJZtDYsSSuVKJjzZiSLSw4snrxeL6yO44O7yzQi9tJOjqbgRuGcYmfij1Er3G9tS3pNNG
4g+iHkCnJ5g52zGpxgRApqmeQ8Rb/InK6rviZssXPU9RCyozPHZr+SUFGBtQ56A3hKfiMwpNOOYU
c0lGrCceyjChp6Nfto/yxjcXyqShitbUoB6qi9aM7VvRF3Lt9uMOPGLpks1NdeGsBVwWkyc3S3ut
CybdtjGJS2bcr70CITm1USeCiKRvtXHp/GxUlwMIf7xUSoL9WuZVdp15sQCKyfHe+aY5xntXKZrr
xMwznEXSZItgm9wh9KFuO6TpNlMeGeQozUCBhi9yudpWD9rqbErCJgcwIqKBjqaierLTbAMQQvOc
rxwjt6+XzQBr42qARIS6kt4FtWjTLfJWIZdP+TDJhxlgIzfxUsIPE6L32968zKvhJcqj8WcmW3QS
Gif0RsaCWwqo77U97tJo/t5PJM+KiAlaYMwYeOM3pjSwA1kNLfyoMkGCUl1thSsab3hpIjcD90FJ
mWPr9Et3q0oWyfOtguUTQznSRBXDmblFIDfinUbxFSYoh6Qi/mLh+cA07bK1sP1BAqkmlCs/a4vF
h65Xhm2JgOjYK99MSdRNG6FfyMU4MROFS9Kq2OfqmVdGhEw17TuvTYSybxJUZLupYNeulc+S1fC8
FsJS0idvYqpcP47Jn0RIpKnKeH7QpdGsbxjV2ZwTyEBk921MFUTKhJM/lk1vIJmoPg8aoUIR3XMZ
0uIosqb9Hi2uQXgDJMMYFL/niiQ4RsDDxyazRYl1mAEYKhqBa43jhpIddZVzLiI40AKVO4aetNjr
lt9aK3rTJbmzdbapA9KBQ0ac9MnBP7FMMK0pWLfVukQpmANjHF/dAS57hl83wyFoES6GxUoJ3AdD
4Lf1PgdHPQm6D0G3YidCTmvoFulrL+LXDIliIPjkyKZ66pYp3Uj63tsx7qZLIRhgJarde7WNenA+
HutZvFBANj7InvbQqVr7AGDoK1pJ15GEzqzN7uXYEtRgY2VX6cjdOGRVEFgk2fUaTpmTL1dZz4mH
0kbtj6ZzDw7ytZ6LIwnGdLvYE6I+MI7qlrxGEe4RGT6LutHBAkcbQRpMxRcXEdZBi0FtaDnfNWmR
FRrT+FZtRf01UXn2IJTlTmT2RW6wwuqc1dBD5CDB4pkWQGa92LCdR8RY4NMpyXhfNArD9pblpq3N
qyTCjybLGAo4xLWwI8/Jmni6VoCR9BvLXYN0QbUyDDW5dycXviw5prYMdVAm6aap2mrPoDkI1b67
EG76VirxW8RpDxlK7rrSvI507vN8osuJImxNd5p1rTJ8wwrBwG0qIieguNZ2qT4rO4Ubxl2ZM7Oc
K0RX16plmWgQ2ZYJ7Dtqnyt8rNEk6sebqGZLYQvAywbHFeD1FV7OdCZB2+TTTYab7F3TD3AMVbFT
Iiidkx2T3VHR786nHLpX5TEZdNIoA4fUyHHFMaq5TK6xhqdYX14KZog/ADRjBmzzAY7bY/wEPwPa
KavJncPwWz4iUQwQ6E1dVPW1CIfymHPqnVc/9Sa2uimYI2N5ownBt8qtO2dCuNDVTiXy+vsu5ORK
a/xsaVSZxoJrbeQOVybgjM2crWdgxPrsKw0EHjkUQSGqT62Lra4h3XqLN0C61dQYz3LCGM3IDMQH
E+rMlJcKkjFE3Powa8uyMxDA3KxgiW1qkGAlinaTt8BVegPRWmQhBa7FHMOsdo64nlc0lMbpfPa6
E/s0NsL7vxf+5p/aC/QYoXjj5KMiEPt7+2RIB9CC6ZwFCnRK9Gdp2JoSX+CapmCqAtdfmLrzLXjL
csEAOdaKnlBTP5rNE7Cke9VJBHuYQndNMxjdKTuUKe+zIbpFqXCBM8D4B/OsHgC1CpZ2HG6tAkQi
cyASYBmh4so5eK6RbKH9AI8Sv1kT/BhTWieRLSW2uFIcNWueLq16Ko6TgqY5DrwkpTY1kETijHop
w41ImuReiir+WYT1QnfueudHqoTtoewaF3XbNQuMExga1LyeGTnhRSbE9L9vkTMR0BkUAAGjK6C/
60ilIPBQFDUhp3TUlI49hpfoRyt7SyPpwlHqMTkH3pV5C/F3rZJIGv/+Wv/QFAM8TJcNIUBmKe97
eWgGNGaiZX2QIjax6bQl3ncteVIMfROSeAqX0cKFesgT/ZN2lfhDG5HyHdsTRC4MnJHfNZLY2QIc
utsHTjOh5U5Q92DcirtktArPWOr6pcd4aReqC5AFM72thmL44tZaMOuTeP77Y1g7cO+bWpZq47bj
gLxEt/L3xd1rvVrH1ZgFxhoE1oYBCtik0FDC0MEyTklEdP37JT/27BGA0EyEIJgpChLv3y+pl1Kl
3IS7gSCds8ubGSJxxJ9Ejr1p1w4bnClHZp0tpP9oKPZ/v/ofdjNzAm4ACaDzKOv3qxc8VCy1FRk0
YP9xh0OvoKSg+GSF/+Gx0mXWTMt06Ht+GFNxmiJ0Qy4RLAJlzR6GmweR4gWP+2uU8L/OMk8+ueL7
Ae3aBUXPCC1D+tuC7v666n4d0CLfQVpSyCBK0u6ADZeLlJ/RXhASaOWMzj1e07g5qXTPNCt6LaYc
UPwkEOqMGrAUQ/JjyT8ZGq9z7HeLa50jWqa6evx8WFw4AreJq9bssSx9qWpz/vnP5DdLyfEQof5E
OeY9uIBHYCLwY8MWQBVnHUT+/gh65uhWWGZd4CAW3KJ45JUKUoVVaCTI3HMAi8H6ZuTpQw0RP1ft
hzZB3XtIxqtey35IZ3UOQAPzEwOZdSr77jGYyFmZKJ6w8oR1Hon88mZ0Z6rnyI66oEAgBCl0kmer
IdT0KqZ9vaZdQEA5xjTJnnRZo+Za8YqUuKClq1TPop1oTJHH4YmkAcqqVuK1pV9DbwSdn6bfrW5v
SmwMF4MURNoXeqefsMZ866MY4+6oT3eKjDAOoFNjLxHOeSh0YgBGtY0/ArrRK/e9kMh+6Gttraoa
aO8SrxYIdDwaWlnr2O58sKWL2l78fTe+h7TwytZJMqALHVAE0kLvhqWuGCZJYQipMqRcmM0GrXhE
7Tb5WNAXs1dOS6wntA4KNHOHQT1/TVqrWyNvKhJCpF2jkJNuSdsMgcFe2ZkqU6JhzZuXjKy0K6Ll
ipYE1GWHTmhUfBrP3qvrnL8DSiaIB5kIEQKReLfsQCibRkuySVLabZCdUTx6aogx2e1zryFQGVvF
EY2WFhVru9koOdz7Ua0/CasfZ642quosL43JvWob754kLml6jap5EwAMvdQgt2w0VgKAG+uTC2kf
QyijQ3y7IBbgi2S/jzRMQULA8FkNTZmuIJqhoI1AUDXon77lC2Kitk1XKlm7y83UV+h1wvrReng+
WNhF3ljHryixvELI1452Qb2XUQLyfLNdtdaMJcU7/e0jfqA0TnPacAreHru/L7w/vTQGeAxATbSI
zA+T45LKVRNLjEQmYjSrlCf03XKqt0VH1gm5Dkzv2P9Y66U5o/2EIMIbQmmfRKyPARJ1PKyaQEIh
dvXhmMi1vrNrIepANaqfOmYMWx4DF8tbbQs2+JOraR+RCfbqqucy99UxLXTen7xAix3V0mrml2Pk
ZzUw3HUsCSUl2roiMmngklAvkiEHyK3oBorHc4XNxpWFucjGUKPX2sFOPDeaZT9QeG8yfAA2RkFl
r4Qo5af6ePP31/TxHOWO0aYjIbaI6O+BBK052UU3sbVsZcbDqqulp4BM3vUq9ROtbNUb1PyToeUf
En6uxopAkE8lbL/fScgEOWPVaFWAQAlLuNINCvEJa+LKwBilkPRTo7KgooU7SXvq4Oo0KteeIf12
ZVdoFY5CJS2EkEERuO0BoQ5TF5e0VoTfkM3WOiUm0kKZp5vyWVvIt849kVJQOK3INF/aazRLTPq1
6/jF0PrklFFRbYtKj6Hj2gYkdFByuJI95I0GPVhhqFejBAEJpqj92F6T+XB0A3OdUCLhc5pG+iTn
2UaVw/Zi5vZ9rYStRHK5CX14Eb7oyjRt67ob/WVhGf79Vf4xbFhotgkeLt5R71GntbMkcQv/M4hm
Gd8iFERTgPLF10wDbWv6mJyBFLmJq73SNqebbfKigbw53thrEEAt7I7smR7ROdYX2shodE7gPRvQ
6jwpta/n0aZRCxfMT9FeFoy7r+OUl/D3b/IxgXWIrySvIE5UJGfexfs2MhjBtnYXlDaHcQ+7Z4WC
syWMeDhECA5tXWcpvhpOaHs63i+fnJnGx/iL1YaNwKBBwi7Ee3yP60wZgO8SuYacKVqltdMtlkoS
5CadcB1ayWNZm8U20ePsogdr7KEzTVdBoY+drH8yM4gqvWrD1V5YppxdTJRsBkDWbLyooscIo3pW
cK2Fi8D8gdYGKhp0qidEI8K4fTbrdRpg0mRPaUoGarH2+Ka1nbvUyaltRuNRzTHRUd1jO6DMa1qL
6cMWoGsfuW/8x9AjV9SfBrLNQekAsMlsxo1/f0l/yCwcjewbJr5rcCpb61P8JesamNWViLhXQcOQ
4jwgKIx1JCyYCNUJ23CRORYf2XIBGxTdroSMAeILw4Ma3xHGMIvaA5xqsbfhtD7la3xrrHtAxAlz
8fpryUQffXJmEbZazMHf7/5j3HM0i4yCfa9Spr6vkXqp1F1B4wVtJyMQIfPFNVRkM+3IczcqD4tP
ot6H5NlmTZGfUpSB8edgX2/pl+eFDzNOURmVIK1tDLtqudoZchyfZzHd+fX2DIUwGlqRHIBG4CEx
55TYgCN63+9ahNF2JmCWDVCNz4LH+4PyfHMmeS37bUUNrT//5eas2UlTBeXpIInBEciWe0AZnikA
7ylfn8rfH/8fLrducZBKuqCY+HDsZLWJZ3aVBaO5rlq7OM4KCZXRsXaoHT+riJ33FYJNjCOigOgE
yCaoHH//enE7MG3ETyuI49iE9opNYmzAVpkM12fU5KJWkZGRoIrGmUEaionHCJ9XKOW1URn202gU
7m06wMrX+5vOciaMF6S1MUY0lUf2qEd3pTvkTl0G4NytTS3L5FjqqQtaBW5FssjS7xI+PBngZzG7
PiW0wy/SvhR+lSKRoFQaYjyOU++pYYx4q1TJ6BkwDrcqPlJwmEafjiQCzlEDmRJT3UuwHAoTleym
m1Vju+qyBram8wxFmxytRkk9tIiim5I62V8GZfDy0nG8HgoxRCLlVaxoOzE2/QkxXM2HSJIib0Cl
hj/SQNsQubeenHvBiyxk8JsV+iUAVRMcWOamnlU0pV/WRnLZp+2AAIUBZx1bBz3QbWQV3YR7UOow
or/7pZbGTRQnmqfQHT44WGTS/lnESz+6eiDtzPxko+nvE3XMfknC0OKkXAWG916c0o2a1lVyTnkQ
FA7eSewxPQc1gh8Dk21yqVQr1Ju6acogrEcD55bZ2Gn1+gIraOZOK9GSSkGFb+zWTpHCi7/nWqr7
DtDDDScDGhksoN2s4E3uECA9A6KqzxDB2K5dCd/RFwVvpNE4uuvHp5W8kbF2b9qgTUZkwHau2eu7
vi2wp0s755OG0/vDC9gfG4odTB5DoFHfLXUiJ7yAJnP8uF2Qt5s3tIg+2b3vg+f5EjYIQ9NVLWGq
a+vvl2BBFWbSCFgpyiifYGhI+3VAF8rLarTOOth1PBvls6rofVLARYmdBsnNqm1Kmf/7RSNE+FIr
bm2/qWxE7CO33UJOaxi7ZYDhdUZ6im52F1Wrhlsov90nbS3xPrdH13hNkKEh0lnV6bj8fv25KfIh
LSrI1VYNXX3CGQA9l8XDJ40LhqZ7UbsS+WOh3dN2yILcsIaHv0fNMwLu137P+R5okUMqcgD9Ou9K
ULZNa6/UTz+1MgWGX9PtoYCvziYqMl5I+rtbmPLdt0ldwmsepHFdTaBO0bhzviiZvXjxYCMOClHH
74vFeVY7jUfZdGR3MQI9uM7fjRBDLszW5utIGLxNY1hHux6bRw2BiXJVbkwCePm3uh1hijIo+SfJ
11mO+rfvSAKLco0FB4fGNWfzu+ecSDhaHKF+z646jpjC+God4XUwVMPl+Uvg6ZLfqmNkH5H9EFsG
jyEGLuqC5QvYkYUUzINU1271OIz2bhQ7GCWlCvta7bDa095qsBh7ZcAKu3fQh0oi/YTtlL6r22TA
pyDu9nljYQ5oLk5gTfbAVBtJfTNNQXOgVJTjLADCp1pn7KXiF7W2eG1obqI6hm3dNt31xG/6tTUA
sYiju1kxFRQNx/x2Xmq0kxBtQRX90sQRDLkWlFyjJh6utMSWzwoWhn9fMu/Fcx3cPwVNeDCVNq1g
/X2tVbtumCzUTT6mavROeqXd2ulwTKLxS1EYIYKBhvAXiQh0Ys3I4dHx2qZoAO0zB6UPOFcoCDBf
3uYu2ywth/jQZJH6rVm59uriLgc+xToO0FiZCBvlnkZSv+GhW0GmDitL0D1Q5anbVWyUgUpn+I2G
L00BMWyrWNVjn8+9jwbYfUFD2suW9rPMxvgQrSA+Um3SNjLRfqJd+vuCShM5W7RTTPQVOLwRANNf
NBRtUw4tlgAym9qurxx80cZJ8XWlUADiNDHGcNLZz0ZSYzkb9psCUbwHyF3AOxK2XbbgHLJxzBQ6
91izMK1I8VrAcZ7askZmiSuJSJx026uO2M0IQqAXigSYZnwZB/3ZUES+mV37SxgnP6h14H4ynzoU
UrH3EaCNq6hMnFtJPrlDE6vZuUNOOV5iFlFAzw0segOBwcjPZzDJQh+45OTm+ic9nA9Z2lpLChRS
UB9flcnfhdwZI1tmlKydITffYBs4t+teaXtUJUYRDZ+0ce0PJ5fBK9JBqNHJ1RCRf5cgFz29KrWX
RFjgVB6it+4zwLL4UC+l2KpLMfm6GqbXMf5wB81pCXgt6ZcYeejT0JDBO1jQMk18GtzwOEbWVbig
aiJA+UzW5RwhP9rM7OshBfLKv93W5ISe4rIu25TjQxvZzaTtb1XXLCetAswnmmX4ie5mt8cYTDA5
nMpj2qnWLov0yI+BxD+MqMbcMfAPPaHFA9qdyQIBHZwGnjC0uKyl2UUKpQ1gLveCiexJwo/Zu9lM
5MCV6qqwSnQSYFdcjSphuauzzO/W22FiulKWi+HBnFlb3cAxo8SDUyDVhdYcakTsQqmkKBxVqkFv
TX3Rw5XTPgjG2XFcKb672g12Q6T4DQ9yE9vC2sX0gshA2RDLJ1nBH1YLi4RezIpHX0/J3/dZZ1l5
VkSgYp0WUA4qjanf1iaHU4VXm22yIf4e2j5ej6kiiHRSLAp1832VbmUlyGCcgPwcERbm2+wGYHPu
BZgjZx8vEJf/fj3xMbGkbIO0SMULTB3S97v94ABvQ5E3MnxwTDp+TSBD0bG2jlBgZVAuanyYkIdA
g8xCJqFv9y02WgjHIAqFzL1A7qxkFIAsHuqU/MntOajUgVetVsj7TbaQQY3YOQjMqr1DsRlkTLke
7mbYcvIk+a1ZVt/mNYxEyLyDuGbRWSL/Bn6x2aUWqNC0ShQvojd5XzkcdovlXOXDqvDT6W9NhYHp
MpqoZeTftJh7V1Q5+bMTLgf6WtpO9BONlaq97xbWulg1e89Ha52RarVOFD+DKNN3bgHgXgDyBSPC
bsLCwgliluChgmUNedKQQWWtp2mBTEJUk5dkCecMSt3LRl33KjTgFFhPP7+WC/EN2jlToYYlnqGA
sAcVz9mTEXY7dIQeEWBVfJ4b4uYtN1TbNip7JWe9q8RMAeYGLdvzT3PWewK33G/tlcBfgQzxeg2T
tQlowWZeT9001roLI8lsNgvhIhEj+YCcFh7i1F3EUnWuRMMAv8/5X1dGzr5DMv6qjPknakQGUYau
9LoK8DeYbxm0UddeJyi6gzsLK84FvqZiivR6UJbFqwfR7fq5sgI4Su4FVmE8O+SRg3yxHqzZ/o6m
idhmuaFdsDuHI5wafUcEYxWbsxMMTU7KkpBGn7e7a/H4QJpyBRwGEWUh00HYmCG6q0uKdl7HebX/
f+N9rhf6XjEKSdB+6P7xH/+6sPdNfvvtf3al5AA+IT413/3s+lz+4z/4zehntf7L/+kP/+3n+VM+
oXQKPAQoC9m1/z2n8ypZqvZb8St/8//92v8lcBpMf5mEci7a5n/Z7qzszbXyRMiGuY3GJvs///Yv
9qZm/LuBHw8EX5iVprBNCqZ/sTc18e8oq1kUUoQxftey/lfszbUA+DV5hgkKs0ins0Wvw+T7/h6D
J9EtIG8xsisHA558VtZ0WBrUxFNxrROOLpJw+Ipr3gRKv/+pYfJ3FZkgen95ZLf/vN6vDE33POh4
fx8aPAYUnMg5yeV/vw/djRQcWcNhbyGAvJe28A09gzq6tdCmjQ9Gs2+Q6AbGjFYvaCSzY1AahVdp
PMlN0+r3fQPdADuQ7nFJrnW1POgpo6MEWQ1ag/SrLftQo9i5GcmxDVOeIOPTxcPgxwRE6an9w9il
R8Rg8Actd2nR3U7ZdDNmwH30ut9QQIVd8WQUiKKnNY7eZnbfJ3q76/Tom4FbmAcM0PJMa5hqsPIt
FkJcyOsdGgWbKnnuuvpeX6WVwhmOj36LQ+xK+0L4hgfb6bp8ji0sgKNqUX0bi9ZqIkMuC0zY4mg7
a1eVUvlWo8N2eVKy5Q5nxS8wKC9h1OyZmlyWCP7RugHz1nyZJvMrHD57M0/ZNfVpj13kYCL2UTl7
3Uye6MNft85yaSF0WcUJ+lQvSqc+2BGXl/ZVa7Z3iKkHGt6QYlK8UdOajWZzGwDPtnOf7VaSRpUP
P5IGmZl+QekMt/k3zOLCi87UcKhddMzOs77xJns5SDFeKQ7taNBo+WYU2lbHwbDIIwQE7rrS3tKP
sRghj1+aKbrl3PYZ06Y8LTcDzjnvADdKa8SlU38oAAhtVMUgqn1pyultKJDq6dSvcOBpjqro9o/1
czQm/ozrmtboJt2GCBsn9LFs94HltclMOFyo59MzKDzwWrtZHa4jpOJDlArxabyjiqVitfsHoXNq
iB9VUVx36nDoh2nVo4+8alrGjZDobrZauc3C3EMh9SXV5VYzKPLUKX+2WZpNbD1QV6vIu5U/qqZF
lAfFk6pLEU0GbFak8rsqcWEL1RBeJPLDVrmzxYhcavyEUMm9UTzZbbvcpHR/n4alOHSZcQonlOid
eXQ3rRWNF4ZmeYwyDpCHPKQ/9zLOnq0+/ImdxtW83KBr2BmI1AtkMKCOqSdN2vhHjssFfn1PyMaM
q0W9hwfT7RLax2Fq8EAw/cHUb4z51Dr1FdO4bdfGqCEac3U0sA/vexRceiu+lZi07qJU7ikfQQFg
nct8zcz2Tnw7RAJpymKL0GZX6iU6PWCVHfcWleQUYMD0VEMtXTLrFQ2PHerxOb090V41rlg9qrOc
ZEbfoRfkdQ4st9zxESKiXtuOtTgVGEOIyvBzdXlUnWI/aPmmlRggMxx7UhK6KkoesDRsTwXyd6FX
KIQMQsUWebCuq15cxppNf3N5SAbNRELa/prAi8UnwoTyYkJm0+lyINiudQFAzm254P4wlOOOevu7
NRi3IkzX7aTduCpOCo00bxIXg/XMfSmz5iLpzR9VJi5SigE6rBAEtKrws7zcm6U6HnM6rH5lM/AA
gn63noHbJVRvIrCAu1LcttayVTuVJw8QJFKVC6dOroqkHFE70Sk92sFHrhzksmXemm14KnJUT1DV
v0+cMsBkxcBrMhZwberXynQ9FB4eCzS6Lf7CQ+rYzyk/vXmqyLraB3tpb4C+fu3not7Hoo/Jk5zH
ZZy/2OMYeZML/0EeqihEH6i9VxX3ZtGbr3g1vGhS87GpPKpz/7WZs6dstotA1nwPcDuzgqHsgNun
nWh3s6HcuQ6PpyDZdOzyUvaAfnoYJdgQVFjK2G26t53xYlQduMZ6sKDQp2dFgN0y1jPMdMY5vCjr
WLtqQnZ+CcVqKxrnJ52Lx8kkiaL3uoNj7CPCDJ4VD4Ydaj/I+oly7yzuN60HjNt0LutPolZvxchH
p8qDVunHlWy3Y4ddo6D51Lgl401ahEaBhpZadAi02mwMhBpjOX6lNryFR3GvjM5RHeQqVYzMW2pD
HodyolXRxRIZP0lHzQ12Hrknku648FiVMLzKhtFvM5SbjWpcyCmprhQFmfq4ZbSPMtZOV7MDW+9C
ir7c9YZy29YD8N04ykCmKFeGaqLAHyU/2qoOuiW/g2kHgUuJTl3eB43NekCBMbazXWvZV72rX1SL
cTl2I8nvpRVjgQIwfF9hSKkCcbbMr7haPIRFt8NSNshmVEBHZAorgpBahb6Mw6BGTKyuXmLEwVFc
fRpacTHlridz4zB2cj8ONbJxpSfoL2zpOF6oybQ6lshNZn9pwtGDybKfk+umkk9zwZAEMwHYQHAf
xTOp3A2OE3RCMP2x3SCRIdSZLtwvSrwW5O29FcpvbYZ+c2xMGRpyT47b4pkBohxyaOmik5f3R2Ef
p0X3oGomwPjbk4L89jwRuerJ2rgpW14x7Vtzin/W8yFC166y1Zt4eiuG5Zr2v59iXtOq+hsZOOU2
Mud9Lg7kb0DDkzcMfH/EkXGjWxJx9HafZNG9iiq+2sfRxmzdZyeF5NK/STLxZiZ0Ip7Wme212Uxs
wuqZLfLYzOalnb8MDsj/oXyJmJ/g23Ds1f7GphLA7o7wEsZX9AafoOKd2q66tBEc6KEGznVx05jF
SxEpuTcrxqtrN9dDr+2rab6yo6TwZKpvU1fsC72jp9J/65f+GYrULkdUifHFd/phrxhwHmIFckSI
FrlG06kyNxbUxA5UZZGLbps6mzH5ohWXOkEBT1SDsNzT7JUFnfAeK/kiGPUrzPnwrM1vVDf5OTjD
TkefAE4t52dFR2kCnZ83MEXVK5hDIYzfBsm67NSWFrQh665H+jUGN5YU8mt8VeZHrXtIgU7ojeLX
XXpd01OloKo2+sCMN7HRkV+0XRnztdJbOs9lbwc5XlxV0f0AuHSIE2wfVh5tqx2NAslba8ov3Gat
nvODgT8ATc3HdmpfMY0Id9IwCgiBMZBvpWO+Lhec6jBWQHzhNC4uWtIx0v/IGZHYoFkcYO++he54
meFbnEkNiJRh3mL18JVi8Dt+UU+oQASARYuNbbSPKNbuqzF9TG2sqE3kV7UhiCaSmeV+wB4Gi1ik
f9A2Nou7pga6F3bBLMydPaDnF10Nowl9Op6OtFqRqKi27viWx8UWSIlsYIgwOQxlcpN2l9g9e1Zu
b6e7aYn9qgMLXd40IeRJBYwBqpQx50dCXd7f9RxF3kxTNR0DLG8iW3uKRvUuwR1y7Jwgie4RWgzA
xe37xLhdGPfUbX+c1OI0iFvk73Y5xK0leVFU3JYakW0qFF7n9HUc5d4atWNStxH0pulyclECHRuU
CstHnJLwp40uae5BM6r2oUshUTfAXI+JwEsgd+4tcE2OIb8lMDbAb/QeZhzJxiF/6BX7KZN6hUDH
Y7NEMGWVi147ANaDoEXIMkhJp9C6bArriyjuB3MXVbOBSUeXNfBfgScRrIuHSLWVbTn8J3vnsVw5
kmXbX2nrOdKgHRh0D67WJC9VkBMYyQhCObR0fP1bYGVVRUaprsmzHvQs0zKDvIELdz9+zt5r45Xw
mQp3ghOZvv10EOhOz6Xn4qQC/8X8Zyr2QWDh+dNrv/3mDGnxVLWka02x06Eqb9Vn3rberZ9wra9T
q//eDwVQ6tTXt44D2xu0aNCDQvOWpueM6wI004cL4PzOszL3qEN7BYyWutnON8v0qWDatpYGLO+p
JzFJaW30mlEN7yTzUbFIuPevW3woB9SJZreMCPJazwmGOTDcvSFUuBO1rf/gV3ofNOmmdy1z9R35
IS2mmcS4L9za2hgCYJsXIS/U8yQ76pqo77nvUR9TmI2Lvs6buypLrQePT7zUfCb1KomGPVqt8lj0
drjvNDKiBTbr2xwUwSpQhrcPKw3ge4YgadsVZXXOiyRcc9aADARsutdwX53NXAQHOtDNwe8EJB8m
TWAKarinonDLc8tofZmb6lx4Jn7uUOnJPS1z8aTXuvoo4bKS+OYGm9CdSFqALvwCZMO/JFZePXLR
Yf14TZi9e4nbfdOk5QwLSuPkxu5b58Hxk+gKdULdNYNfXoyhdq69nYw3deFHR2U/9bGzaDxQ8/7U
jtegMOxHqKYKGGuszBfH04bNSFI1wv5R3tW96HBxTuKkODBfQb6KXVZ0Hu38cXxP6im/7eTQ3jqY
qG9Ihkv2WQzVgBb4PLWAFhwVXrcxVA7ymLp+4VpEraQ9dG4rMI1lYSfgsSMySrL5gp2nKsa1Hga0
e+VA08yKnGcLYfByZHt6TRxpAirprJ2dCONIV0ixp+Qhw4T4thhfxwjSaxw5y76V6sbETxYuykz1
9zC2l8og905lpKgZ+aqrpg9HJoRaDE2H8ifoHwLNffTy6cat0hc3ljvbIfsPlY89dSBQ23inueMR
vvY6Loc5H9xZaroXrmzNXzuK81cX3wat2gMghCxh2N9dyWFmJm82KhNC3JfMVTdkr8E7nbMOeEIj
4nbPdy9eaOvbPKhB8BcPZm7vY927SLvDeDkto8TiE3fbPqUvDY7UaP11qTXfGKtFCxXGVJSZ+9Db
/WOgGTelovensRPFUXpSo7YPPcWEJuz3pVHZK0cz5Q6KKJPlybxRXrdAtyWXRZKv/So6V/HQoJ6g
KG9iAIKmvelrQn4azVyV66Z7Jnxh0RbN0Y+8Ba6oTSjzzzJvHv95swMdNc2MvzY7GLI7yGaQJbuo
kOlF+780XXCtUzE57rBz5TPX/Pg4jd14Mw7k+DDmUQfdzavLWITTHftTdB1i13kwsLbd1EFF2lbj
5iSqpX32Lr6WCqmv1aOa148zr6RoXlPpvLqqeZ0ZXytuXnvFFKb3xBzSQClYmt28Rr15tSLhmw5y
XsEEI7KY4fk3MHJS7RAGrHU1r3pvXv84ssN1lk3VOfMbf4uXbk5JAy6yhzmnVjnm8VsGa6TOz3uL
Me8y0CKGfRiw8+gthO7KHqwH4Sj2JaOhPg+jqL3Xk6K5h3mYHdFg1QfYxO1NOHEb8+edzgxolqOK
1Xlc7IMg8z3MsYXxw5x3yVq18Z4w9oVPysc6/dpMu3lf1eIQu97XZgvuZ9ip1IteIfM7OC6Uf7WT
1F9Hlpk+wQ7lwjAMbN96NLjHSg3Rne0Xxkfga+M6Q7hplQmH/NchAIrS2JK8BhdqPiOC+bQo5nMj
iX31qc9nST2fKvRziidjPmkQuXDo8G0W+xByw7qazyRvPp2a+ZxiBBPtx7E4FfMZFs2nmcGxFgex
CQR8aqbvNAmPMJDIt6lMo3ka4Kt/81TXogmLpfmsHEFTK+tM9TKAHGHVWF6yKUMaUCnv5rpzibuZ
Mgo4EyXnwhrzi2hkfkHZFKNiMaNL2fPmWRjB4cli+dIiHzV/LYI3O3OAyjAamLjcFK2xaRxd1Khq
v36jVXPPF5kHhXgMNJHzMuVRtGyKQt4WeeK+eZVpHrOETWLrkj1U4Ye2qRQYWuYDlgk7fbf08q63
JFOPEuFvtYkCi7qE28KyqzQy5PoMAW3SCrpqTjmu+6q6Rtw2iXC0X+qcVk6ng8qPYUOuJl5fJbuM
w2Zc+1rwkCTVg2yB8GsDESmTlmcX3HyIMrmw/+AS86x5unO2CAZdN6X92MeUnr1mWqCCexCQbeRB
8Anl1Rtc7eTFc8KUhds40NP4QehttGCAkhwi132IjeTBw059TCo/3REw3TC90A+hZcAdIhoh2rhj
T9HT4nDHj/4aGzq9EiP+VGrOE6imiKo47damoU419cdiyPjfgWtGy0T035zOKA454+pN7o420/XC
3FZK1iuEk1DDJ3vrRQWGoXzQFhGglw3NVNoqev0mO/2OutBc6O5YLag+HstifEI5lt8PWsl1zJPR
1u663sNNmyL3FSVI3RSVIwy3EkiFYZCj5ZYbT5By59l9s+lN1lrh0dcMmoIbWKhA6I/N65D3Yq+M
NP4WT/mrY0gqCKestxIENzYbC/bdJDteK3JWqozcxdpo4kVbulDnA6KrZy7MsiViiNPRzygtSp3r
/K2DGQ0IGRUTKSlwabygeCqClm9YcWvFFewuG79/4M85+9ByJMcuwv7HxnPzY9E6wd4sfX1Xcuye
i0B8NxBxPqSmNvEWsKEAj//OLeYzsVxYwS7SECMWhF+F9oW8jgQbOc9O+tF3pLcOMSlkkKYVcQFU
BVAMVfyulPltkC8E6ZwR8vNGAIJQubiFb24SnJR/us10JTDRpRTuMGzLFku8Bu4U8EMcXpraJKQ6
YXM0dC4eMGA5rJjt3feGqT/iKmu4vRofY6Fba6dKHgUOPAP14VpjHM3NuCR6NDTIXhHWUYkhopfM
+hprDgkQi/GKhvQF+KEJW5A8kF1MWPEeLV+0C4dw+pZ48yWTfNfNNOJ9JQQQzfQyafvpNYjTbAXR
MFqKDv4ugaXmjWgTsmsiZe1DzdWP0eAne9nazU1QiPa2x4986wTa+B6w/xwNsxK7ca6o+rm2quYq
y5rrreGr8pprMFPDG6UNhbYKvqozdlz7EfDceK3n4q3jiX8dvP/fJlQ/D6j+e/ujuLxlP5qvOdVf
5lZ/mlT95V//F42xIEv/VKbMs7LfZ2Dz3+K//nP19r1++w9IpP9xeQvBku7e+h8y/pup1tdP+dNU
S1i/mfOMComssGfLMDOqP2FJhfkb4fRMvBl2MWw3Z9XZnwdb+m9I4fCVORa0YddkGPbnuZb+mw4R
T9dtnZnY1zTsz4O93wdIPMw/Dfr+zkDpl1E/1TcwNm6AQD9x82IM+OM4KUlac7QCGawHoBZJMm6B
qG8oOKC22dufntPf+VXGL3Ih/u6YzOax/SyYYjb3y+8KM429gj4WQLligzP9qkgZa1KxyZEaTH71
kunOsh2efWujiekmzCYwvNY3ydZixuNxlCXRpOa/Uh/yJH+qMedvhE+FtMKzHP7B/dUjH5QxxPqs
CtZlpNYt7WnpEqAymGJjhDUYDgiOWrZ0a9QXQFX8sF+pgJZJwE3FaRGklHf//DGZX8/8r1Xv1yfy
TMtDTMoxD9GW9+VnEWjG4aIBkwrW5FVEWzOx96gS7CvW5OBmjCIYMY5GoIvsOwLE3Ql3Dp2TdnJo
aaS9vZ+i/FUjkOguaA15tDovONp2vCdhcsONqV5R176K8UOSuta33MOK/OzSfUqHxej1dModDG/h
wsdTbTV0ggGYMGGg+TmtKi5UqJ7POoF5fknpRB4g6dxnP+02gM8PrnYdzOI6BdmKfKmVXWHY8NTc
dVnBUuRiZB5CN9h2VXFqXHMXZzkjyW8q0/ZaVC2n/l3Ljy77KOpv61CqhTTtXeo/9V3/3HegmmvI
2styFHu7fYLOCGWHpM2+2Fqw57JGkvYW3tHWjUVykZ6zRLi49BwFriE4OBF4OjIf/ICUVweFXp8f
gMxvxsZikhrSU8raTZV4BLUOzJ5MsUJajypomLXa5z5yNwg9RjHAGeV3EiZSFv3GqgjicZ5Jdjok
GUxpgkUM6aByIL017jchiJsE4H/dDMtQNjwefo1vk0A2XIvaueP7pL1h7brWJZFq6JHyYDakBDOq
90jcmHl1ykkki2OPjhudad0/lDYrs/fWOnmXWnyfDsVOqy/kR25cP3rrsd7b9ns1Fq9N85HjRw+Z
B0CtumnQCfpzxiwFPFCzzBObmNIiDJruAg64vKfH/BqKTDurim9OIH7XKOWvQEyKdhnyapltQLct
s4uP0KqCOW6Uh5b1ZUIXLJc/GpVHd+YUFm8+6aMUF+RhIc100YKQZ0eaxL0wOvORVJt+3xB+8EK4
Dw5ixtncEeasCkIdw6esTHMAgxDwwYdPzFNTqE6LwOmye48u/MZwG7Fq60njlj0AmORTuOObUyu5
y52MjvZY9eE56sv4ZHXWjQOc/66eenFtzaza/N8h+T/UevD6z2rYf6z1mI/Gmdb9y7H4+5/7Xezh
/GaaaL6Q0QoTwqtr/vlY9C3OPhxEWHp494T+s97D/Q07OghTfzbiUaCidPzzuej8ZnCY4cTmtHX4
keLf0XuY/q+aSdgHluWxdvFMcmT9an2fvIb5lUoy0LeWWufiLRQx6QJxnV0iWwWnWNIuAnf8WJQp
igaYUtuKsfbbaDvinHjQu0fayaRUgL0qh9vc4iJk595jiOEFQrKPKaebjVsKOtCQ2v1dXzvZYjCt
GptxJ++bCBdK4tc1w2KbAUmzNBv3rBp2BM+JccUn3Ar64K7DR0SAFbexNACDRjA9UY/epp7FXyJz
Tsw43DcRGyT/UA83hUlp7vnTWWYTp8bQ0v1HfbfomTKANho2Q9OX7ELeZqIlQ2e6yyzSUakORkPM
eCBtVfjDXRXZO77B75yTi6HMTlmHFrcxrwj2jkVdhkt8n0uYOp+OEY8HLQrmYVLqTVszqu9jnu1N
EWdUAZNWbkcRP450011tOHUOD5NwOuuUKP7KsZVeCG7fVloA+YUWq+V0DMl00hvjsf0oTTVdgqeG
PWfRVJAXgYIfbCOSF9rIT66jVrLq1tJe4TGwq6Xh5Z+tPQcXuyhQEWSMngsFKXmo6IVHZUbQl2Cq
C9BnoXP/XmlTstNUd6eZTs/0pBkfu3hy9pbI1iUz01WcFmtVMq4fRRXSDA2je5ST18jq3wNnvu6R
LLMZR+XhVMnsG+eLvegQqKXwqS0VA6+t1yJtQ7vm7BGGqAcrK65WOmf8GhZ9vySL1L0ug4kLS9OW
W0Sp4c3onv3MeQT8BaOD1MzboSb+CMLAOdTtm4i5W5q6z6FUFzh3atl2VHLJUJ/Cutlr4Pj0KXwe
QnBWY7xWjiL2pWsudU2SXX6vQwxc9UhRd44oye0DyrpujbU99ksd3RzBX5a2DMaJGsSsLqrXT6kz
UDTgoPQ8D+msmpUmTE6fTFmOkEvRfI/u/LuTfUUgTU3wySPUt3jJ2e3A61mYzQZVDuM2bzC2FQC8
3DHe7ECj12f4nzLxzxY5QbaeMaeobq2W1FVCjIvUvNZTZLz0mFJ00BLx2gbRfO+7mKcCOIkLU9GX
tdCx3kyR5dwaw9RuYt+ItuRuOx+lXXVHUIVxu2yU497KyioPVtCoI7H2HidKFaEizcOjBruZgJK6
2wPols8JuRpAqromJgicrNwoIUBQMRZ4aMRIvFXeNqgpdPUC7hfGQzUUt5FLTokQuXxNVSDuJxsZ
s9TTdOmWuXuM3MI/ojl0OduGYdMaxjxqmMYzXfDsYWrj8QF0W3dI9DJ7zCiANlVv0tatS79+a4Ne
rCoj6sGW+c4Zxld5ojoY7hiSWxfHmLpDC8vsxUhktxZhMQJB9OnbSTfd15Hv3Ex1Ef2w7JGTs4FY
/h1lacaNGD7qeeqG+IzHYDg5MGiPMvAMmvR9r9963qhfB6uvLhDvjFOWFtEjqFQfaYpTn3hVxMnS
Bv1ErYBwFusHPaqsFFtDmvLC/SBkfIpuMZGRnv+LYt7S/yjT88j3wIJIcgAbN9I/7hl/rJ3TFPGO
1Uzh3gtDeSntuuj3SdM3l8rKafYH0EZKYxgWZBh1K4P0nNWA8HvtABxdM9F9xFqibaSlKlZBMvdd
CDsGJhXrGzqSDeKJOHxpgw5zPZ54h+g1PTm2enYRgYvPo/Kn29I1cvLDPHlWgBEXvEmPTjAS9kip
vwMIkC2Rr5IJqZyHuqZ133VDduN2IZa3gYTIh3IYTA2Cv6LF0IipyldRzg8GhQfleukKYPz5hG9i
2aA4HLEwA/5c97ATX0AsVvGKCqhYO5ORP0JW814AJBwa2cI2NSFmCQ2sXEsAGlqyMlfOsmpFvgJ1
h5Y2I17AClElZEbLp7Ku5dieorK+DyAWI+kn9rAfnQMMkHE55UEMsBgRiQUDbSmGRC2NCPnVZPfH
oC5OImb5x7FCbtCECIljHNcd6WKZQ/ZiNbjhR9Q7wyHvB7JNUQBDHHGdS6EIeUbhJDciSpNrObkE
YREUeOmmQWz9AAl3NwneqgmU+mkoyY9XXdIQIq/5587RCQPXQ/MUxm51Sbn6XgvD1W9JQWXAhDW1
PfJdjyegSTGegNY/Gy6p5wsPg+F3ESLsXHCtj35gSMmXYx2Mm3peKWpeM968esx5HXXzipKN1x2i
YLQuqZaPd2UVV0TW55zPUdNfyoGjEtN/g5knQ+VG0Q/ic17B/ryW9XlVByLNH5Azj2fH4PRBzTJs
qnkfQKPuH9VEf720ib/uq3x+DyrvHmmQfEX01e+neV+Z5h3GnvcaZ9512nn/meadKJ73JJ9U9X1K
6/SUhy5b1ojf4Rk5Y7dP0mx2oA3hkbzbiPat670l0lTHMtBKJiqpuI0yUPczCaA7UoC4H0QiRNsR
HTzakdi95f/WbroqdJcGc+Z1HOMrRPGoZlFQUEPVbSafCiWl49BsPD+VBgxBkQwbgl2RHyBPcrOl
EVq1wmMXZf0lF4m31J3KQa4u/GZamT4DVEQPfpAc8qkJy2dcLTX3MictW7xSVtruirDuw5PJtQHs
cBPb9aJrvb5DfJGDh62rGIWiHhJqCcY6UuHKV2PFTGZyyO4bHYfeQm0DbGMZJAU4s9a6sbTePHvh
6NyR5E0msW816xoLwLWZaifFzBpk+hamtJRrrTawuQRJ4SOuKoP32SfE3dCHTrSoxRRp6y6TVEB9
Ms8MBdvmt0nCY1tyOTfYWxQxlLxiRmXAimnNa9pWPJe8uhOBmqBEJChpGlUuWzPfNY6nbxLRPrb9
yUVeRsK7foaQUp5JUwTIjUNmSY1KfGiNsg99bcbtSYHr9kNCVotyWKCOHhbgwl8xHAwbgn0/jJyg
Rq+24C0qk3jSargA8TaXblO/x+IdCZ5/UCaUZVcokzYBx4BVVPYiEfpWRAVTH+OaMLlfjdJD7Yej
O8oEwd8ZAfRdZYtj647uThYBLIfYIqxcu5KEy5kXG9ZJ4/xf61P5IZtCm78jNBGqBJEcDbcc54+T
Ucafjj1EIOIZEA2ymI5J2tKfGIr2iVg2tUqMSn3SB+UdBF5YWugvW50EZz8W4f81Q/+nmn7uULOr
8R/f81Z/SWmCdfu3l735D//eA507nbDdZssbDbcvGs7vPVD9Nwz0P7VHuYf9tQfKf0H5T1MO5zVw
0L9e9miPon0no4juHelMlv3vXPZ8rpp/6AHi+bWQAePuZq7moe7/Y9VQ1hrkj9yw0RLGn51wL6J2
tqXrPyRBieQvMdZScV/rGZYxLCUUw31hp912/ms00K4ytPAYRNNT2rlb0DcbAzp+coL1cmgHFOUC
CXDQn0FkPlXIN9M23JSTs02meqcTbhvRtJEl4+el23kbl0zyBGyZTOqdXcl96lp3bu1cmJRvh8q+
swMDcMJi5uAxwtyo0geeUt17Wnk/oZMMXIsAHHLoM30h2/dJ3qsQC1M2bR0CoYU9nEXp7TlST2AK
Lrk9PpUW5vo2v3UdfV0qgmhgbyc01Fj+DxM005UX2A+NywB5SG6ywIbJE83TNKfeTUQ0L5JQ3rWh
2Flo1ZDW9q9t7QMOrb8lNo+MKwmAdHfPkHIN4e9Da7lNcl+0QZH/9Ob9vfby/CX93Db9+hIF4SAW
vXbemvlC/5N3XmF8bSJk73AZkWjn7hf8IhyqG0epG1FD94iidJlOYq3BmEVb9i9cc7/aYb966TrU
E3oZNDUgqv3xA1CkeYVvklQFcRgUZnzyunoz6hx/vXKcdRqZN3aQutsumG7RPj/1eWyd6P5r+8zl
AisWP5TV1puJXjNocCveCCPI1kExnUZZ77pqvjN4obbXW0aGwMqYNslstc0HNvuUKSGFjFwPsLgg
gbuLoggcdGbWsRrhxkXER627xvxQQ6AWwzjddXq8JZQXZYNpPFuVeQzEePaS7kgSdXUoqjI8/vsN
s3P8URdN8dn+Og36w8joH/5f/wutT+yQkF0Y69B14h9MmsY/vbd/Mz46vX1/S6Oft8q/+wP+tGt6
7HLsfowBIIjN4yBe6b9MjuBu6WyMxBwDPmCo8fumaYnfcNKyhyFcw0cJSeIvm6Zl0lcTHiYAdk6m
HbzAv0yK/tnkyJu9VT8tOA38K+CXGSf1x/fcli3q/bQF4D+IbNPx4dkxSji3S66q0OctP5+OQsu9
bYczinLXEYfC9KJu0bttchnKiW527imHOHne7CdHCzrYop56KpPMt5cYtMnIqAEfykU8VP6V7lNz
J1LdHnHYZ4yPLTEVcbUowxDTfdkbjEowMNOMn12k70hwtXLfMx8+N6ZjHeRoDG99oPL3MkoBDtR2
Um6LLKeghJnph8wQGmbc0GXc11ox1F9YhT+qrdJbnCmmlH21p1IJtFnJbKODLo2kOiSeG9+NyGTA
PU919eBQeN13UB3xpXY9TlRVuy+mSrPbcTSUthx7MyWrOKEO3JgK4ws98kh/qcAzE6RlafREfG6v
1zGPkaGQ89F/JI42Hvwksw9GF4ZXZyaCVl5s3ptO0j1Tazu3GbTNq8jYVbTW9nccJNO218d8jYhN
BKeeYwOxK45dK0SIbHK6eBvmRpAEQrOLPuZI6minyQa5jTRdkpKzdJiOpeZanwPXSxpC4fQjHrIM
PH9YVi+Tmdo3fqc4EqMmwT6b2Un4KGzZ085khnIbISO4UN6OwwKqNXIYYvT6bSpjyvQk7IdHrNLa
EzcdXE7uIPRHD3w8QXsuJol1rEn6C25kvifGQATf5NG0M1scW6MeNrdZ7mpoKhAKi3VWBv4x4SJw
SvII2VBlMdsQSRVjREWJVC8I0WhfSb/TUMbbXfMjJNLwwSE+CV2Y3dJO9FrNI1WvQ5ZU1ihRwiKX
ctWSfrpNidbwb1AuygobV5KPSxK8acopjZCo8wBcPiavqCrsNcJ1zdpg3BU/MMsG9iqSFQ7iMsnL
ae3iBTdQk2YJfG2nLl8nW0bf9FkY4mbxmN9kzuj0C1aNangYMhtwwIiOG05Qj90yRrnP8+tpyy4t
fhENR0dFV4drfs3Td8NvWWMFn3FSCnWopYmlKSAsHv1QZ3wwHtSzRVS7Rr+1sgAeM7+rhVxfW1Fx
S1SHcer8KA8WgZTePhqG5gPD0sjNpuzylR5n/HtjNtrJ0GI0XH1HsWMX05TctlHv4u4ZA2efDCp7
rNrQ/q6wUb+MIWJukk4CUa7ymIRyQ2eym+haai9nI9W+jLg8LKKECyN4dNe1Vwy5JHe/Im0xmvth
t1H+nIUVTcr74fe1y7ir8Q1sMdKhRz224o6g32bf06eBtJp14z08oubdr53mOUki/YJGdtrQJG6L
VRaNiKLK2u/vMJM0z+hfnUXtDMVxmowK9IKANzB6CTrUuA968Id+i1CniGZmUS55FrR0CQNJ+hKP
RpMecyN1ojWwHEyJCR2Xfd6G2AaMwJqwR+a0EqQ+FChdHXqbfSLctdsU/Yc/AQxeGAmS62WrpvYs
U6murj9FdEwD0orwJKhxOztjtkYp9T3JHwPZU3yNL4QbTd9brQndtdnq6qyjCTt32AzPPj4l2pww
tK5DVsb3fa9x85O9a+z1AfIoMb31NfaG/oa0TsRDM4RhFRZd/q0oIrHupyHaNKRpPtAgzglvAza7
wUYn1ZwagVS+1bnPMwNIXvN4KG4SWTvrZo7VIgl33HdBPX3vlFV4UG6jwtimaWGJhdsrvntmtRG2
zSEsX5j4py/CCM3h4AMsI/BtFPWCPbx95NuBIa6r0LihC4OkTLaVOmjOOBBU5jWWvy08yBJBrHFx
1BtrKHlXk+JdMjd/aO2Ol7DSO4R61HjJK3a38ptTDbj+qqouJENsuyWh0p1MEqLBNueLVtTkdJul
Xj41iZGkV9MriMBolcWmQ6FarQgs081jlCh9WPU8/gk195yu5Zaqx0EqB8tGM68a66asyvqM94pJ
6JD7inSRkFSkuiKmaYzC6DPS6mJVNnr8EJp1I8lctzhuhEwZCVVBEi1lWIg1KnIGAWFOQrSd69gm
tQLjgN1XNMYtFchDN/TY3ZxeZs1SFm1x0RMTuaIRNowpvGC8HcoKUpKGPG7bAzPdGzQnaV120l7i
J3NGPF9WcrJqQ3OWZtFa3DisCHj2Td2NzAIiijXm6k0/nQgYKulaZMz/9crWU6JHswThbJqvdWkd
hzEeEBjIjj9V8AnvykI0z5b0hkMLtN9agsZ0GFOkcyxZMejxKqQVe2DZOMVzRigOcSVtsxOut20b
jPoLZcgX6dU+rYL5xoFVAUVb7stDZM0uCSMhDHEVNyTSLth2cvYhR9vWxhUm9R0B9P6CALTpu+Q0
4KCO2weZS++IdnRkaoGlxM6b9pqTQ/dpc/hsrbC1DgREv4l6wEbb+ZLYeivcmW3TPFqjY+281BEs
XSlhg3gGRrXYRyuOgde/7chLw584dDQ+hVcejKDN1q6KO+prgzG1xVSQqV2cjCf6My0tNziqfh+k
Z+mwkc/uzYrwnRFbxpKhmtYtWtcI0mXUawbZT8onlDqu0v0UN8UVvYc8jLxqJ89rk+Pkx/axizoG
+XHZNd8QKfqrxsm9D6BCZs7oz65u7Ex61zzTxS5pW5AudklKrjlq5neEwUSn4/S7qxKcwhXBGfY6
S2nz6k5bPuokkaNO5usv0H1/y6JUzDNIGDxAi0J9YYhEXPLUdz+MuOWCWPtDsXTrtpxveSgs2qp9
qEzEBmNolLcuXZ9zXicMvIY0QbXnNGJtFSLCKq8jZwTjabXUXKZ4xfxMy7gACPHo2nPzzhmy8EcQ
VRF3TI3pX1eKbCkzViHzxdbgAC267qW3lViLnm6oBnBVZwMIwheBJaRahHEPpd6NtNcUyUaMGDbh
cusn7jbySoET1bUO/jikn3ze+hamuXr3p468iKlUDeVZzGwKI4jXPvhqyKpF0gxOsrLC2COEkCvk
nRfW3kYgHnma4A5sRJVnb5DyKDXKJh1CRgXB0C4IxcrrpVlZ4ZavajgZYQhBn85nfRfXFu3BonRT
oLyTZKcyi7GVzBKjOj6IROuKbdfWdbAv6WaFtBNHV26kERmXpiztZ1MMiA/NRk/VJiZYgQkz8BAo
52btHeNQMM8F89u0q37w64hoen2ylp1ZIWQJ1FC/DG1cJytYjXqxjCcZnGNG6Uw3WpdOm5H707Iw
4/YtJFDLXAwASq9pL3j+9LptcKNZ0u3MMZNPth1V17KSDWBy7kPXRNn+qjf6cKkBLjjGNCxvjLHT
f8S4UCWdgoY8W85dElWEiUeE+XPt3CNBjiNQL5QEi6FuonwdxkBYV4bGFebWc7I+2Ay9Y++ENIuC
maZdkpaJ8tOCiyfbmevV4NvjWwjD5egXYuvCiL5KaZbVavIHb1oUvrQ/k0zzGdT7mvHoO5p6iz1N
/+55sutwpk2c5MBRWiwqY5IjR+oqaAgySUpsXm3EvEeGn2ZYxNd2Quaq/NKIN9SYE+EwXox/t6jv
voL0agFSjbhPz90oqrYEpyCsfPwRpFDpXeotXLcJ3vyhMq96Tomxpur1NWAtviPXIyqW2R4gtU/G
7RM1Wlfv/Ym/+GLqq2Kjkem4roXFMrE5l7E2jozbq0Qv3iy/Kk34meTr4d3Gxlua422hSwa/eVkM
CJpLkv2gHYHlDrIqug1kau+t1MP5gCmsXkCBxd0ge5NwvNoaPBKk+ZHhI8wVPpNRW+VTOQivWVVI
pz4LiWG5tqQCOqAzqZdB1a20BKiU6GDX1zVJKC1yrDVebEQAgU4FiDmFPKoQz9i6m7DKo7hLnYWj
h+VbJLX6mEKOo8A3JmjpLTNfZdME38Lwpx9BP05jStLzU7yoQbksPIC3JndOc9taXXCga11/KOlT
NE+M7K+c3BjQLAT8RxTQOYMOHeEYrgFrq2sN9rUKwpPgDFmHNYQ+14xSsO2JmPY2cWMLjfb5mtT1
/8fdmTW3jW1Z+q9k1EM/NRzAwRwVXRHNmRQlUbOsFwRtycDBPE+/vj/Qlq/ldGbevHZXV7XjvtyU
RIIgcHD23mt9q501Q9XACquNnYEI85F9AKywyE1BXxKXyE0TZzPCX0YkZQzGkZ9j+ezDqLnOjIZW
U6LHcKG8An9PWqjyylbHeKnlGJxmJjz9MzURbKfMyFsKy/vAPtVdq9yTS5Lpq6Xhuv6TKJP6w4A7
Bh00Iip4vSJ68qvMvvJHrWK4ZiThDlFwvB6VJEFNUPe3fe8dhqBm4qtitzNlyX0peobznmX2O6do
u42Rx/6ZZeUR592SOydAtU2LUprrLFLFQ1GOcP4zmVnTDj3RV4GqSlzIhgHNo/ZDdrORVD+YLDEb
ybaUKQ+8xnPwBFMQh05xXIJlnQmyJmvk6GO8xbPEJlpNZHaLQMJZsYWzDhb6/BtjzPQtHgDlkFWA
IjpIWsPMD632tlByv5ux8ootMExnafdtcMut5+HZIe5m7sAnZ3n0JatL07qkeaXMYFO4ugzxA+vQ
0uzFBOI4g5zpZL+dm4rebAIZ6BcSSZtDnFWISSgu/GFhqmgUArWxt17iEy3rNWF9M4hY3qHjaw+u
4psfuXe1g0bI20tRBdUK64EHMUAMgQIowtAegICwq9eicGsWVggQAv4TAxd6GUnNeiWbRjBSdRJ0
4FOWcpMmyRqrPuZXjDMo76184cVGf6bEfNjI5kVmnpIWbFn9DIdZrDcPJY+6gHcr4pWqarwmDvcb
T2AcrQOy02ZDkwum7fhyAEEQB4djpz/PELdPJKSOhqdhB+mtlmjhyjJaknkM8cmmGOSpXETAkftG
qfeD0dt0sY1y2UaRk17HvdHdWzyU+S7HInNWkDDq58joh/n/pDiPcy/V440+oA+s47LvF6oV4qwd
hwBtAY+UZkG8MZF/f7+ReJsl/O9Pu4j/vYTn06zlT4Xn8wBBnURy/qZ7yEjly19+GbRY78gSR82G
zcmB5Tkher+0DK13tuagNrZQOn/GK722DNV3NsHEDFMQQeuwbWkzfhHV6eo7WohoXCx4oczKYcP+
jZah9rZjOCn90GeoE9yW+bxBgNTbzmETWHaiJuGAy6ks7hJ4s48FxeG5g82/prAs+/e1on7wIq18
YTqZPnVNNRCoHATN0qi6jK1fVi5tpv2PpdZmuzbJ/YXmyPjZjP3m4f/KZfaHzeo3Le3/ThcjQzDc
npPs/I8nf3c1hAk62d+LPP/xt19a2No71RAOwhzgh1w/01Dky/VovzOJ9BD4Irgupzb16+WovTOY
+iG7NOgIuJbBgXy5HIXzjh9MfF5bny5u/upvXI6W/f3ISIOEC82LPo+NcghIyNvrMfCGvKSbINYE
GCfx2kb6D1zGzNDfeLZ5rKiwrrSBzUeRR+oc4D6dQHbflljpRlWvOtPu9hCqiHprVSJpw6aYB/ld
Q65d2rbIYkBwL0hli7d2nbcfAtnUWzWUOuVuTVokaF1A5rPWMfGKk9ASkS8q1WsvptpM62K8FMzU
ZnFh1JswbTgK5oMBqchNj9az2yhpXr4ggkDiZ08sEDeRCEtdzblQ60bufeY6y0GEcqHYTbFKhB6g
cErksqpDh86pNiW+j+W8gJ+yxlzsPocYuxKS3gcVB4hnrLOhUW/sUcrLKLcKGOio4hO9h/Jn1N24
wzclFqpLNq0YbeLsdVoachYI3HSgu9nU+3G4TpwCs4RPbmnHZrqlWWY2zlUXhz4sppxGpGPkH1QI
qBdGpO6N0XqqXfWc7j4hTwY1+hBDwLXPRnO4ChSwvrRyD+jszxW+ORjzdr3SS+ZYll9uMU729SpT
rDgGjp7kMA36rl4ENEVvGUGwOaaY99QFknIYpOFZGbERyJ3EWHipWRczZ/KnB8nAcLN2S9g1aSOy
o6IrA77f0ntyw56O5+jkBx5tTTYfhWLdxgajACreCg+Xop5jz4ix6NU6iAmnnraqrhZtraS3N22F
0YtVqr1rGR1qDC/MKCGiAEuqrmh7lk5lm4lC+VjpNVDHyCSkhiuNQPK0sx+62BJnqYCmhN4LGQkY
pmGJD0U+S9bSpcpVuXGDjK1eZhISTd81fWpNYV3amFJnMa65D2Weva+dwX4PWNJe20kaXSfojg/V
AA8EKH48yykN94jN7D19Hh9loRUsyqrfe1nv76epwqosdGXjqkQteL4hrmz69SRcoeTF6B9xRZsR
4A+NcY6TBnQ/eqNKZ3EEIgqQmLYf0BvSXiRK6r62RSDmlYvIIyvkcNMzH9jSBdQOQosbY+mbeXvU
TbpLTEwNtDdViH55rJ+6xOv2XgpkCzeTflupjhIw+Mw65Dth+RRbXlHOo3CsijnsY7O4IM0bZ4jX
EamCjx6ApR1FyjKi1CmWXkcsALj/HkmdwtukptUdWstK7o1MKRkUKHwVRdTbwZImqm3MUgKSz0Y/
KeZ61SJJDQXTXlz6lywXKI0iKeRFGEC6dGj1H7p6rPctwVuHXmvRRQn83DfumGk7I6orwB2Fln1k
suhfqvXAPERooVi1ZQF2qLfVKdPaVs4Sj7z5ead1mcabpuGlGPX03GvH6FCVHQwaj2lPHWsAlRxC
fmy7swuEwl1+5eSddwnGOt8HiYPSK4dGNqtALK5wxVQlM5dY7kXowbXIBmuvBVV/poIJW+M/o4ml
5t15kMTJk5nHQJnAAIF+EcNdTufbnZu57t1qZSI+aGIkb4g53ZwuX3ljpjmDCqNFVgg1fI3ynHuL
jkp0QYHbXTHu6a8Yh9MqcbKynueubS9YUpeaXW+UQi03dtYGyIo9FZav2e5qWykOmuUmB2na5n2h
WB1MMzV76agwySbuM7HxRke5sYdGXLZM/O41r6DdqQE8Pau7kFYWCbFncOe5pFNd/5QypVhkWpff
m5mqLZS8L+9l0KBY06OmnsVQRJa6NkBAQuaE/yoKVmoVdFBf/Apffhm2MwVZ5Y1hJx7Rz8yRZrhM
h20WpfreT+S4HhLLXDtu7SAoKceFr4XQzsrGfUyVCbNfieaaEdWEy5qaPXVnP8pOS9aJXwYrJF/F
hbAw5qDgn4BbNUAzTSRPKOrdJ9dJkkNjtfSxSftd9CPZqBHKPPJ26S7NHcUW2zKa4M14hwmviKOA
TJy42eUt/e2uccqtMWrJIcckBApRfhRl78yttNrlTNHWNk81QIBPuT4WNFIb+9ovJLKuftg65PDd
FmHcvqQV7XGoKv26LicunU2PSaMfOhIlTt0Jrq8kTXqlIDL15zUdhH1uK1N9roazssmYtzqkqnkq
2jYTovBsmnIZ+mMJncVspHKuZe0m8Ul8tKV/3is4IFiql9oAQioJsQwioiyXdYlgRuvjNKfrUMMK
IcxSj3eRXlcq7mdsDQEZICBoggacZB3G26BhOjj3NT9dlj2zmqAsn9gUszI35B7MnU6HSTmqmMPK
ahwWjSHGpSg6c5W6SXvNgNZMlojN3E2v5QhZMY34sCPdWRde29NEm2lUdVArnmc59DBawyL/UDhD
sutzTg9iW/OWzS/R1X1unAdVPg1mvXyhVelwpnVTP4MOCGDMEUWHiB+13nuOeGjFiXcMervadAk6
IielwUJnoTb8eWFm3haRZQa0UtGv6SZgfggz9QaEC8ymUgH1EpDzxOzHIRdjxrjZWFhpr62SRgpm
R6ryqfdKa6eJjCm8CpeK7naz0cn8nOIXs+ekBnjqiNze1SIfKU0gs6tBepg26JNtZFz6beLd8AUk
nFPhJLMiQj7vCCKdjKoILjQfwSe/qC/8qtfWORGmB+A96h6uSPLYtWq7bGG+ALFXWohpHakdG4ZV
vcripBK4pOj63FMUomTo/yGt1Etmdb7TySVeDstYW6kMtqmRKtdwOX1cMb0BWKmn+ThXqtSCROWm
2TX7C5mexz6A34WSxIiuWQbmwVattJHYsqIIu0uGWuWOvmmMbVKXLwkrDvwZw+rmDO8c/OKWvNOT
JFyGbHfnDtHCSP5b7B0Cjx7/39Y3Ccj5lR4K4P6ZVJe6q2KbdITc0PyAhG93+XXVdZdKlmBlIamv
x5BRElK3aPoW4r1Kv61mazGvyAGYl1XXP3ey7z9BO3mupFk+2XF7tPJWjWam4WeXdCYmrmgDJdKW
cp5mere39RKTRg6JczREuci8wZ7bFcisLubxVKkNQ5DCuRVjh1ZbdNFSMFxeeOCPFgF9wFmcM1gy
YzNdBVUjz2iJdpe15ilrL+uUmzoio7UzNWtuCLTOVjh4z45eYNctUcOlwajzNTTJrTQz61zqjn9Q
mcHC42vrlQImEJZYbN2QJ1ru9ZRH5zwUY8h0vqbzLpj+7ogqalcVKZrbEkvNBy1s+yXKNu+QyLJZ
Mlu1SYPmwQkg1LxoMkLsldjTwU4qPg0UHcFt56TwTaXszeUYo5U1o1bJ5kJ2NgFgarACkUF2ThN1
iK7czDiznbJdamVvbJLe0m682g2WZQ7uolGEtzEHIwL/12n3dYkshA6LvomsttvK2MsONsNSbdYw
YSwnEKV8pOFWb4ouyq9R4NSLXkiYTTK1ycgbjXsedDiRrNKhOqDzvjQ6J9pJLXE2tgdLrvHz9JOT
Rs65VZnxXQuEfW3Vqbos8M8BAoXb4BaDsbLJfNimba4tjMhzedQM9K3ZDUwtobTfV2p9ZarVin0q
5hx7DJEHlg8KFG0kjsFFOyjvEd0zXvQzPESEpc8sh+GVzChacsueolfUfpfjl12WhKniMDZkh3IM
G6jVJMgvuDBwliUkkF2rkWndqsZoAkeoPT5Bb89Kr/J231SWP1D2id8p676v075T1pEQOIaMFINN
P8ktSaOJFkrr2iDWHEkIH1PiEKbHXeGK/hafivs4OG1+KYLRP3MGUbz3YCEvjZYNPsxD4a+DZshv
e90dV6qpFIvIjuQiIdrokLYl4+JJYxOxoWWiRnA9WwnFE/IRUauisKlJYZuJOl3nrW0sSWc6c4CJ
f/StzGd+3GeAj+Nqk5TWfVNU2lapc3Pp4Wl4FE2DLppk5Tn0E7j9HPs8JQ7qwohJJmCqXZqLpHBG
rDm2/cRO3V+bgmGqFnbHrDUPTd3cwHoGJEea2AIfDL3LMRiu2ibdg6EY97KNbHbgoEpmKkAdn6o0
wLgc9+XIsu2X5rOoC5q5ikGvmCkpm8IlE8jsYRRJDNlJOhFLbGC1e8+2h21QsNulAymsK3IakBHE
I5kcPcsBLodIvJgoCJ9zb2wXuaHYy44kputsjBAj4uaejShR1WU2tNYZvhplQyKit6jCMSugwmGj
g4Sl9i9t1T9WwVis0saUK6NM4pXZ0+IEkQUkJKf3rTOzP/eYRrW4EMvanjUmhJUma2mTa6O8HKOU
J3SQip1H/XqQKr4N0D2tvOZGd7c9I7+tYGC9JUQApa4cqk95ULMVTLquh2XSESHTsF/o5k4BSXHO
eDaDwMg+uz1tuePT9ltMO3GewmzKUbpVaDEKQR82pAGtdsAF9WknjxiJtcmZ9vfaaaevIpVgfWD/
j+yq3rtTTRBN1QFTFADdDF1Il/AV57IKO41gA7e6TaYCozzVGhY7MxajqQTRT9VIMxUmyVSiJKdq
xZsKl64MeFhbnZiDtyN6QIcHtPQDRhDuqeRxTuWPxngq39SF3aP6t7RdX5rucjByUENlxIXrRky3
fADrxxwFBBzikB5+2tYHA/HoenCwnbKIUW+NxXiTY5xYxEp+rQgpN7nCCdNBO1zjATXmmWSnDP+x
V2YZW+Gd3YPWagOKNKP0CHZrwobmtMM2jIlO7UK+VOmfF6Y5b2hOHsgvte8LvgPStaaSMZqKR1gU
1JEROcnnQVTTKaDINOjgz7tT5WmdqlB3KkhzTY/WxVSkNlO5ypzI3xdUsPlUyuLY5WufylsOcip0
KXnLqfhlJNYerKkgxhhrr03Fd94zVn/fV2H0wZoK6GYqpUnESJ/SqbwGI0SlPU5FdzCV3+5UiA+n
mjyeyvNkKtTbqWSvp+K9n8r4+lTR4/bwYChQ5qMkULYhi3TiYWiqGSIls+bUGYimJkEztQvMqXEg
6sZd/PmKanwveNcMobqGZlm03xhWO98niriuTpFQKOuhdoxdGsltLTwHfB0MOyHYpwsEpAfVQNox
01yMISbQ5nUrbO19hZ0mnZeZ7T8PbdPtktgYzhRHqw5g+N1HNgbZve7k+0ampDSo7pizeequmWYR
FwMCJOI7Rdw4G+wh2kCHYpTl1SGGKctX7F3l+Ckc8oGj0l3RsrPyxvRY4qIpeOZYjM/GaSGLTmta
eFrfxtNaZ5zWvWBaAt1pMfzzE3byDX4rLv/8BGIzLaY2F7iWt51Ct6x8hiODs2aGfTM+6o/FUXks
rruL6grrcXqpxH+ReHzKyfzuHTUVJMsEiGGptL97x44GS2LV0lu3luN9YJqIJQvl6nAR9XIUpPZk
+Vk5FDUuLD8KPmjmWC9z9OWfRmQ/4CsH6a1IEcXaLWx21MvR03mGiyy31TXBJ8oDhmLr1iIIKUJE
ksFYjAymqyBQhhJ+bFbscc8CF07HfstOhvWJdsrMsnERkqu5btl+0mxIwlVsIKYbqq44czJzfLK6
EMB958XbtiCTAwq+cpdI/MdNnUZX2L38MwEeEo48G+KbwLXGo4F0JlrEXd8tQnQY94avT+tXIuL/
5Jb+f0H9ufal484d/Mfd+l0ADvqPevX85Zdevf3OJchLIyDqu9mRo6McZ2BzEqEDK/raqxdAHBzi
Cgmx0h0yNqb2/muvnvwN7hWmSjYGNRMx59/p1aMC5g779n4A0gPuiOEWL4eJaAJQfGvvUBM19D1l
GNeJZtC2htiWpaxNgEEhUpoNjFvTsx64TdV4UZWEQy+R5SBn8IfS1xZVJXCueHnR3nRq5+oz20Qd
WMdKcu70Tb3SuqC+zroBrqyWdXPGASMOuiGWm6DJ0jMOKIGknXWbzm2sDtKj0/V7K1PLMxCKqbw0
mwZpJDdyIKl3Qzs4K227EiTjZPE1tnBzmI3JMAxz0x51sewLNUXfaFMyzbJQovZsgKxAvgvJ6FHd
1IT+3XrhdduYxYbgbTtaaH36CDipd+eNpzXPfDjuWKfykFH7enNrVxZ8ZYKLYm/WJZq37szchqLe
WV2GRJFJPq6s1l+VemFnKzl2REdVvScvZK0xu0BBZRCqbBP8uGOnNtEqkYYT1ulEHqoyjNYq4d3U
g0uvNCRrrNVZ/VwGqfKUNZ6LDTIe5B41a3gs6C7sK6ES1V1mmS3PeoJ7xwUZTxiPp1Q165RHZOMz
9xxyKLLmfSyijriKps5eBHCXT4FhgzRg65zvST8YzvsOFzESapcckqZyB5rIeR9tNEV0B2VU2qsQ
deVHPSGClW5YgBgG673yWBXGADSNBJBsbRSVdQDkQMdFGPBKZyOiRxQqaIluMz1u2W/Uak024Wjl
2bxihPHJylV3GiUgVMR0rHurRsHiDlB5DNco/nBz4o4msiK0I2yKjae4Z5rM85WWp+1ClFVxyAcl
PwQtHSy9ziAyho56UfS4lWfhGCbdIjZN5v1mkh/Vqu4vkE7qDdSAQcxZpqOdUhLYDv0xnyOlrxaV
pKphuJ4O69pAFpSZ2rCCgN8/2IOHNNhPXcyiUXXf55l8MNyQ6ZE+4lN1VMd5ZJsx3mhZ3x9wBJPt
UsN0iDS3uww1Vv04MiWywSI6bzQ4Gg2vxTiMYHhP69I18AkCbpGo0saZMuTHUhBEKsdzhYbYLPNK
bwePNtuIJHBXqW6la7zYyX2pGfjbHP3O0hkCqRYY0ylloGjP2Elw5TOxGmZl10XXbmvqW1C1+bxr
VGchHVmdFR6yIfjedJz9FOd70/Q7vSZxPrBJAi9UC7WIBZEVCqjB+Y+E5x80oAdXuiDye0jpfnGt
6+tchGiSAzZvn5zOqK8aLxeg6U3tZvS78V6hVNsAXxxoMoWFjX2lz9P7mIriwcjC/D7K6uYTCr3w
3tbMLXjOZmNEvDbhpLKbV1FtHQboQu8LkVRXaWJoR2zLZjYvhO3eCLDi8zSIpToPE0oc4KsDwMc+
1MNlpw+0hpk+HrsxrIcZMF/jToiCnkEL/7Ls4NYSsWVfMgm3nkK29MsgMT2Ev1ZFP9Kxvc2QS23L
Hjh+tiuPflVWqAIyr2IOl6GdAhpB/pl/ErLQ7qcL4VYf7fFTYHcd6plOje9GegtXQ9IfbOLNWnAc
dUKIpal1fE6lINgYZN17XaecWDdGn5oLN469C0xGzW5gjbj2GNu8IBoFb0DjcnhAHxXXSHLUbKOD
esLXq3v6JziceK6BtIDlqCJh3TZuSr5NQxU4H2PTZ2/op0erNLj7KWZzqJk5MaSSLEbGAynRDZrT
76nb8QgguR5XfV4T3IFVfWbgKF8Kh7KMiVg7K9kQragDQBWA3y93dHOLfFHGlDwwd5txEw8OXph0
CJppt4oUEfc2qhnLJHHDqUV17Yu4WMusx6bQyqa6gY0ql5alFwxuwQDoVuxd+7FhvKdnFu2IS/Oe
lK66UXO4AqHfEL+Qq0N4hWs+StAXRnLWVpTXM0/3my27VkGjGpI4yN9B31uRg2yoiAI5o90YXEZm
717AP6ICC0el4UTEJMJ1VuV3G5SZ9Q1E+Pg2aH3iRUKlW7atb58xalWvaKd1O8lGch8L5lIyahLU
mGCal1HUu5dJOgybNoPeQBGFZaproClPZgWpLKlZLWXlyEKa885yi3NuBXEH9T+78ouQzVrdWrsB
9sKxrwr3CGScQA1X5Zg7XS+ftZpYyT6T4rYllXM5Gqm9dIrAAflS5h99z++OoOJoQPi6CbwlUphm
oWrsyg0CargPkggmzBHpJyipZUSn2nY2SJH0VUsVNyyEieqPEVe2D7tIBzAzndFBBydud2a2qseB
RgW7/ivFNhQiD1QnyVcgaHneOrnL9A9nC7JnzZxCSrq2Y54b0yAIEuEByB2aT3oLOOxSixrK6Mwx
Ivzmic18TRIZmTZyuCph4PBkL6vyKs3shKgf6vSZloQ2hFmapPu0bQoeXq0VXYAI8kFXJNkuMCuE
5Abd4Gc76TxUVpSE6tzTdXkG26NzV0K06p1lx/KeZ3Yk56XMa2YpbtZSYyrmGbacfO1apnvn4uJh
gFrix3AgzBOnJBrlLJbeqG5lW6W3YK3RcRV1hVy8UFTjLEgH/SHLVSxfvVluJQmS+QwZLoqZaZ9e
Z7a47lVH7AyXDEOvUkEpOz70hWzsDmNacUJcFt2ZYtf1g+kW2aeAPN8HtSutNS6NdFsh/lowC0+v
Xa8w9nYJH3qSkloPtSgx+tVo612S0AzAsmGZ0w2GoXyBWjR6yNAZwergnK09Oi44tyo33rtD47x3
R9kzTbYeVSPO14MV4VhTDC5nnzxHt8yNWwXH1zawEia6LuIIBrJ2Zd8x/yIVJsf9v2ZCEb9PfbUj
VZllfxaKMgdTroGwrkfcfODOMXL0cbCzZNZs4Qo7UzPHWnseKYeNTudKCUNJG6NrnwYx2RZkZFjz
WLej985QpvUsaHRnU3qg2fWhCQRjcrV98cwKgDThVyUbo6WaS0i1enVMZe5suo7Lv6H+P0OgfAs7
rFx3bnuj2fiKSiMu161R1mgsW4cVK2xNdd0rVcbaFPvxjeQyeSh6FcEnM9+N7JQ2WcKukrD53Lbf
NQqY/3nW5LW/TMFcPrpVPXzIbeYOJE5I5lJd7LKqhwmsP2Lfci+Yk6lUzlU/ptvL1zwCpW7MimU7
j9/Lwuo4iW5LgS54fK69EHbKGDTRIYTXW8zcbPAWGSnkByuTt9A37INPPOOtVEOA3JmOpBO1OGyd
kIBsFsNMecnNRL2tKfo3YQxNIoTcsfLVwJjHstVvO2PrccrBjfHrSWWeV+SB7RO1M5ZdUjImcfGx
2WmQbBNNTef2QPxZ5dT5QrG0CzuR2oXFVhmQpNpdeUUm99EYayvECEowrzWesbPOE4Ar7aKzF62X
EcuUuOGFxvhl7xcJMxClCsxkgymiPi9HNouzknLmHg/XpL+us0BfiCFV4CaxQbyHgGY5C703/PuC
tY4n2GBe5zaTq4XesEsk2TaNMUsqjqvMTLAld0yA3QvCv4ODb9dT6qRPfhaLWD/uGD4UjxX23zsn
toY9CSYeQoq0te4rKzOvWOyY2iSFGrznBlZX+tClbKEVHfu9G6doc3r/PI9MQo45TrGg1+LsBB/8
k2u1CdIXkrzpbrPf3KbYK5DJjggnUIIyI93kCQlVeqVXwSbBl5Gyag6asmgqJu8zP2YqNh8Z3xjz
2vdhCjQV8VtoB0wxL0dDOU6OupvU97AY1OzZF3mSJpdI1pv3mW0N+aJoh/QcOywDc8eCskVQCWGh
RqteOpUVv6/oYtRL3LRhclmlgarPmqKIzYUZGETuQiX3+oXW9sQOqyTd6Js+Z87JHeEmG68V7oOH
xYnQLdtDrRPBKKHnRrsdmH1sKBPTZVDzmTVqD1VFt3tdW6pzhq2j6xk5+fIuU5xkuEqyEqYkE1Pj
U1UyUVvndJiHlafWQETQ4/j1gplhFVzWukHJEcdkVNC01EYeeoDyeVYN19wzRG6AO+/ndTCy12D1
P8MhuSmbJD3rwU48sCyZ11bG40CGeFbTdqhvevhg9PDj8aEbfVuZuYHsoRplIT2eQCVAmCUJj9Sp
5v//Buv85YNMnvnliUT5TXbpV2f69NNDJtP6NvvXfulVMPjjF/rCev6LvFPbVdmXwy9+03I5Hdbp
mP/sVeJjLevmGZS0Zk4QE0EfE1Xs6d+//QZayv/yY9t4p9JWdkmY//xT2i683zdn6Y/Ow59/xN+H
wf7+dd58gI+YQuuSEFlCRNJv0QXY3v65U/DdK/zjFAiQBOa0oZ2EydM/GtXfngJ3OkO4gXXz848/
sxX+80/B8ZkEQdyGdSk/1m9OAaCPn70OdDplgs4+lJvPnxKZ6rcnwZ744UKbIDmnf3S+/p9cB398
EiB90p7+uZtBfUej2yHil1f69tNb75AiC4thxedPzxXyX+vTMxH4nXL/7y4FwnpHV5O1YGql/mAp
0N9NVCKqbawj07+/sRT8EzfL18V1HiCVPy2r8qX60er7R7/wuuL8/udfVpLtM+sdy8WbX5xW2c/v
/fKVPPwfb66y02r3zQ9fV7/T+3z58y8f8Pdv/ea9Xj/V63/cyJfyWH6E6X566y+H+Znx/7/JLgTy
fyiPzy9V8OZ2N6eMon8c0P/6tzeH+8098KevX1Vvg7AFKJWff1mynI7l68tMJ5wnC3fLzx7t5lgO
x/T4+kKnbxLlLavQT7+yTI4fg2P8wzP9eWH92bfYHZOk+e1/HJP83387O6J0km/OEIx9l2fYz77L
2bFM2ZdEb08Sa/Yv+FbPuE7j7174tNz+7EHvj1EVHJ+7l5f89QycvtuJGvT6H364D/q6zv/ZNX5+
fA6GH99DvP4vOC+Xz5LDfz3Q6cgFBK5f8GUemufmY/BCr/DNi1u6pr3+h3/9tByaNDx+eH2d01Gj
//gFR319DI84ko9vNmhfHk0/e6XcyCiSybcHrauO+Qu+w9tjImOCVJ6bNy+OVYgH3M8e9cmi9KOl
RTdOnqKfff2Hl6r+bfaSgrp/Pdjp+4TWpf2Coz8/spizYNXlm2vcwML3C1beNdHQ8KG/Pe6pphH6
L3herLM3R/y1VvrZ881T+Stu8kJ+zD6QvrOtppiB6u3n0DRt2pD99PvRUP3jxxPOdeQzv2KhlGNW
vt0O8NJoOt1f8D3f0jVu3l5BX178F9y9fysK6esG71/bMv1FosRPvvr51Iht3u4MTsbaCeb3s9fR
+YvPHuc4vLkrPvt29V+wmVy8xIF8PcrTA/yzJZiq9GePfPH1fsOi/vpy37zFL3ge/qWr+Se/2XkQ
HOtaVr/zTX+RzfyC7/efsML+5If4S/nOT77+7QurqP/9Ht/S0NuY+i9YSf9Z6OVPfowfr0e/8dz4
7Q+vZPtEbXUw0RuaSRMGSPHrhf5Hm7wf1Ztf23K/r0Jf220/+rO3Jfb0Gx/jl2P5H/8HAAD//w==
</cx:binary>
              </cx:geoCache>
            </cx:geography>
          </cx:layoutPr>
        </cx:series>
      </cx:plotAreaRegion>
    </cx:plotArea>
    <cx:legend pos="r" align="min" overlay="0">
      <cx:spPr>
        <a:ln>
          <a:solidFill>
            <a:schemeClr val="bg1">
              <a:lumMod val="85000"/>
            </a:schemeClr>
          </a:solidFill>
        </a:ln>
      </cx:spPr>
      <cx:txPr>
        <a:bodyPr spcFirstLastPara="1" vertOverflow="ellipsis" horzOverflow="overflow" wrap="square" lIns="0" tIns="0" rIns="0" bIns="0" anchor="ctr" anchorCtr="1"/>
        <a:lstStyle/>
        <a:p>
          <a:pPr algn="ctr" rtl="0">
            <a:defRPr sz="1050" b="1">
              <a:solidFill>
                <a:schemeClr val="bg1"/>
              </a:solidFill>
            </a:defRPr>
          </a:pPr>
          <a:endParaRPr lang="en-US" sz="1050" b="1" i="0" u="none" strike="noStrike" baseline="0">
            <a:solidFill>
              <a:schemeClr val="bg1"/>
            </a:solidFill>
            <a:latin typeface="Calibri" panose="020F0502020204030204"/>
          </a:endParaRPr>
        </a:p>
      </cx:txPr>
    </cx:legend>
  </cx:chart>
  <cx:spPr>
    <a:solidFill>
      <a:schemeClr val="tx1">
        <a:lumMod val="65000"/>
        <a:lumOff val="35000"/>
      </a:schemeClr>
    </a:solidFill>
    <a:effectLst>
      <a:innerShdw blurRad="63500" dist="50800" dir="10800000">
        <a:prstClr val="black">
          <a:alpha val="50000"/>
        </a:prstClr>
      </a:innerShdw>
    </a:effectLst>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_xlchart.v2.11</cx:f>
      </cx:strDim>
      <cx:numDim type="val">
        <cx:f>_xlchart.v2.13</cx:f>
      </cx:numDim>
    </cx:data>
  </cx:chartData>
  <cx:chart>
    <cx:title pos="t" align="ctr" overlay="0">
      <cx:tx>
        <cx:txData>
          <cx:v>DURATION - CITY</cx:v>
        </cx:txData>
      </cx:tx>
      <cx:txPr>
        <a:bodyPr spcFirstLastPara="1" vertOverflow="ellipsis" horzOverflow="overflow" wrap="square" lIns="0" tIns="0" rIns="0" bIns="0" anchor="ctr" anchorCtr="1"/>
        <a:lstStyle/>
        <a:p>
          <a:pPr algn="ctr" rtl="0">
            <a:defRPr sz="1600" b="1">
              <a:solidFill>
                <a:schemeClr val="bg1"/>
              </a:solidFill>
            </a:defRPr>
          </a:pPr>
          <a:r>
            <a:rPr lang="en-US" sz="1600" b="1" i="0" u="none" strike="noStrike" baseline="0">
              <a:solidFill>
                <a:schemeClr val="bg1"/>
              </a:solidFill>
              <a:latin typeface="Calibri" panose="020F0502020204030204"/>
            </a:rPr>
            <a:t>DURATION - CITY</a:t>
          </a:r>
        </a:p>
      </cx:txPr>
    </cx:title>
    <cx:plotArea>
      <cx:plotAreaRegion>
        <cx:series layoutId="funnel" uniqueId="{3BA60304-B118-4606-A537-0B9E89B50E29}">
          <cx:tx>
            <cx:txData>
              <cx:f>_xlchart.v2.12</cx:f>
              <cx:v>TOTAL DURATION</cx:v>
            </cx:txData>
          </cx:tx>
          <cx:spPr>
            <a:solidFill>
              <a:srgbClr val="32969E"/>
            </a:solidFill>
            <a:ln w="38100">
              <a:solidFill>
                <a:schemeClr val="tx1"/>
              </a:solidFill>
            </a:ln>
            <a:effectLst>
              <a:innerShdw blurRad="114300">
                <a:prstClr val="black"/>
              </a:innerShdw>
            </a:effectLst>
          </cx:spPr>
          <cx:dataLabels>
            <cx:txPr>
              <a:bodyPr spcFirstLastPara="1" vertOverflow="ellipsis" horzOverflow="overflow" wrap="square" lIns="0" tIns="0" rIns="0" bIns="0" anchor="ctr" anchorCtr="1"/>
              <a:lstStyle/>
              <a:p>
                <a:pPr algn="ctr" rtl="0">
                  <a:defRPr sz="1800">
                    <a:solidFill>
                      <a:schemeClr val="bg1"/>
                    </a:solidFill>
                  </a:defRPr>
                </a:pPr>
                <a:endParaRPr lang="en-US" sz="1800" b="0" i="0" u="none" strike="noStrike" baseline="0">
                  <a:solidFill>
                    <a:schemeClr val="bg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plotArea>
  </cx:chart>
  <cx:spPr>
    <a:solidFill>
      <a:schemeClr val="tx1">
        <a:lumMod val="65000"/>
        <a:lumOff val="35000"/>
      </a:schemeClr>
    </a:solidFill>
    <a:ln>
      <a:noFill/>
    </a:ln>
    <a:effectLst>
      <a:outerShdw blurRad="57150" dist="19050" dir="5400000" algn="ctr" rotWithShape="0">
        <a:srgbClr val="000000">
          <a:alpha val="63000"/>
        </a:srgb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6.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png"/><Relationship Id="rId5" Type="http://schemas.openxmlformats.org/officeDocument/2006/relationships/chart" Target="../charts/chart5.xml"/><Relationship Id="rId15" Type="http://schemas.openxmlformats.org/officeDocument/2006/relationships/image" Target="../media/image5.png"/><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8.svg"/></Relationships>
</file>

<file path=xl/drawings/_rels/drawing4.xml.rels><?xml version="1.0" encoding="UTF-8" standalone="yes"?>
<Relationships xmlns="http://schemas.openxmlformats.org/package/2006/relationships"><Relationship Id="rId13" Type="http://schemas.openxmlformats.org/officeDocument/2006/relationships/chart" Target="../charts/chart15.xml"/><Relationship Id="rId18" Type="http://schemas.openxmlformats.org/officeDocument/2006/relationships/image" Target="../media/image16.svg"/><Relationship Id="rId26" Type="http://schemas.openxmlformats.org/officeDocument/2006/relationships/image" Target="../media/image24.svg"/><Relationship Id="rId39" Type="http://schemas.openxmlformats.org/officeDocument/2006/relationships/image" Target="../media/image31.png"/><Relationship Id="rId21" Type="http://schemas.openxmlformats.org/officeDocument/2006/relationships/image" Target="../media/image19.png"/><Relationship Id="rId34" Type="http://schemas.openxmlformats.org/officeDocument/2006/relationships/image" Target="../media/image4.svg"/><Relationship Id="rId42" Type="http://schemas.openxmlformats.org/officeDocument/2006/relationships/image" Target="../media/image34.svg"/><Relationship Id="rId47" Type="http://schemas.openxmlformats.org/officeDocument/2006/relationships/image" Target="../media/image39.png"/><Relationship Id="rId50" Type="http://schemas.openxmlformats.org/officeDocument/2006/relationships/image" Target="../media/image42.svg"/><Relationship Id="rId7" Type="http://schemas.microsoft.com/office/2014/relationships/chartEx" Target="../charts/chartEx4.xml"/><Relationship Id="rId2" Type="http://schemas.openxmlformats.org/officeDocument/2006/relationships/image" Target="../media/image10.svg"/><Relationship Id="rId16" Type="http://schemas.openxmlformats.org/officeDocument/2006/relationships/image" Target="../media/image14.svg"/><Relationship Id="rId29" Type="http://schemas.openxmlformats.org/officeDocument/2006/relationships/image" Target="../media/image27.png"/><Relationship Id="rId11" Type="http://schemas.openxmlformats.org/officeDocument/2006/relationships/chart" Target="../charts/chart13.xml"/><Relationship Id="rId24" Type="http://schemas.openxmlformats.org/officeDocument/2006/relationships/image" Target="../media/image22.svg"/><Relationship Id="rId32" Type="http://schemas.openxmlformats.org/officeDocument/2006/relationships/image" Target="../media/image8.svg"/><Relationship Id="rId37" Type="http://schemas.openxmlformats.org/officeDocument/2006/relationships/image" Target="../media/image29.png"/><Relationship Id="rId40" Type="http://schemas.openxmlformats.org/officeDocument/2006/relationships/image" Target="../media/image32.svg"/><Relationship Id="rId45" Type="http://schemas.openxmlformats.org/officeDocument/2006/relationships/image" Target="../media/image37.png"/><Relationship Id="rId5" Type="http://schemas.microsoft.com/office/2014/relationships/chartEx" Target="../charts/chartEx3.xml"/><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image" Target="../media/image26.svg"/><Relationship Id="rId36" Type="http://schemas.openxmlformats.org/officeDocument/2006/relationships/image" Target="../media/image6.svg"/><Relationship Id="rId49" Type="http://schemas.openxmlformats.org/officeDocument/2006/relationships/image" Target="../media/image41.png"/><Relationship Id="rId10" Type="http://schemas.openxmlformats.org/officeDocument/2006/relationships/chart" Target="../charts/chart12.xml"/><Relationship Id="rId19" Type="http://schemas.openxmlformats.org/officeDocument/2006/relationships/image" Target="../media/image17.png"/><Relationship Id="rId31" Type="http://schemas.openxmlformats.org/officeDocument/2006/relationships/image" Target="../media/image7.png"/><Relationship Id="rId44" Type="http://schemas.openxmlformats.org/officeDocument/2006/relationships/image" Target="../media/image36.svg"/><Relationship Id="rId4" Type="http://schemas.openxmlformats.org/officeDocument/2006/relationships/image" Target="../media/image12.svg"/><Relationship Id="rId9" Type="http://schemas.openxmlformats.org/officeDocument/2006/relationships/chart" Target="../charts/chart11.xml"/><Relationship Id="rId14" Type="http://schemas.openxmlformats.org/officeDocument/2006/relationships/chart" Target="../charts/chart16.xml"/><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 Id="rId35" Type="http://schemas.openxmlformats.org/officeDocument/2006/relationships/image" Target="../media/image5.png"/><Relationship Id="rId43" Type="http://schemas.openxmlformats.org/officeDocument/2006/relationships/image" Target="../media/image35.png"/><Relationship Id="rId48" Type="http://schemas.openxmlformats.org/officeDocument/2006/relationships/image" Target="../media/image40.svg"/><Relationship Id="rId8" Type="http://schemas.openxmlformats.org/officeDocument/2006/relationships/chart" Target="../charts/chart10.xml"/><Relationship Id="rId3" Type="http://schemas.openxmlformats.org/officeDocument/2006/relationships/image" Target="../media/image11.png"/><Relationship Id="rId12" Type="http://schemas.openxmlformats.org/officeDocument/2006/relationships/chart" Target="../charts/chart14.xml"/><Relationship Id="rId17" Type="http://schemas.openxmlformats.org/officeDocument/2006/relationships/image" Target="../media/image15.png"/><Relationship Id="rId25" Type="http://schemas.openxmlformats.org/officeDocument/2006/relationships/image" Target="../media/image23.png"/><Relationship Id="rId33" Type="http://schemas.openxmlformats.org/officeDocument/2006/relationships/image" Target="../media/image3.png"/><Relationship Id="rId38" Type="http://schemas.openxmlformats.org/officeDocument/2006/relationships/image" Target="../media/image30.svg"/><Relationship Id="rId46" Type="http://schemas.openxmlformats.org/officeDocument/2006/relationships/image" Target="../media/image38.svg"/><Relationship Id="rId20" Type="http://schemas.openxmlformats.org/officeDocument/2006/relationships/image" Target="../media/image18.svg"/><Relationship Id="rId41" Type="http://schemas.openxmlformats.org/officeDocument/2006/relationships/image" Target="../media/image33.png"/><Relationship Id="rId1" Type="http://schemas.openxmlformats.org/officeDocument/2006/relationships/image" Target="../media/image9.png"/><Relationship Id="rId6"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26</xdr:col>
      <xdr:colOff>36286</xdr:colOff>
      <xdr:row>1</xdr:row>
      <xdr:rowOff>7257</xdr:rowOff>
    </xdr:from>
    <xdr:to>
      <xdr:col>28</xdr:col>
      <xdr:colOff>96762</xdr:colOff>
      <xdr:row>8</xdr:row>
      <xdr:rowOff>7257</xdr:rowOff>
    </xdr:to>
    <xdr:pic macro="[0]!summary_one">
      <xdr:nvPicPr>
        <xdr:cNvPr id="3" name="Graphic 2" descr="Presentation with pie chart with solid fill">
          <a:extLst>
            <a:ext uri="{FF2B5EF4-FFF2-40B4-BE49-F238E27FC236}">
              <a16:creationId xmlns:a16="http://schemas.microsoft.com/office/drawing/2014/main" id="{7874CF8A-87C0-C6E0-FA0A-022E4C0E11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403143" y="333828"/>
          <a:ext cx="1270000" cy="1270000"/>
        </a:xfrm>
        <a:prstGeom prst="rect">
          <a:avLst/>
        </a:prstGeom>
      </xdr:spPr>
    </xdr:pic>
    <xdr:clientData/>
  </xdr:twoCellAnchor>
  <xdr:twoCellAnchor editAs="oneCell">
    <xdr:from>
      <xdr:col>41</xdr:col>
      <xdr:colOff>590096</xdr:colOff>
      <xdr:row>216</xdr:row>
      <xdr:rowOff>174625</xdr:rowOff>
    </xdr:from>
    <xdr:to>
      <xdr:col>44</xdr:col>
      <xdr:colOff>366486</xdr:colOff>
      <xdr:row>225</xdr:row>
      <xdr:rowOff>30390</xdr:rowOff>
    </xdr:to>
    <xdr:pic macro="[0]!Pivot_analysis">
      <xdr:nvPicPr>
        <xdr:cNvPr id="5" name="Graphic 4" descr="Bar chart with solid fill">
          <a:extLst>
            <a:ext uri="{FF2B5EF4-FFF2-40B4-BE49-F238E27FC236}">
              <a16:creationId xmlns:a16="http://schemas.microsoft.com/office/drawing/2014/main" id="{C0B2BDA8-5A31-4FE7-9362-7B22CCECB77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028382" y="39508339"/>
          <a:ext cx="1590675" cy="1488622"/>
        </a:xfrm>
        <a:prstGeom prst="rect">
          <a:avLst/>
        </a:prstGeom>
      </xdr:spPr>
    </xdr:pic>
    <xdr:clientData/>
  </xdr:twoCellAnchor>
  <xdr:twoCellAnchor editAs="oneCell">
    <xdr:from>
      <xdr:col>49</xdr:col>
      <xdr:colOff>438301</xdr:colOff>
      <xdr:row>216</xdr:row>
      <xdr:rowOff>127000</xdr:rowOff>
    </xdr:from>
    <xdr:to>
      <xdr:col>52</xdr:col>
      <xdr:colOff>414715</xdr:colOff>
      <xdr:row>225</xdr:row>
      <xdr:rowOff>166461</xdr:rowOff>
    </xdr:to>
    <xdr:pic macro="[0]!Data_analysis">
      <xdr:nvPicPr>
        <xdr:cNvPr id="6" name="Graphic 5" descr="Table with solid fill">
          <a:extLst>
            <a:ext uri="{FF2B5EF4-FFF2-40B4-BE49-F238E27FC236}">
              <a16:creationId xmlns:a16="http://schemas.microsoft.com/office/drawing/2014/main" id="{5F0FAACD-271E-49B3-9474-53ADF0573A7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6714682" y="39460714"/>
          <a:ext cx="1790700" cy="1672318"/>
        </a:xfrm>
        <a:prstGeom prst="rect">
          <a:avLst/>
        </a:prstGeom>
      </xdr:spPr>
    </xdr:pic>
    <xdr:clientData/>
  </xdr:twoCellAnchor>
  <xdr:twoCellAnchor editAs="oneCell">
    <xdr:from>
      <xdr:col>26</xdr:col>
      <xdr:colOff>82826</xdr:colOff>
      <xdr:row>10</xdr:row>
      <xdr:rowOff>27377</xdr:rowOff>
    </xdr:from>
    <xdr:to>
      <xdr:col>28</xdr:col>
      <xdr:colOff>99806</xdr:colOff>
      <xdr:row>16</xdr:row>
      <xdr:rowOff>97144</xdr:rowOff>
    </xdr:to>
    <xdr:pic macro="[0]!Pivot_analysis">
      <xdr:nvPicPr>
        <xdr:cNvPr id="10" name="Graphic 9" descr="Bar chart with solid fill">
          <a:extLst>
            <a:ext uri="{FF2B5EF4-FFF2-40B4-BE49-F238E27FC236}">
              <a16:creationId xmlns:a16="http://schemas.microsoft.com/office/drawing/2014/main" id="{332FB602-42F3-4F35-9341-B42B1F8BE2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517522" y="1998638"/>
          <a:ext cx="1242806" cy="1163071"/>
        </a:xfrm>
        <a:prstGeom prst="rect">
          <a:avLst/>
        </a:prstGeom>
      </xdr:spPr>
    </xdr:pic>
    <xdr:clientData/>
  </xdr:twoCellAnchor>
  <xdr:twoCellAnchor editAs="oneCell">
    <xdr:from>
      <xdr:col>26</xdr:col>
      <xdr:colOff>132522</xdr:colOff>
      <xdr:row>19</xdr:row>
      <xdr:rowOff>115957</xdr:rowOff>
    </xdr:from>
    <xdr:to>
      <xdr:col>28</xdr:col>
      <xdr:colOff>219297</xdr:colOff>
      <xdr:row>26</xdr:row>
      <xdr:rowOff>66261</xdr:rowOff>
    </xdr:to>
    <xdr:pic macro="[0]!Data_analysis">
      <xdr:nvPicPr>
        <xdr:cNvPr id="11" name="Graphic 10" descr="Table with solid fill">
          <a:extLst>
            <a:ext uri="{FF2B5EF4-FFF2-40B4-BE49-F238E27FC236}">
              <a16:creationId xmlns:a16="http://schemas.microsoft.com/office/drawing/2014/main" id="{46FDE693-A7CF-487B-958F-C010E53D48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2567218" y="3727174"/>
          <a:ext cx="1312601" cy="12258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582706</xdr:colOff>
      <xdr:row>22</xdr:row>
      <xdr:rowOff>29881</xdr:rowOff>
    </xdr:from>
    <xdr:to>
      <xdr:col>5</xdr:col>
      <xdr:colOff>1225175</xdr:colOff>
      <xdr:row>35</xdr:row>
      <xdr:rowOff>49304</xdr:rowOff>
    </xdr:to>
    <xdr:graphicFrame macro="">
      <xdr:nvGraphicFramePr>
        <xdr:cNvPr id="3" name="Chart 2">
          <a:extLst>
            <a:ext uri="{FF2B5EF4-FFF2-40B4-BE49-F238E27FC236}">
              <a16:creationId xmlns:a16="http://schemas.microsoft.com/office/drawing/2014/main" id="{19289C47-FFE6-7E8F-79F5-47869FDEF3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1279960</xdr:colOff>
      <xdr:row>21</xdr:row>
      <xdr:rowOff>169334</xdr:rowOff>
    </xdr:from>
    <xdr:to>
      <xdr:col>10</xdr:col>
      <xdr:colOff>189252</xdr:colOff>
      <xdr:row>35</xdr:row>
      <xdr:rowOff>9463</xdr:rowOff>
    </xdr:to>
    <xdr:graphicFrame macro="">
      <xdr:nvGraphicFramePr>
        <xdr:cNvPr id="4" name="Chart 3">
          <a:extLst>
            <a:ext uri="{FF2B5EF4-FFF2-40B4-BE49-F238E27FC236}">
              <a16:creationId xmlns:a16="http://schemas.microsoft.com/office/drawing/2014/main" id="{35874689-A1DC-4FBC-A508-19D39FE7D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44823</xdr:colOff>
      <xdr:row>22</xdr:row>
      <xdr:rowOff>14941</xdr:rowOff>
    </xdr:from>
    <xdr:to>
      <xdr:col>14</xdr:col>
      <xdr:colOff>388468</xdr:colOff>
      <xdr:row>35</xdr:row>
      <xdr:rowOff>34364</xdr:rowOff>
    </xdr:to>
    <xdr:graphicFrame macro="">
      <xdr:nvGraphicFramePr>
        <xdr:cNvPr id="5" name="Chart 4">
          <a:extLst>
            <a:ext uri="{FF2B5EF4-FFF2-40B4-BE49-F238E27FC236}">
              <a16:creationId xmlns:a16="http://schemas.microsoft.com/office/drawing/2014/main" id="{46065B85-CFCF-4056-8FF1-9A657C7D6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411515</xdr:colOff>
      <xdr:row>22</xdr:row>
      <xdr:rowOff>170301</xdr:rowOff>
    </xdr:from>
    <xdr:to>
      <xdr:col>18</xdr:col>
      <xdr:colOff>494082</xdr:colOff>
      <xdr:row>35</xdr:row>
      <xdr:rowOff>179503</xdr:rowOff>
    </xdr:to>
    <xdr:graphicFrame macro="">
      <xdr:nvGraphicFramePr>
        <xdr:cNvPr id="6" name="Chart 5">
          <a:extLst>
            <a:ext uri="{FF2B5EF4-FFF2-40B4-BE49-F238E27FC236}">
              <a16:creationId xmlns:a16="http://schemas.microsoft.com/office/drawing/2014/main" id="{790EBBCE-422F-4ACA-A5DE-989DEEEE9D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712611</xdr:colOff>
      <xdr:row>39</xdr:row>
      <xdr:rowOff>67734</xdr:rowOff>
    </xdr:from>
    <xdr:to>
      <xdr:col>11</xdr:col>
      <xdr:colOff>402167</xdr:colOff>
      <xdr:row>54</xdr:row>
      <xdr:rowOff>59267</xdr:rowOff>
    </xdr:to>
    <xdr:graphicFrame macro="">
      <xdr:nvGraphicFramePr>
        <xdr:cNvPr id="7" name="Chart 6">
          <a:extLst>
            <a:ext uri="{FF2B5EF4-FFF2-40B4-BE49-F238E27FC236}">
              <a16:creationId xmlns:a16="http://schemas.microsoft.com/office/drawing/2014/main" id="{293DAC95-A556-C1C2-BFBD-62528802B6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200526</xdr:colOff>
      <xdr:row>61</xdr:row>
      <xdr:rowOff>302795</xdr:rowOff>
    </xdr:from>
    <xdr:to>
      <xdr:col>11</xdr:col>
      <xdr:colOff>1193132</xdr:colOff>
      <xdr:row>76</xdr:row>
      <xdr:rowOff>38100</xdr:rowOff>
    </xdr:to>
    <xdr:graphicFrame macro="">
      <xdr:nvGraphicFramePr>
        <xdr:cNvPr id="10" name="Chart 9">
          <a:extLst>
            <a:ext uri="{FF2B5EF4-FFF2-40B4-BE49-F238E27FC236}">
              <a16:creationId xmlns:a16="http://schemas.microsoft.com/office/drawing/2014/main" id="{8EE03D14-C038-8FA9-1F8A-3867316082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972765</xdr:colOff>
      <xdr:row>88</xdr:row>
      <xdr:rowOff>32425</xdr:rowOff>
    </xdr:from>
    <xdr:to>
      <xdr:col>10</xdr:col>
      <xdr:colOff>1142999</xdr:colOff>
      <xdr:row>99</xdr:row>
      <xdr:rowOff>38678</xdr:rowOff>
    </xdr:to>
    <xdr:graphicFrame macro="">
      <xdr:nvGraphicFramePr>
        <xdr:cNvPr id="11" name="Chart 10">
          <a:extLst>
            <a:ext uri="{FF2B5EF4-FFF2-40B4-BE49-F238E27FC236}">
              <a16:creationId xmlns:a16="http://schemas.microsoft.com/office/drawing/2014/main" id="{AABF019D-74D8-A555-1961-8F5DFAD9DD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372893</xdr:colOff>
      <xdr:row>121</xdr:row>
      <xdr:rowOff>95655</xdr:rowOff>
    </xdr:from>
    <xdr:to>
      <xdr:col>9</xdr:col>
      <xdr:colOff>843063</xdr:colOff>
      <xdr:row>136</xdr:row>
      <xdr:rowOff>163749</xdr:rowOff>
    </xdr:to>
    <xdr:graphicFrame macro="">
      <xdr:nvGraphicFramePr>
        <xdr:cNvPr id="12" name="Chart 11">
          <a:extLst>
            <a:ext uri="{FF2B5EF4-FFF2-40B4-BE49-F238E27FC236}">
              <a16:creationId xmlns:a16="http://schemas.microsoft.com/office/drawing/2014/main" id="{0D16A22C-714F-334D-B0D6-93DDBB8A76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419100</xdr:colOff>
      <xdr:row>104</xdr:row>
      <xdr:rowOff>38100</xdr:rowOff>
    </xdr:from>
    <xdr:to>
      <xdr:col>10</xdr:col>
      <xdr:colOff>361950</xdr:colOff>
      <xdr:row>116</xdr:row>
      <xdr:rowOff>6350</xdr:rowOff>
    </xdr:to>
    <mc:AlternateContent xmlns:mc="http://schemas.openxmlformats.org/markup-compatibility/2006">
      <mc:Choice xmlns:cx2="http://schemas.microsoft.com/office/drawing/2015/10/21/chartex" Requires="cx2">
        <xdr:graphicFrame macro="">
          <xdr:nvGraphicFramePr>
            <xdr:cNvPr id="14" name="Chart 13">
              <a:extLst>
                <a:ext uri="{FF2B5EF4-FFF2-40B4-BE49-F238E27FC236}">
                  <a16:creationId xmlns:a16="http://schemas.microsoft.com/office/drawing/2014/main" id="{2C9127D5-2145-AECF-A5CE-A133D31F712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2496800" y="20147280"/>
              <a:ext cx="3486150" cy="216281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972734</xdr:colOff>
      <xdr:row>144</xdr:row>
      <xdr:rowOff>89459</xdr:rowOff>
    </xdr:from>
    <xdr:to>
      <xdr:col>8</xdr:col>
      <xdr:colOff>1026396</xdr:colOff>
      <xdr:row>159</xdr:row>
      <xdr:rowOff>95898</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C192775D-70A7-1220-DAFD-0B4A8BC578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987194" y="27940559"/>
              <a:ext cx="4572322" cy="274963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3</xdr:col>
      <xdr:colOff>399947</xdr:colOff>
      <xdr:row>4</xdr:row>
      <xdr:rowOff>137226</xdr:rowOff>
    </xdr:from>
    <xdr:to>
      <xdr:col>3</xdr:col>
      <xdr:colOff>2200879</xdr:colOff>
      <xdr:row>13</xdr:row>
      <xdr:rowOff>83815</xdr:rowOff>
    </xdr:to>
    <mc:AlternateContent xmlns:mc="http://schemas.openxmlformats.org/markup-compatibility/2006" xmlns:a14="http://schemas.microsoft.com/office/drawing/2010/main">
      <mc:Choice Requires="a14">
        <xdr:graphicFrame macro="">
          <xdr:nvGraphicFramePr>
            <xdr:cNvPr id="16" name="Tour_Type">
              <a:extLst>
                <a:ext uri="{FF2B5EF4-FFF2-40B4-BE49-F238E27FC236}">
                  <a16:creationId xmlns:a16="http://schemas.microsoft.com/office/drawing/2014/main" id="{72AE56B2-87F5-96C7-CF11-F964C107FB77}"/>
                </a:ext>
              </a:extLst>
            </xdr:cNvPr>
            <xdr:cNvGraphicFramePr/>
          </xdr:nvGraphicFramePr>
          <xdr:xfrm>
            <a:off x="0" y="0"/>
            <a:ext cx="0" cy="0"/>
          </xdr:xfrm>
          <a:graphic>
            <a:graphicData uri="http://schemas.microsoft.com/office/drawing/2010/slicer">
              <sle:slicer xmlns:sle="http://schemas.microsoft.com/office/drawing/2010/slicer" name="Tour_Type"/>
            </a:graphicData>
          </a:graphic>
        </xdr:graphicFrame>
      </mc:Choice>
      <mc:Fallback xmlns="">
        <xdr:sp macro="" textlink="">
          <xdr:nvSpPr>
            <xdr:cNvPr id="0" name=""/>
            <xdr:cNvSpPr>
              <a:spLocks noTextEdit="1"/>
            </xdr:cNvSpPr>
          </xdr:nvSpPr>
          <xdr:spPr>
            <a:xfrm>
              <a:off x="5716226" y="846063"/>
              <a:ext cx="1800932" cy="1541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469</xdr:colOff>
      <xdr:row>5</xdr:row>
      <xdr:rowOff>65456</xdr:rowOff>
    </xdr:from>
    <xdr:to>
      <xdr:col>6</xdr:col>
      <xdr:colOff>206653</xdr:colOff>
      <xdr:row>13</xdr:row>
      <xdr:rowOff>22909</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40BD6040-DF9A-B954-032F-4BF5D5133FA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984981" y="951503"/>
              <a:ext cx="1836510" cy="1375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841744</xdr:colOff>
      <xdr:row>22</xdr:row>
      <xdr:rowOff>186069</xdr:rowOff>
    </xdr:from>
    <xdr:to>
      <xdr:col>2</xdr:col>
      <xdr:colOff>843520</xdr:colOff>
      <xdr:row>35</xdr:row>
      <xdr:rowOff>64547</xdr:rowOff>
    </xdr:to>
    <mc:AlternateContent xmlns:mc="http://schemas.openxmlformats.org/markup-compatibility/2006" xmlns:a14="http://schemas.microsoft.com/office/drawing/2010/main">
      <mc:Choice Requires="a14">
        <xdr:graphicFrame macro="">
          <xdr:nvGraphicFramePr>
            <xdr:cNvPr id="22" name="Accommodation_Type">
              <a:extLst>
                <a:ext uri="{FF2B5EF4-FFF2-40B4-BE49-F238E27FC236}">
                  <a16:creationId xmlns:a16="http://schemas.microsoft.com/office/drawing/2014/main" id="{7D910B9F-D56B-E893-022E-602E00C8BB2F}"/>
                </a:ext>
              </a:extLst>
            </xdr:cNvPr>
            <xdr:cNvGraphicFramePr/>
          </xdr:nvGraphicFramePr>
          <xdr:xfrm>
            <a:off x="0" y="0"/>
            <a:ext cx="0" cy="0"/>
          </xdr:xfrm>
          <a:graphic>
            <a:graphicData uri="http://schemas.microsoft.com/office/drawing/2010/slicer">
              <sle:slicer xmlns:sle="http://schemas.microsoft.com/office/drawing/2010/slicer" name="Accommodation_Type"/>
            </a:graphicData>
          </a:graphic>
        </xdr:graphicFrame>
      </mc:Choice>
      <mc:Fallback xmlns="">
        <xdr:sp macro="" textlink="">
          <xdr:nvSpPr>
            <xdr:cNvPr id="0" name=""/>
            <xdr:cNvSpPr>
              <a:spLocks noTextEdit="1"/>
            </xdr:cNvSpPr>
          </xdr:nvSpPr>
          <xdr:spPr>
            <a:xfrm>
              <a:off x="2259418" y="4208720"/>
              <a:ext cx="1738427" cy="2182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762311</xdr:colOff>
      <xdr:row>47</xdr:row>
      <xdr:rowOff>126429</xdr:rowOff>
    </xdr:from>
    <xdr:to>
      <xdr:col>2</xdr:col>
      <xdr:colOff>885122</xdr:colOff>
      <xdr:row>59</xdr:row>
      <xdr:rowOff>0</xdr:rowOff>
    </xdr:to>
    <mc:AlternateContent xmlns:mc="http://schemas.openxmlformats.org/markup-compatibility/2006" xmlns:a14="http://schemas.microsoft.com/office/drawing/2010/main">
      <mc:Choice Requires="a14">
        <xdr:graphicFrame macro="">
          <xdr:nvGraphicFramePr>
            <xdr:cNvPr id="23" name="Destination">
              <a:extLst>
                <a:ext uri="{FF2B5EF4-FFF2-40B4-BE49-F238E27FC236}">
                  <a16:creationId xmlns:a16="http://schemas.microsoft.com/office/drawing/2014/main" id="{F348ECDE-FBA6-327B-D4C7-57E1100087BD}"/>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2179985" y="8721080"/>
              <a:ext cx="1859462" cy="20000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140271</xdr:colOff>
      <xdr:row>22</xdr:row>
      <xdr:rowOff>141981</xdr:rowOff>
    </xdr:from>
    <xdr:to>
      <xdr:col>1</xdr:col>
      <xdr:colOff>345022</xdr:colOff>
      <xdr:row>35</xdr:row>
      <xdr:rowOff>46654</xdr:rowOff>
    </xdr:to>
    <mc:AlternateContent xmlns:mc="http://schemas.openxmlformats.org/markup-compatibility/2006" xmlns:a14="http://schemas.microsoft.com/office/drawing/2010/main">
      <mc:Choice Requires="a14">
        <xdr:graphicFrame macro="">
          <xdr:nvGraphicFramePr>
            <xdr:cNvPr id="24" name="Rating">
              <a:extLst>
                <a:ext uri="{FF2B5EF4-FFF2-40B4-BE49-F238E27FC236}">
                  <a16:creationId xmlns:a16="http://schemas.microsoft.com/office/drawing/2014/main" id="{225759FF-E1E8-3553-AD80-A2CA1DB06B24}"/>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40271" y="4164632"/>
              <a:ext cx="1799635" cy="22083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109168</xdr:colOff>
      <xdr:row>47</xdr:row>
      <xdr:rowOff>59871</xdr:rowOff>
    </xdr:from>
    <xdr:to>
      <xdr:col>1</xdr:col>
      <xdr:colOff>313919</xdr:colOff>
      <xdr:row>58</xdr:row>
      <xdr:rowOff>108857</xdr:rowOff>
    </xdr:to>
    <mc:AlternateContent xmlns:mc="http://schemas.openxmlformats.org/markup-compatibility/2006" xmlns:a14="http://schemas.microsoft.com/office/drawing/2010/main">
      <mc:Choice Requires="a14">
        <xdr:graphicFrame macro="">
          <xdr:nvGraphicFramePr>
            <xdr:cNvPr id="25" name="Feedback">
              <a:extLst>
                <a:ext uri="{FF2B5EF4-FFF2-40B4-BE49-F238E27FC236}">
                  <a16:creationId xmlns:a16="http://schemas.microsoft.com/office/drawing/2014/main" id="{5F9623ED-0120-9A09-5456-91FE1760F113}"/>
                </a:ext>
              </a:extLst>
            </xdr:cNvPr>
            <xdr:cNvGraphicFramePr/>
          </xdr:nvGraphicFramePr>
          <xdr:xfrm>
            <a:off x="0" y="0"/>
            <a:ext cx="0" cy="0"/>
          </xdr:xfrm>
          <a:graphic>
            <a:graphicData uri="http://schemas.microsoft.com/office/drawing/2010/slicer">
              <sle:slicer xmlns:sle="http://schemas.microsoft.com/office/drawing/2010/slicer" name="Feedback"/>
            </a:graphicData>
          </a:graphic>
        </xdr:graphicFrame>
      </mc:Choice>
      <mc:Fallback xmlns="">
        <xdr:sp macro="" textlink="">
          <xdr:nvSpPr>
            <xdr:cNvPr id="0" name=""/>
            <xdr:cNvSpPr>
              <a:spLocks noTextEdit="1"/>
            </xdr:cNvSpPr>
          </xdr:nvSpPr>
          <xdr:spPr>
            <a:xfrm>
              <a:off x="109168" y="8654522"/>
              <a:ext cx="1799635" cy="19982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283184</xdr:colOff>
      <xdr:row>73</xdr:row>
      <xdr:rowOff>12130</xdr:rowOff>
    </xdr:from>
    <xdr:to>
      <xdr:col>1</xdr:col>
      <xdr:colOff>486699</xdr:colOff>
      <xdr:row>85</xdr:row>
      <xdr:rowOff>0</xdr:rowOff>
    </xdr:to>
    <mc:AlternateContent xmlns:mc="http://schemas.openxmlformats.org/markup-compatibility/2006" xmlns:a14="http://schemas.microsoft.com/office/drawing/2010/main">
      <mc:Choice Requires="a14">
        <xdr:graphicFrame macro="">
          <xdr:nvGraphicFramePr>
            <xdr:cNvPr id="27" name="Feedback 1">
              <a:extLst>
                <a:ext uri="{FF2B5EF4-FFF2-40B4-BE49-F238E27FC236}">
                  <a16:creationId xmlns:a16="http://schemas.microsoft.com/office/drawing/2014/main" id="{B73814C2-ECBB-80AD-D7FE-696A66FC0847}"/>
                </a:ext>
              </a:extLst>
            </xdr:cNvPr>
            <xdr:cNvGraphicFramePr/>
          </xdr:nvGraphicFramePr>
          <xdr:xfrm>
            <a:off x="0" y="0"/>
            <a:ext cx="0" cy="0"/>
          </xdr:xfrm>
          <a:graphic>
            <a:graphicData uri="http://schemas.microsoft.com/office/drawing/2010/slicer">
              <sle:slicer xmlns:sle="http://schemas.microsoft.com/office/drawing/2010/slicer" name="Feedback 1"/>
            </a:graphicData>
          </a:graphic>
        </xdr:graphicFrame>
      </mc:Choice>
      <mc:Fallback xmlns="">
        <xdr:sp macro="" textlink="">
          <xdr:nvSpPr>
            <xdr:cNvPr id="0" name=""/>
            <xdr:cNvSpPr>
              <a:spLocks noTextEdit="1"/>
            </xdr:cNvSpPr>
          </xdr:nvSpPr>
          <xdr:spPr>
            <a:xfrm>
              <a:off x="283184" y="13639525"/>
              <a:ext cx="1798399" cy="21143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1399902</xdr:colOff>
      <xdr:row>73</xdr:row>
      <xdr:rowOff>102482</xdr:rowOff>
    </xdr:from>
    <xdr:to>
      <xdr:col>2</xdr:col>
      <xdr:colOff>1527463</xdr:colOff>
      <xdr:row>85</xdr:row>
      <xdr:rowOff>1</xdr:rowOff>
    </xdr:to>
    <mc:AlternateContent xmlns:mc="http://schemas.openxmlformats.org/markup-compatibility/2006" xmlns:a14="http://schemas.microsoft.com/office/drawing/2010/main">
      <mc:Choice Requires="a14">
        <xdr:graphicFrame macro="">
          <xdr:nvGraphicFramePr>
            <xdr:cNvPr id="28" name="Group_Size">
              <a:extLst>
                <a:ext uri="{FF2B5EF4-FFF2-40B4-BE49-F238E27FC236}">
                  <a16:creationId xmlns:a16="http://schemas.microsoft.com/office/drawing/2014/main" id="{D106044D-C0B9-5478-5734-BCA516882BF9}"/>
                </a:ext>
              </a:extLst>
            </xdr:cNvPr>
            <xdr:cNvGraphicFramePr/>
          </xdr:nvGraphicFramePr>
          <xdr:xfrm>
            <a:off x="0" y="0"/>
            <a:ext cx="0" cy="0"/>
          </xdr:xfrm>
          <a:graphic>
            <a:graphicData uri="http://schemas.microsoft.com/office/drawing/2010/slicer">
              <sle:slicer xmlns:sle="http://schemas.microsoft.com/office/drawing/2010/slicer" name="Group_Size"/>
            </a:graphicData>
          </a:graphic>
        </xdr:graphicFrame>
      </mc:Choice>
      <mc:Fallback xmlns="">
        <xdr:sp macro="" textlink="">
          <xdr:nvSpPr>
            <xdr:cNvPr id="0" name=""/>
            <xdr:cNvSpPr>
              <a:spLocks noTextEdit="1"/>
            </xdr:cNvSpPr>
          </xdr:nvSpPr>
          <xdr:spPr>
            <a:xfrm>
              <a:off x="2817576" y="13729877"/>
              <a:ext cx="1864212" cy="20240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124408</xdr:colOff>
      <xdr:row>88</xdr:row>
      <xdr:rowOff>54428</xdr:rowOff>
    </xdr:from>
    <xdr:to>
      <xdr:col>2</xdr:col>
      <xdr:colOff>1522733</xdr:colOff>
      <xdr:row>100</xdr:row>
      <xdr:rowOff>2399</xdr:rowOff>
    </xdr:to>
    <mc:AlternateContent xmlns:mc="http://schemas.openxmlformats.org/markup-compatibility/2006" xmlns:a14="http://schemas.microsoft.com/office/drawing/2010/main">
      <mc:Choice Requires="a14">
        <xdr:graphicFrame macro="">
          <xdr:nvGraphicFramePr>
            <xdr:cNvPr id="29" name="Feedback 2">
              <a:extLst>
                <a:ext uri="{FF2B5EF4-FFF2-40B4-BE49-F238E27FC236}">
                  <a16:creationId xmlns:a16="http://schemas.microsoft.com/office/drawing/2014/main" id="{B91F5CFC-4F70-BD5A-31B3-6A28666479FA}"/>
                </a:ext>
              </a:extLst>
            </xdr:cNvPr>
            <xdr:cNvGraphicFramePr/>
          </xdr:nvGraphicFramePr>
          <xdr:xfrm>
            <a:off x="0" y="0"/>
            <a:ext cx="0" cy="0"/>
          </xdr:xfrm>
          <a:graphic>
            <a:graphicData uri="http://schemas.microsoft.com/office/drawing/2010/slicer">
              <sle:slicer xmlns:sle="http://schemas.microsoft.com/office/drawing/2010/slicer" name="Feedback 2"/>
            </a:graphicData>
          </a:graphic>
        </xdr:graphicFrame>
      </mc:Choice>
      <mc:Fallback xmlns="">
        <xdr:sp macro="" textlink="">
          <xdr:nvSpPr>
            <xdr:cNvPr id="0" name=""/>
            <xdr:cNvSpPr>
              <a:spLocks noTextEdit="1"/>
            </xdr:cNvSpPr>
          </xdr:nvSpPr>
          <xdr:spPr>
            <a:xfrm>
              <a:off x="3190129" y="16534893"/>
              <a:ext cx="1398325" cy="20744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132185</xdr:colOff>
      <xdr:row>88</xdr:row>
      <xdr:rowOff>108858</xdr:rowOff>
    </xdr:from>
    <xdr:to>
      <xdr:col>3</xdr:col>
      <xdr:colOff>1320282</xdr:colOff>
      <xdr:row>98</xdr:row>
      <xdr:rowOff>42259</xdr:rowOff>
    </xdr:to>
    <mc:AlternateContent xmlns:mc="http://schemas.openxmlformats.org/markup-compatibility/2006" xmlns:a14="http://schemas.microsoft.com/office/drawing/2010/main">
      <mc:Choice Requires="a14">
        <xdr:graphicFrame macro="">
          <xdr:nvGraphicFramePr>
            <xdr:cNvPr id="30" name="Rebooked">
              <a:extLst>
                <a:ext uri="{FF2B5EF4-FFF2-40B4-BE49-F238E27FC236}">
                  <a16:creationId xmlns:a16="http://schemas.microsoft.com/office/drawing/2014/main" id="{720B8BC6-60E4-3AB4-CE6D-51A006DF80C7}"/>
                </a:ext>
              </a:extLst>
            </xdr:cNvPr>
            <xdr:cNvGraphicFramePr/>
          </xdr:nvGraphicFramePr>
          <xdr:xfrm>
            <a:off x="0" y="0"/>
            <a:ext cx="0" cy="0"/>
          </xdr:xfrm>
          <a:graphic>
            <a:graphicData uri="http://schemas.microsoft.com/office/drawing/2010/slicer">
              <sle:slicer xmlns:sle="http://schemas.microsoft.com/office/drawing/2010/slicer" name="Rebooked"/>
            </a:graphicData>
          </a:graphic>
        </xdr:graphicFrame>
      </mc:Choice>
      <mc:Fallback xmlns="">
        <xdr:sp macro="" textlink="">
          <xdr:nvSpPr>
            <xdr:cNvPr id="0" name=""/>
            <xdr:cNvSpPr>
              <a:spLocks noTextEdit="1"/>
            </xdr:cNvSpPr>
          </xdr:nvSpPr>
          <xdr:spPr>
            <a:xfrm>
              <a:off x="5448464" y="16589323"/>
              <a:ext cx="1188097" cy="17054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69272</xdr:colOff>
      <xdr:row>103</xdr:row>
      <xdr:rowOff>112569</xdr:rowOff>
    </xdr:from>
    <xdr:to>
      <xdr:col>2</xdr:col>
      <xdr:colOff>1393815</xdr:colOff>
      <xdr:row>117</xdr:row>
      <xdr:rowOff>405</xdr:rowOff>
    </xdr:to>
    <mc:AlternateContent xmlns:mc="http://schemas.openxmlformats.org/markup-compatibility/2006" xmlns:a14="http://schemas.microsoft.com/office/drawing/2010/main">
      <mc:Choice Requires="a14">
        <xdr:graphicFrame macro="">
          <xdr:nvGraphicFramePr>
            <xdr:cNvPr id="31" name="Group_Size 1">
              <a:extLst>
                <a:ext uri="{FF2B5EF4-FFF2-40B4-BE49-F238E27FC236}">
                  <a16:creationId xmlns:a16="http://schemas.microsoft.com/office/drawing/2014/main" id="{5BE34D3D-9C27-A618-01C9-262F497E5C6E}"/>
                </a:ext>
              </a:extLst>
            </xdr:cNvPr>
            <xdr:cNvGraphicFramePr/>
          </xdr:nvGraphicFramePr>
          <xdr:xfrm>
            <a:off x="0" y="0"/>
            <a:ext cx="0" cy="0"/>
          </xdr:xfrm>
          <a:graphic>
            <a:graphicData uri="http://schemas.microsoft.com/office/drawing/2010/slicer">
              <sle:slicer xmlns:sle="http://schemas.microsoft.com/office/drawing/2010/slicer" name="Group_Size 1"/>
            </a:graphicData>
          </a:graphic>
        </xdr:graphicFrame>
      </mc:Choice>
      <mc:Fallback xmlns="">
        <xdr:sp macro="" textlink="">
          <xdr:nvSpPr>
            <xdr:cNvPr id="0" name=""/>
            <xdr:cNvSpPr>
              <a:spLocks noTextEdit="1"/>
            </xdr:cNvSpPr>
          </xdr:nvSpPr>
          <xdr:spPr>
            <a:xfrm>
              <a:off x="3134993" y="19463825"/>
              <a:ext cx="1324543" cy="23687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17318</xdr:colOff>
      <xdr:row>103</xdr:row>
      <xdr:rowOff>77932</xdr:rowOff>
    </xdr:from>
    <xdr:to>
      <xdr:col>3</xdr:col>
      <xdr:colOff>1567427</xdr:colOff>
      <xdr:row>115</xdr:row>
      <xdr:rowOff>95423</xdr:rowOff>
    </xdr:to>
    <mc:AlternateContent xmlns:mc="http://schemas.openxmlformats.org/markup-compatibility/2006" xmlns:a14="http://schemas.microsoft.com/office/drawing/2010/main">
      <mc:Choice Requires="a14">
        <xdr:graphicFrame macro="">
          <xdr:nvGraphicFramePr>
            <xdr:cNvPr id="32" name="Accommodation_Type 1">
              <a:extLst>
                <a:ext uri="{FF2B5EF4-FFF2-40B4-BE49-F238E27FC236}">
                  <a16:creationId xmlns:a16="http://schemas.microsoft.com/office/drawing/2014/main" id="{4D0BB92F-089E-92D0-2613-0F22D8B0962A}"/>
                </a:ext>
              </a:extLst>
            </xdr:cNvPr>
            <xdr:cNvGraphicFramePr/>
          </xdr:nvGraphicFramePr>
          <xdr:xfrm>
            <a:off x="0" y="0"/>
            <a:ext cx="0" cy="0"/>
          </xdr:xfrm>
          <a:graphic>
            <a:graphicData uri="http://schemas.microsoft.com/office/drawing/2010/slicer">
              <sle:slicer xmlns:sle="http://schemas.microsoft.com/office/drawing/2010/slicer" name="Accommodation_Type 1"/>
            </a:graphicData>
          </a:graphic>
        </xdr:graphicFrame>
      </mc:Choice>
      <mc:Fallback xmlns="">
        <xdr:sp macro="" textlink="">
          <xdr:nvSpPr>
            <xdr:cNvPr id="0" name=""/>
            <xdr:cNvSpPr>
              <a:spLocks noTextEdit="1"/>
            </xdr:cNvSpPr>
          </xdr:nvSpPr>
          <xdr:spPr>
            <a:xfrm>
              <a:off x="5333597" y="19429188"/>
              <a:ext cx="1550109" cy="21440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660515</xdr:colOff>
      <xdr:row>121</xdr:row>
      <xdr:rowOff>58189</xdr:rowOff>
    </xdr:from>
    <xdr:to>
      <xdr:col>3</xdr:col>
      <xdr:colOff>864199</xdr:colOff>
      <xdr:row>134</xdr:row>
      <xdr:rowOff>161232</xdr:rowOff>
    </xdr:to>
    <mc:AlternateContent xmlns:mc="http://schemas.openxmlformats.org/markup-compatibility/2006" xmlns:a14="http://schemas.microsoft.com/office/drawing/2010/main">
      <mc:Choice Requires="a14">
        <xdr:graphicFrame macro="">
          <xdr:nvGraphicFramePr>
            <xdr:cNvPr id="33" name="Destination 1">
              <a:extLst>
                <a:ext uri="{FF2B5EF4-FFF2-40B4-BE49-F238E27FC236}">
                  <a16:creationId xmlns:a16="http://schemas.microsoft.com/office/drawing/2014/main" id="{65CAFB38-F49C-3FFD-B4E1-AB5CC34D4A13}"/>
                </a:ext>
              </a:extLst>
            </xdr:cNvPr>
            <xdr:cNvGraphicFramePr/>
          </xdr:nvGraphicFramePr>
          <xdr:xfrm>
            <a:off x="0" y="0"/>
            <a:ext cx="0" cy="0"/>
          </xdr:xfrm>
          <a:graphic>
            <a:graphicData uri="http://schemas.microsoft.com/office/drawing/2010/slicer">
              <sle:slicer xmlns:sle="http://schemas.microsoft.com/office/drawing/2010/slicer" name="Destination 1"/>
            </a:graphicData>
          </a:graphic>
        </xdr:graphicFrame>
      </mc:Choice>
      <mc:Fallback xmlns="">
        <xdr:sp macro="" textlink="">
          <xdr:nvSpPr>
            <xdr:cNvPr id="0" name=""/>
            <xdr:cNvSpPr>
              <a:spLocks noTextEdit="1"/>
            </xdr:cNvSpPr>
          </xdr:nvSpPr>
          <xdr:spPr>
            <a:xfrm>
              <a:off x="3726236" y="22847305"/>
              <a:ext cx="1851730" cy="24067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655674</xdr:colOff>
      <xdr:row>0</xdr:row>
      <xdr:rowOff>124047</xdr:rowOff>
    </xdr:from>
    <xdr:to>
      <xdr:col>15</xdr:col>
      <xdr:colOff>667488</xdr:colOff>
      <xdr:row>9</xdr:row>
      <xdr:rowOff>29535</xdr:rowOff>
    </xdr:to>
    <xdr:pic macro="[0]!summary_one">
      <xdr:nvPicPr>
        <xdr:cNvPr id="34" name="Graphic 33" descr="Presentation with pie chart with solid fill">
          <a:extLst>
            <a:ext uri="{FF2B5EF4-FFF2-40B4-BE49-F238E27FC236}">
              <a16:creationId xmlns:a16="http://schemas.microsoft.com/office/drawing/2014/main" id="{5F33B50B-E66D-455B-9077-F2C677E8259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0255023" y="124047"/>
          <a:ext cx="1500372" cy="1500372"/>
        </a:xfrm>
        <a:prstGeom prst="rect">
          <a:avLst/>
        </a:prstGeom>
      </xdr:spPr>
    </xdr:pic>
    <xdr:clientData/>
  </xdr:twoCellAnchor>
  <xdr:twoCellAnchor editAs="oneCell">
    <xdr:from>
      <xdr:col>16</xdr:col>
      <xdr:colOff>353044</xdr:colOff>
      <xdr:row>1</xdr:row>
      <xdr:rowOff>35442</xdr:rowOff>
    </xdr:from>
    <xdr:to>
      <xdr:col>17</xdr:col>
      <xdr:colOff>398278</xdr:colOff>
      <xdr:row>8</xdr:row>
      <xdr:rowOff>70884</xdr:rowOff>
    </xdr:to>
    <xdr:pic macro="[0]!Source_data">
      <xdr:nvPicPr>
        <xdr:cNvPr id="35" name="Graphic 34" descr="Database with solid fill">
          <a:extLst>
            <a:ext uri="{FF2B5EF4-FFF2-40B4-BE49-F238E27FC236}">
              <a16:creationId xmlns:a16="http://schemas.microsoft.com/office/drawing/2014/main" id="{E3CCFCBF-42AD-4335-92F1-47B520ADE70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2752300" y="212651"/>
          <a:ext cx="1250257" cy="1275907"/>
        </a:xfrm>
        <a:prstGeom prst="rect">
          <a:avLst/>
        </a:prstGeom>
      </xdr:spPr>
    </xdr:pic>
    <xdr:clientData/>
  </xdr:twoCellAnchor>
  <xdr:twoCellAnchor editAs="oneCell">
    <xdr:from>
      <xdr:col>17</xdr:col>
      <xdr:colOff>1068115</xdr:colOff>
      <xdr:row>1</xdr:row>
      <xdr:rowOff>17721</xdr:rowOff>
    </xdr:from>
    <xdr:to>
      <xdr:col>20</xdr:col>
      <xdr:colOff>160375</xdr:colOff>
      <xdr:row>8</xdr:row>
      <xdr:rowOff>130598</xdr:rowOff>
    </xdr:to>
    <xdr:pic macro="[0]!Data_analysis">
      <xdr:nvPicPr>
        <xdr:cNvPr id="36" name="Graphic 35" descr="Table with solid fill">
          <a:extLst>
            <a:ext uri="{FF2B5EF4-FFF2-40B4-BE49-F238E27FC236}">
              <a16:creationId xmlns:a16="http://schemas.microsoft.com/office/drawing/2014/main" id="{87CB3881-B8C2-493B-A11D-CFB1133DECC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4672394" y="194930"/>
          <a:ext cx="1449144" cy="135334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0</xdr:row>
      <xdr:rowOff>0</xdr:rowOff>
    </xdr:from>
    <xdr:to>
      <xdr:col>15</xdr:col>
      <xdr:colOff>415236</xdr:colOff>
      <xdr:row>6</xdr:row>
      <xdr:rowOff>172720</xdr:rowOff>
    </xdr:to>
    <xdr:pic macro="[0]!summary_one">
      <xdr:nvPicPr>
        <xdr:cNvPr id="2" name="Graphic 1" descr="Presentation with pie chart with solid fill">
          <a:extLst>
            <a:ext uri="{FF2B5EF4-FFF2-40B4-BE49-F238E27FC236}">
              <a16:creationId xmlns:a16="http://schemas.microsoft.com/office/drawing/2014/main" id="{FBFDCE6D-86BF-4C0D-8D9F-EA633CF405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534400" y="0"/>
          <a:ext cx="1270000" cy="1270000"/>
        </a:xfrm>
        <a:prstGeom prst="rect">
          <a:avLst/>
        </a:prstGeom>
      </xdr:spPr>
    </xdr:pic>
    <xdr:clientData/>
  </xdr:twoCellAnchor>
  <xdr:twoCellAnchor editAs="oneCell">
    <xdr:from>
      <xdr:col>16</xdr:col>
      <xdr:colOff>519042</xdr:colOff>
      <xdr:row>0</xdr:row>
      <xdr:rowOff>85458</xdr:rowOff>
    </xdr:from>
    <xdr:to>
      <xdr:col>18</xdr:col>
      <xdr:colOff>421392</xdr:colOff>
      <xdr:row>6</xdr:row>
      <xdr:rowOff>99074</xdr:rowOff>
    </xdr:to>
    <xdr:pic macro="[0]!Source_data">
      <xdr:nvPicPr>
        <xdr:cNvPr id="3" name="Graphic 2" descr="Database with solid fill">
          <a:extLst>
            <a:ext uri="{FF2B5EF4-FFF2-40B4-BE49-F238E27FC236}">
              <a16:creationId xmlns:a16="http://schemas.microsoft.com/office/drawing/2014/main" id="{1A21A595-8319-4010-B40F-D4D0E430DF1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237303" y="85458"/>
          <a:ext cx="1117132" cy="1140051"/>
        </a:xfrm>
        <a:prstGeom prst="rect">
          <a:avLst/>
        </a:prstGeom>
      </xdr:spPr>
    </xdr:pic>
    <xdr:clientData/>
  </xdr:twoCellAnchor>
  <xdr:twoCellAnchor editAs="oneCell">
    <xdr:from>
      <xdr:col>19</xdr:col>
      <xdr:colOff>320261</xdr:colOff>
      <xdr:row>0</xdr:row>
      <xdr:rowOff>154609</xdr:rowOff>
    </xdr:from>
    <xdr:to>
      <xdr:col>21</xdr:col>
      <xdr:colOff>265044</xdr:colOff>
      <xdr:row>6</xdr:row>
      <xdr:rowOff>113345</xdr:rowOff>
    </xdr:to>
    <xdr:pic macro="[0]!Pivot_analysis">
      <xdr:nvPicPr>
        <xdr:cNvPr id="4" name="Graphic 3" descr="Bar chart with solid fill">
          <a:extLst>
            <a:ext uri="{FF2B5EF4-FFF2-40B4-BE49-F238E27FC236}">
              <a16:creationId xmlns:a16="http://schemas.microsoft.com/office/drawing/2014/main" id="{4A5A1F90-EFCC-4678-8446-4A24801FD5C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60696" y="154609"/>
          <a:ext cx="1159565" cy="10851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425450</xdr:colOff>
      <xdr:row>3</xdr:row>
      <xdr:rowOff>127000</xdr:rowOff>
    </xdr:from>
    <xdr:to>
      <xdr:col>43</xdr:col>
      <xdr:colOff>419100</xdr:colOff>
      <xdr:row>238</xdr:row>
      <xdr:rowOff>127000</xdr:rowOff>
    </xdr:to>
    <xdr:sp macro="" textlink="">
      <xdr:nvSpPr>
        <xdr:cNvPr id="2" name="Rectangle: Rounded Corners 1">
          <a:extLst>
            <a:ext uri="{FF2B5EF4-FFF2-40B4-BE49-F238E27FC236}">
              <a16:creationId xmlns:a16="http://schemas.microsoft.com/office/drawing/2014/main" id="{6367C8C6-C88B-9FAF-9E6B-21DF6841B1E5}"/>
            </a:ext>
          </a:extLst>
        </xdr:cNvPr>
        <xdr:cNvSpPr/>
      </xdr:nvSpPr>
      <xdr:spPr>
        <a:xfrm>
          <a:off x="425450" y="662021"/>
          <a:ext cx="26485310" cy="41910000"/>
        </a:xfrm>
        <a:prstGeom prst="roundRect">
          <a:avLst/>
        </a:prstGeom>
        <a:solidFill>
          <a:schemeClr val="bg1">
            <a:lumMod val="65000"/>
          </a:schemeClr>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Times New Roman" panose="02020603050405020304" pitchFamily="18" charset="0"/>
              <a:cs typeface="Times New Roman" panose="02020603050405020304" pitchFamily="18" charset="0"/>
            </a:rPr>
            <a:t> </a:t>
          </a:r>
        </a:p>
      </xdr:txBody>
    </xdr:sp>
    <xdr:clientData/>
  </xdr:twoCellAnchor>
  <xdr:twoCellAnchor editAs="oneCell">
    <xdr:from>
      <xdr:col>3</xdr:col>
      <xdr:colOff>317500</xdr:colOff>
      <xdr:row>6</xdr:row>
      <xdr:rowOff>189022</xdr:rowOff>
    </xdr:from>
    <xdr:to>
      <xdr:col>5</xdr:col>
      <xdr:colOff>526537</xdr:colOff>
      <xdr:row>13</xdr:row>
      <xdr:rowOff>3383</xdr:rowOff>
    </xdr:to>
    <xdr:pic>
      <xdr:nvPicPr>
        <xdr:cNvPr id="4" name="Graphic 3" descr="Route (Two Pins With A Path) with solid fill">
          <a:extLst>
            <a:ext uri="{FF2B5EF4-FFF2-40B4-BE49-F238E27FC236}">
              <a16:creationId xmlns:a16="http://schemas.microsoft.com/office/drawing/2014/main" id="{161D1CE7-E335-269C-9747-919C2A574F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27250" y="1332022"/>
          <a:ext cx="1394660" cy="1273363"/>
        </a:xfrm>
        <a:prstGeom prst="rect">
          <a:avLst/>
        </a:prstGeom>
      </xdr:spPr>
    </xdr:pic>
    <xdr:clientData/>
  </xdr:twoCellAnchor>
  <xdr:twoCellAnchor>
    <xdr:from>
      <xdr:col>6</xdr:col>
      <xdr:colOff>346862</xdr:colOff>
      <xdr:row>8</xdr:row>
      <xdr:rowOff>6052</xdr:rowOff>
    </xdr:from>
    <xdr:to>
      <xdr:col>36</xdr:col>
      <xdr:colOff>416944</xdr:colOff>
      <xdr:row>14</xdr:row>
      <xdr:rowOff>115020</xdr:rowOff>
    </xdr:to>
    <xdr:sp macro="" textlink="">
      <xdr:nvSpPr>
        <xdr:cNvPr id="5" name="Rectangle: Rounded Corners 4">
          <a:extLst>
            <a:ext uri="{FF2B5EF4-FFF2-40B4-BE49-F238E27FC236}">
              <a16:creationId xmlns:a16="http://schemas.microsoft.com/office/drawing/2014/main" id="{6661D543-1065-0ECA-7BDD-D40042856227}"/>
            </a:ext>
          </a:extLst>
        </xdr:cNvPr>
        <xdr:cNvSpPr/>
      </xdr:nvSpPr>
      <xdr:spPr>
        <a:xfrm>
          <a:off x="3969956" y="1501297"/>
          <a:ext cx="18185554" cy="1230402"/>
        </a:xfrm>
        <a:prstGeom prst="roundRect">
          <a:avLst/>
        </a:prstGeom>
        <a:solidFill>
          <a:srgbClr val="32969E"/>
        </a:solidFill>
        <a:ln>
          <a:solidFill>
            <a:schemeClr val="tx1"/>
          </a:solid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i="1">
              <a:solidFill>
                <a:schemeClr val="tx1"/>
              </a:solidFill>
              <a:latin typeface="Times New Roman" panose="02020603050405020304" pitchFamily="18" charset="0"/>
              <a:cs typeface="Times New Roman" panose="02020603050405020304" pitchFamily="18" charset="0"/>
            </a:rPr>
            <a:t>TOUR</a:t>
          </a:r>
          <a:r>
            <a:rPr lang="en-IN" sz="4000" b="1" i="1" baseline="0">
              <a:solidFill>
                <a:schemeClr val="tx1"/>
              </a:solidFill>
              <a:latin typeface="Times New Roman" panose="02020603050405020304" pitchFamily="18" charset="0"/>
              <a:cs typeface="Times New Roman" panose="02020603050405020304" pitchFamily="18" charset="0"/>
            </a:rPr>
            <a:t> TRENDS HOSPITALITY ANALYSIS</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37</xdr:col>
      <xdr:colOff>301625</xdr:colOff>
      <xdr:row>7</xdr:row>
      <xdr:rowOff>6934</xdr:rowOff>
    </xdr:from>
    <xdr:to>
      <xdr:col>40</xdr:col>
      <xdr:colOff>222120</xdr:colOff>
      <xdr:row>14</xdr:row>
      <xdr:rowOff>66918</xdr:rowOff>
    </xdr:to>
    <xdr:pic>
      <xdr:nvPicPr>
        <xdr:cNvPr id="7" name="Graphic 6" descr="Travel with solid fill">
          <a:extLst>
            <a:ext uri="{FF2B5EF4-FFF2-40B4-BE49-F238E27FC236}">
              <a16:creationId xmlns:a16="http://schemas.microsoft.com/office/drawing/2014/main" id="{CA39FAF6-CED6-4031-95C7-C9DE3660E8D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621875" y="1340434"/>
          <a:ext cx="1563231" cy="1547450"/>
        </a:xfrm>
        <a:prstGeom prst="rect">
          <a:avLst/>
        </a:prstGeom>
      </xdr:spPr>
    </xdr:pic>
    <xdr:clientData/>
  </xdr:twoCellAnchor>
  <xdr:twoCellAnchor>
    <xdr:from>
      <xdr:col>0</xdr:col>
      <xdr:colOff>510931</xdr:colOff>
      <xdr:row>15</xdr:row>
      <xdr:rowOff>114300</xdr:rowOff>
    </xdr:from>
    <xdr:to>
      <xdr:col>7</xdr:col>
      <xdr:colOff>423844</xdr:colOff>
      <xdr:row>209</xdr:row>
      <xdr:rowOff>119063</xdr:rowOff>
    </xdr:to>
    <xdr:sp macro="" textlink="">
      <xdr:nvSpPr>
        <xdr:cNvPr id="12" name="Scroll: Vertical 11">
          <a:extLst>
            <a:ext uri="{FF2B5EF4-FFF2-40B4-BE49-F238E27FC236}">
              <a16:creationId xmlns:a16="http://schemas.microsoft.com/office/drawing/2014/main" id="{0E2F26A9-1B08-E632-CF7E-1945778E2043}"/>
            </a:ext>
          </a:extLst>
        </xdr:cNvPr>
        <xdr:cNvSpPr/>
      </xdr:nvSpPr>
      <xdr:spPr>
        <a:xfrm>
          <a:off x="510931" y="2879623"/>
          <a:ext cx="4214526" cy="35769601"/>
        </a:xfrm>
        <a:prstGeom prst="verticalScroll">
          <a:avLst/>
        </a:prstGeom>
        <a:solidFill>
          <a:srgbClr val="32969E"/>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180269</xdr:colOff>
      <xdr:row>18</xdr:row>
      <xdr:rowOff>82391</xdr:rowOff>
    </xdr:from>
    <xdr:to>
      <xdr:col>12</xdr:col>
      <xdr:colOff>238886</xdr:colOff>
      <xdr:row>26</xdr:row>
      <xdr:rowOff>23776</xdr:rowOff>
    </xdr:to>
    <xdr:sp macro="" textlink="'PIVOT ANALYSIS'!$G$4">
      <xdr:nvSpPr>
        <xdr:cNvPr id="13" name="Cube 12">
          <a:extLst>
            <a:ext uri="{FF2B5EF4-FFF2-40B4-BE49-F238E27FC236}">
              <a16:creationId xmlns:a16="http://schemas.microsoft.com/office/drawing/2014/main" id="{BFE6DBAA-DF14-2014-0BE9-64B6C35D3185}"/>
            </a:ext>
          </a:extLst>
        </xdr:cNvPr>
        <xdr:cNvSpPr/>
      </xdr:nvSpPr>
      <xdr:spPr>
        <a:xfrm>
          <a:off x="4407212" y="3446693"/>
          <a:ext cx="3077863" cy="1436630"/>
        </a:xfrm>
        <a:prstGeom prst="cube">
          <a:avLst/>
        </a:prstGeom>
        <a:solidFill>
          <a:srgbClr val="32969E"/>
        </a:solidFill>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i="0" u="none" strike="noStrike">
            <a:solidFill>
              <a:srgbClr val="000000"/>
            </a:solidFill>
            <a:latin typeface="Calibri"/>
            <a:ea typeface="Calibri"/>
            <a:cs typeface="Calibri"/>
          </a:endParaRPr>
        </a:p>
        <a:p>
          <a:pPr algn="ctr"/>
          <a:r>
            <a:rPr lang="en-US" sz="1600" b="1" i="1" u="none" strike="noStrike">
              <a:solidFill>
                <a:srgbClr val="000000"/>
              </a:solidFill>
              <a:latin typeface="Times New Roman" panose="02020603050405020304" pitchFamily="18" charset="0"/>
              <a:ea typeface="Calibri"/>
              <a:cs typeface="Times New Roman" panose="02020603050405020304" pitchFamily="18" charset="0"/>
            </a:rPr>
            <a:t>TOTAL BOOKINGS</a:t>
          </a:r>
          <a:endParaRPr lang="en-US" sz="1100" b="1" i="1" u="none" strike="noStrike">
            <a:solidFill>
              <a:srgbClr val="000000"/>
            </a:solidFill>
            <a:latin typeface="Times New Roman" panose="02020603050405020304" pitchFamily="18" charset="0"/>
            <a:ea typeface="Calibri"/>
            <a:cs typeface="Times New Roman" panose="02020603050405020304" pitchFamily="18" charset="0"/>
          </a:endParaRPr>
        </a:p>
        <a:p>
          <a:pPr algn="ctr"/>
          <a:fld id="{515899EE-157C-49C8-8FBD-9B2B14750037}" type="TxLink">
            <a:rPr lang="en-US" sz="2000" b="1" i="1" u="none" strike="noStrike">
              <a:solidFill>
                <a:srgbClr val="000000"/>
              </a:solidFill>
              <a:latin typeface="Times New Roman" panose="02020603050405020304" pitchFamily="18" charset="0"/>
              <a:ea typeface="Calibri"/>
              <a:cs typeface="Times New Roman" panose="02020603050405020304" pitchFamily="18" charset="0"/>
            </a:rPr>
            <a:pPr algn="ctr"/>
            <a:t>2000</a:t>
          </a:fld>
          <a:endParaRPr lang="en-IN" sz="1100" b="1" i="1">
            <a:latin typeface="Times New Roman" panose="02020603050405020304" pitchFamily="18" charset="0"/>
            <a:cs typeface="Times New Roman" panose="02020603050405020304" pitchFamily="18" charset="0"/>
          </a:endParaRPr>
        </a:p>
      </xdr:txBody>
    </xdr:sp>
    <xdr:clientData/>
  </xdr:twoCellAnchor>
  <xdr:twoCellAnchor>
    <xdr:from>
      <xdr:col>30</xdr:col>
      <xdr:colOff>508604</xdr:colOff>
      <xdr:row>18</xdr:row>
      <xdr:rowOff>15143</xdr:rowOff>
    </xdr:from>
    <xdr:to>
      <xdr:col>36</xdr:col>
      <xdr:colOff>144213</xdr:colOff>
      <xdr:row>25</xdr:row>
      <xdr:rowOff>140670</xdr:rowOff>
    </xdr:to>
    <xdr:sp macro="" textlink="'PIVOT ANALYSIS'!K4">
      <xdr:nvSpPr>
        <xdr:cNvPr id="14" name="Cube 13">
          <a:extLst>
            <a:ext uri="{FF2B5EF4-FFF2-40B4-BE49-F238E27FC236}">
              <a16:creationId xmlns:a16="http://schemas.microsoft.com/office/drawing/2014/main" id="{A173F800-F82A-43ED-9252-DFBFFA857C65}"/>
            </a:ext>
          </a:extLst>
        </xdr:cNvPr>
        <xdr:cNvSpPr/>
      </xdr:nvSpPr>
      <xdr:spPr>
        <a:xfrm>
          <a:off x="18624076" y="3379445"/>
          <a:ext cx="3258703" cy="1433867"/>
        </a:xfrm>
        <a:prstGeom prst="cube">
          <a:avLst/>
        </a:prstGeom>
        <a:solidFill>
          <a:srgbClr val="32969E"/>
        </a:solidFill>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1" u="none" strike="noStrike">
              <a:solidFill>
                <a:srgbClr val="000000"/>
              </a:solidFill>
              <a:latin typeface="Times New Roman" panose="02020603050405020304" pitchFamily="18" charset="0"/>
              <a:ea typeface="Calibri"/>
              <a:cs typeface="Times New Roman" panose="02020603050405020304" pitchFamily="18" charset="0"/>
            </a:rPr>
            <a:t>TOTAL REVENUE</a:t>
          </a:r>
        </a:p>
        <a:p>
          <a:pPr algn="ctr"/>
          <a:fld id="{C98E439E-EE3F-4259-AAA7-DD5D090EADBF}" type="TxLink">
            <a:rPr lang="en-US" sz="2000" b="1" i="1" u="none" strike="noStrike">
              <a:solidFill>
                <a:srgbClr val="000000"/>
              </a:solidFill>
              <a:latin typeface="Times New Roman" panose="02020603050405020304" pitchFamily="18" charset="0"/>
              <a:ea typeface="Calibri"/>
              <a:cs typeface="Times New Roman" panose="02020603050405020304" pitchFamily="18" charset="0"/>
            </a:rPr>
            <a:pPr algn="ctr"/>
            <a:t>₹ 4,91,96,195.29</a:t>
          </a:fld>
          <a:endParaRPr lang="en-IN" sz="2000" b="1" i="1">
            <a:latin typeface="Times New Roman" panose="02020603050405020304" pitchFamily="18" charset="0"/>
            <a:cs typeface="Times New Roman" panose="02020603050405020304" pitchFamily="18" charset="0"/>
          </a:endParaRPr>
        </a:p>
      </xdr:txBody>
    </xdr:sp>
    <xdr:clientData/>
  </xdr:twoCellAnchor>
  <xdr:twoCellAnchor>
    <xdr:from>
      <xdr:col>24</xdr:col>
      <xdr:colOff>428013</xdr:colOff>
      <xdr:row>17</xdr:row>
      <xdr:rowOff>174012</xdr:rowOff>
    </xdr:from>
    <xdr:to>
      <xdr:col>30</xdr:col>
      <xdr:colOff>186604</xdr:colOff>
      <xdr:row>25</xdr:row>
      <xdr:rowOff>77464</xdr:rowOff>
    </xdr:to>
    <xdr:sp macro="" textlink="'PIVOT ANALYSIS'!J4">
      <xdr:nvSpPr>
        <xdr:cNvPr id="15" name="Cube 14">
          <a:extLst>
            <a:ext uri="{FF2B5EF4-FFF2-40B4-BE49-F238E27FC236}">
              <a16:creationId xmlns:a16="http://schemas.microsoft.com/office/drawing/2014/main" id="{AC1E20C6-8729-48D9-AF9F-1590DF97A9A2}"/>
            </a:ext>
          </a:extLst>
        </xdr:cNvPr>
        <xdr:cNvSpPr/>
      </xdr:nvSpPr>
      <xdr:spPr>
        <a:xfrm>
          <a:off x="14920390" y="3351408"/>
          <a:ext cx="3381686" cy="1398698"/>
        </a:xfrm>
        <a:prstGeom prst="cube">
          <a:avLst/>
        </a:prstGeom>
        <a:solidFill>
          <a:srgbClr val="32969E"/>
        </a:solidFill>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1" u="none" strike="noStrike">
              <a:solidFill>
                <a:srgbClr val="000000"/>
              </a:solidFill>
              <a:latin typeface="Calibri"/>
              <a:ea typeface="Calibri"/>
              <a:cs typeface="Calibri"/>
            </a:rPr>
            <a:t>TOTAL DISCOUNT</a:t>
          </a:r>
        </a:p>
        <a:p>
          <a:pPr algn="ctr"/>
          <a:fld id="{EF379980-F6B7-4B21-8260-C286CA3E91F2}" type="TxLink">
            <a:rPr lang="en-US" sz="2000" b="1" i="1" u="none" strike="noStrike">
              <a:solidFill>
                <a:srgbClr val="000000"/>
              </a:solidFill>
              <a:latin typeface="Calibri"/>
              <a:ea typeface="Calibri"/>
              <a:cs typeface="Calibri"/>
            </a:rPr>
            <a:pPr algn="ctr"/>
            <a:t>₹ 49,92,086.24</a:t>
          </a:fld>
          <a:endParaRPr lang="en-IN" sz="2000" b="1" i="1"/>
        </a:p>
      </xdr:txBody>
    </xdr:sp>
    <xdr:clientData/>
  </xdr:twoCellAnchor>
  <xdr:twoCellAnchor>
    <xdr:from>
      <xdr:col>18</xdr:col>
      <xdr:colOff>571289</xdr:colOff>
      <xdr:row>18</xdr:row>
      <xdr:rowOff>11291</xdr:rowOff>
    </xdr:from>
    <xdr:to>
      <xdr:col>24</xdr:col>
      <xdr:colOff>151213</xdr:colOff>
      <xdr:row>25</xdr:row>
      <xdr:rowOff>110441</xdr:rowOff>
    </xdr:to>
    <xdr:sp macro="" textlink="'PIVOT ANALYSIS'!I4">
      <xdr:nvSpPr>
        <xdr:cNvPr id="16" name="Cube 15">
          <a:extLst>
            <a:ext uri="{FF2B5EF4-FFF2-40B4-BE49-F238E27FC236}">
              <a16:creationId xmlns:a16="http://schemas.microsoft.com/office/drawing/2014/main" id="{29BA7265-15E1-498C-8632-B3D4CF37DC28}"/>
            </a:ext>
          </a:extLst>
        </xdr:cNvPr>
        <xdr:cNvSpPr/>
      </xdr:nvSpPr>
      <xdr:spPr>
        <a:xfrm>
          <a:off x="11440572" y="3375593"/>
          <a:ext cx="3203018" cy="1407490"/>
        </a:xfrm>
        <a:prstGeom prst="cube">
          <a:avLst/>
        </a:prstGeom>
        <a:solidFill>
          <a:srgbClr val="32969E"/>
        </a:solidFill>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1" u="none" strike="noStrike">
              <a:solidFill>
                <a:srgbClr val="000000"/>
              </a:solidFill>
              <a:latin typeface="Times New Roman" panose="02020603050405020304" pitchFamily="18" charset="0"/>
              <a:ea typeface="Calibri"/>
              <a:cs typeface="Times New Roman" panose="02020603050405020304" pitchFamily="18" charset="0"/>
            </a:rPr>
            <a:t>TOTAL COST</a:t>
          </a:r>
        </a:p>
        <a:p>
          <a:pPr algn="ctr"/>
          <a:fld id="{EBAB0007-68D9-40AF-B22C-BD06BEDCD87C}" type="TxLink">
            <a:rPr lang="en-US" sz="2000" b="1" i="1" u="none" strike="noStrike">
              <a:solidFill>
                <a:srgbClr val="000000"/>
              </a:solidFill>
              <a:latin typeface="Times New Roman" panose="02020603050405020304" pitchFamily="18" charset="0"/>
              <a:ea typeface="Calibri"/>
              <a:cs typeface="Times New Roman" panose="02020603050405020304" pitchFamily="18" charset="0"/>
            </a:rPr>
            <a:pPr algn="ctr"/>
            <a:t>₹ 5,41,88,281.53</a:t>
          </a:fld>
          <a:endParaRPr lang="en-IN" sz="2000" b="1" i="1">
            <a:latin typeface="Times New Roman" panose="02020603050405020304" pitchFamily="18" charset="0"/>
            <a:cs typeface="Times New Roman" panose="02020603050405020304" pitchFamily="18" charset="0"/>
          </a:endParaRPr>
        </a:p>
      </xdr:txBody>
    </xdr:sp>
    <xdr:clientData/>
  </xdr:twoCellAnchor>
  <xdr:twoCellAnchor>
    <xdr:from>
      <xdr:col>12</xdr:col>
      <xdr:colOff>516676</xdr:colOff>
      <xdr:row>18</xdr:row>
      <xdr:rowOff>72622</xdr:rowOff>
    </xdr:from>
    <xdr:to>
      <xdr:col>18</xdr:col>
      <xdr:colOff>310548</xdr:colOff>
      <xdr:row>25</xdr:row>
      <xdr:rowOff>128036</xdr:rowOff>
    </xdr:to>
    <xdr:sp macro="" textlink="'PIVOT ANALYSIS'!$H$4">
      <xdr:nvSpPr>
        <xdr:cNvPr id="17" name="Cube 16">
          <a:extLst>
            <a:ext uri="{FF2B5EF4-FFF2-40B4-BE49-F238E27FC236}">
              <a16:creationId xmlns:a16="http://schemas.microsoft.com/office/drawing/2014/main" id="{37BEF4AD-536C-4BF9-8760-29BECD3D802F}"/>
            </a:ext>
          </a:extLst>
        </xdr:cNvPr>
        <xdr:cNvSpPr/>
      </xdr:nvSpPr>
      <xdr:spPr>
        <a:xfrm>
          <a:off x="7762865" y="3436924"/>
          <a:ext cx="3416966" cy="1363754"/>
        </a:xfrm>
        <a:prstGeom prst="cube">
          <a:avLst/>
        </a:prstGeom>
        <a:solidFill>
          <a:srgbClr val="32969E"/>
        </a:solidFill>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1" u="none" strike="noStrike">
              <a:solidFill>
                <a:srgbClr val="000000"/>
              </a:solidFill>
              <a:latin typeface="Times New Roman" panose="02020603050405020304" pitchFamily="18" charset="0"/>
              <a:ea typeface="Calibri"/>
              <a:cs typeface="Times New Roman" panose="02020603050405020304" pitchFamily="18" charset="0"/>
            </a:rPr>
            <a:t>GROUP SIZE</a:t>
          </a:r>
          <a:endParaRPr lang="en-US" sz="1100" b="1" i="1" u="none" strike="noStrike">
            <a:solidFill>
              <a:srgbClr val="000000"/>
            </a:solidFill>
            <a:latin typeface="Times New Roman" panose="02020603050405020304" pitchFamily="18" charset="0"/>
            <a:ea typeface="Calibri"/>
            <a:cs typeface="Times New Roman" panose="02020603050405020304" pitchFamily="18" charset="0"/>
          </a:endParaRPr>
        </a:p>
        <a:p>
          <a:pPr algn="ctr"/>
          <a:fld id="{67B77B95-7A28-48B3-9A8C-CCEEA090D9A0}" type="TxLink">
            <a:rPr lang="en-US" sz="2000" b="1" i="1" u="none" strike="noStrike">
              <a:solidFill>
                <a:srgbClr val="000000"/>
              </a:solidFill>
              <a:latin typeface="Times New Roman" panose="02020603050405020304" pitchFamily="18" charset="0"/>
              <a:ea typeface="Calibri"/>
              <a:cs typeface="Times New Roman" panose="02020603050405020304" pitchFamily="18" charset="0"/>
            </a:rPr>
            <a:pPr algn="ctr"/>
            <a:t>8005</a:t>
          </a:fld>
          <a:endParaRPr lang="en-IN" sz="1100" b="1" i="1">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242086</xdr:colOff>
      <xdr:row>20</xdr:row>
      <xdr:rowOff>131094</xdr:rowOff>
    </xdr:from>
    <xdr:to>
      <xdr:col>6</xdr:col>
      <xdr:colOff>370538</xdr:colOff>
      <xdr:row>28</xdr:row>
      <xdr:rowOff>116412</xdr:rowOff>
    </xdr:to>
    <mc:AlternateContent xmlns:mc="http://schemas.openxmlformats.org/markup-compatibility/2006" xmlns:a14="http://schemas.microsoft.com/office/drawing/2010/main">
      <mc:Choice Requires="a14">
        <xdr:graphicFrame macro="">
          <xdr:nvGraphicFramePr>
            <xdr:cNvPr id="19" name="Region 1">
              <a:extLst>
                <a:ext uri="{FF2B5EF4-FFF2-40B4-BE49-F238E27FC236}">
                  <a16:creationId xmlns:a16="http://schemas.microsoft.com/office/drawing/2014/main" id="{59172531-4667-4775-A3FB-A6CEFDF2BE5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680486" y="3941094"/>
              <a:ext cx="1347652" cy="15093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69926</xdr:colOff>
      <xdr:row>20</xdr:row>
      <xdr:rowOff>124501</xdr:rowOff>
    </xdr:from>
    <xdr:to>
      <xdr:col>4</xdr:col>
      <xdr:colOff>176536</xdr:colOff>
      <xdr:row>28</xdr:row>
      <xdr:rowOff>105829</xdr:rowOff>
    </xdr:to>
    <mc:AlternateContent xmlns:mc="http://schemas.openxmlformats.org/markup-compatibility/2006" xmlns:a14="http://schemas.microsoft.com/office/drawing/2010/main">
      <mc:Choice Requires="a14">
        <xdr:graphicFrame macro="">
          <xdr:nvGraphicFramePr>
            <xdr:cNvPr id="18" name="Tour_Type 1">
              <a:extLst>
                <a:ext uri="{FF2B5EF4-FFF2-40B4-BE49-F238E27FC236}">
                  <a16:creationId xmlns:a16="http://schemas.microsoft.com/office/drawing/2014/main" id="{674D3E01-C8A6-499C-9890-92E8A135159A}"/>
                </a:ext>
              </a:extLst>
            </xdr:cNvPr>
            <xdr:cNvGraphicFramePr/>
          </xdr:nvGraphicFramePr>
          <xdr:xfrm>
            <a:off x="0" y="0"/>
            <a:ext cx="0" cy="0"/>
          </xdr:xfrm>
          <a:graphic>
            <a:graphicData uri="http://schemas.microsoft.com/office/drawing/2010/slicer">
              <sle:slicer xmlns:sle="http://schemas.microsoft.com/office/drawing/2010/slicer" name="Tour_Type 1"/>
            </a:graphicData>
          </a:graphic>
        </xdr:graphicFrame>
      </mc:Choice>
      <mc:Fallback xmlns="">
        <xdr:sp macro="" textlink="">
          <xdr:nvSpPr>
            <xdr:cNvPr id="0" name=""/>
            <xdr:cNvSpPr>
              <a:spLocks noTextEdit="1"/>
            </xdr:cNvSpPr>
          </xdr:nvSpPr>
          <xdr:spPr>
            <a:xfrm>
              <a:off x="1289126" y="3934501"/>
              <a:ext cx="1325810" cy="15053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27452</xdr:colOff>
      <xdr:row>103</xdr:row>
      <xdr:rowOff>51426</xdr:rowOff>
    </xdr:from>
    <xdr:to>
      <xdr:col>36</xdr:col>
      <xdr:colOff>158151</xdr:colOff>
      <xdr:row>165</xdr:row>
      <xdr:rowOff>143774</xdr:rowOff>
    </xdr:to>
    <mc:AlternateContent xmlns:mc="http://schemas.openxmlformats.org/markup-compatibility/2006">
      <mc:Choice xmlns:cx4="http://schemas.microsoft.com/office/drawing/2016/5/10/chartex" Requires="cx4">
        <xdr:graphicFrame macro="">
          <xdr:nvGraphicFramePr>
            <xdr:cNvPr id="20" name="Chart 19">
              <a:extLst>
                <a:ext uri="{FF2B5EF4-FFF2-40B4-BE49-F238E27FC236}">
                  <a16:creationId xmlns:a16="http://schemas.microsoft.com/office/drawing/2014/main" id="{EF349AF1-DB24-4C7B-A6B9-DECE61EC71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267452" y="18888066"/>
              <a:ext cx="6836299" cy="1143090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402565</xdr:colOff>
      <xdr:row>34</xdr:row>
      <xdr:rowOff>119976</xdr:rowOff>
    </xdr:from>
    <xdr:to>
      <xdr:col>21</xdr:col>
      <xdr:colOff>546339</xdr:colOff>
      <xdr:row>52</xdr:row>
      <xdr:rowOff>98325</xdr:rowOff>
    </xdr:to>
    <xdr:graphicFrame macro="">
      <xdr:nvGraphicFramePr>
        <xdr:cNvPr id="21" name="Chart 20">
          <a:extLst>
            <a:ext uri="{FF2B5EF4-FFF2-40B4-BE49-F238E27FC236}">
              <a16:creationId xmlns:a16="http://schemas.microsoft.com/office/drawing/2014/main" id="{1BDA7F47-8B27-4477-AD8A-E132D1E24A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218079</xdr:colOff>
      <xdr:row>28</xdr:row>
      <xdr:rowOff>86475</xdr:rowOff>
    </xdr:from>
    <xdr:to>
      <xdr:col>22</xdr:col>
      <xdr:colOff>73173</xdr:colOff>
      <xdr:row>33</xdr:row>
      <xdr:rowOff>133257</xdr:rowOff>
    </xdr:to>
    <xdr:sp macro="" textlink="">
      <xdr:nvSpPr>
        <xdr:cNvPr id="22" name="Rectangle: Rounded Corners 21">
          <a:extLst>
            <a:ext uri="{FF2B5EF4-FFF2-40B4-BE49-F238E27FC236}">
              <a16:creationId xmlns:a16="http://schemas.microsoft.com/office/drawing/2014/main" id="{E4697C5D-1E9F-454F-8D78-EC41BE356B91}"/>
            </a:ext>
          </a:extLst>
        </xdr:cNvPr>
        <xdr:cNvSpPr/>
      </xdr:nvSpPr>
      <xdr:spPr>
        <a:xfrm>
          <a:off x="4440829" y="5420475"/>
          <a:ext cx="8903844" cy="999282"/>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a:solidFill>
                <a:schemeClr val="tx1"/>
              </a:solidFill>
              <a:latin typeface="Times New Roman" panose="02020603050405020304" pitchFamily="18" charset="0"/>
              <a:cs typeface="Times New Roman" panose="02020603050405020304" pitchFamily="18" charset="0"/>
            </a:rPr>
            <a:t>         COST</a:t>
          </a:r>
          <a:r>
            <a:rPr lang="en-IN" sz="3200" b="1" i="1" baseline="0">
              <a:solidFill>
                <a:schemeClr val="tx1"/>
              </a:solidFill>
              <a:latin typeface="Times New Roman" panose="02020603050405020304" pitchFamily="18" charset="0"/>
              <a:cs typeface="Times New Roman" panose="02020603050405020304" pitchFamily="18" charset="0"/>
            </a:rPr>
            <a:t> OF PACKAGE</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43133</xdr:colOff>
      <xdr:row>143</xdr:row>
      <xdr:rowOff>62003</xdr:rowOff>
    </xdr:from>
    <xdr:to>
      <xdr:col>24</xdr:col>
      <xdr:colOff>201284</xdr:colOff>
      <xdr:row>165</xdr:row>
      <xdr:rowOff>0</xdr:rowOff>
    </xdr:to>
    <mc:AlternateContent xmlns:mc="http://schemas.openxmlformats.org/markup-compatibility/2006">
      <mc:Choice xmlns:cx2="http://schemas.microsoft.com/office/drawing/2015/10/21/chartex" Requires="cx2">
        <xdr:graphicFrame macro="">
          <xdr:nvGraphicFramePr>
            <xdr:cNvPr id="23" name="Chart 22">
              <a:extLst>
                <a:ext uri="{FF2B5EF4-FFF2-40B4-BE49-F238E27FC236}">
                  <a16:creationId xmlns:a16="http://schemas.microsoft.com/office/drawing/2014/main" id="{481AE0E4-FA8D-482C-968F-2A5B4DAE15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919933" y="26213843"/>
              <a:ext cx="9911751" cy="396135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193236</xdr:colOff>
      <xdr:row>136</xdr:row>
      <xdr:rowOff>15425</xdr:rowOff>
    </xdr:from>
    <xdr:to>
      <xdr:col>24</xdr:col>
      <xdr:colOff>445699</xdr:colOff>
      <xdr:row>141</xdr:row>
      <xdr:rowOff>172529</xdr:rowOff>
    </xdr:to>
    <xdr:sp macro="" textlink="">
      <xdr:nvSpPr>
        <xdr:cNvPr id="25" name="Rectangle: Rounded Corners 24">
          <a:extLst>
            <a:ext uri="{FF2B5EF4-FFF2-40B4-BE49-F238E27FC236}">
              <a16:creationId xmlns:a16="http://schemas.microsoft.com/office/drawing/2014/main" id="{27ED7487-A653-47E1-90AF-8A50A93DA47C}"/>
            </a:ext>
          </a:extLst>
        </xdr:cNvPr>
        <xdr:cNvSpPr/>
      </xdr:nvSpPr>
      <xdr:spPr>
        <a:xfrm>
          <a:off x="4420179" y="25434595"/>
          <a:ext cx="10517897" cy="1091632"/>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a:solidFill>
                <a:schemeClr val="tx1"/>
              </a:solidFill>
              <a:latin typeface="Times New Roman" panose="02020603050405020304" pitchFamily="18" charset="0"/>
              <a:cs typeface="Times New Roman" panose="02020603050405020304" pitchFamily="18" charset="0"/>
            </a:rPr>
            <a:t>DURATION</a:t>
          </a:r>
          <a:r>
            <a:rPr lang="en-IN" sz="3200" b="1" i="1" baseline="0">
              <a:solidFill>
                <a:schemeClr val="tx1"/>
              </a:solidFill>
              <a:latin typeface="Times New Roman" panose="02020603050405020304" pitchFamily="18" charset="0"/>
              <a:cs typeface="Times New Roman" panose="02020603050405020304" pitchFamily="18" charset="0"/>
            </a:rPr>
            <a:t> ANALYSIS</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285749</xdr:colOff>
      <xdr:row>174</xdr:row>
      <xdr:rowOff>134937</xdr:rowOff>
    </xdr:from>
    <xdr:to>
      <xdr:col>36</xdr:col>
      <xdr:colOff>158748</xdr:colOff>
      <xdr:row>207</xdr:row>
      <xdr:rowOff>103186</xdr:rowOff>
    </xdr:to>
    <xdr:graphicFrame macro="">
      <xdr:nvGraphicFramePr>
        <xdr:cNvPr id="26" name="Chart 25">
          <a:extLst>
            <a:ext uri="{FF2B5EF4-FFF2-40B4-BE49-F238E27FC236}">
              <a16:creationId xmlns:a16="http://schemas.microsoft.com/office/drawing/2014/main" id="{C7675BC3-01E0-4C60-BE1D-04F10BD02A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115020</xdr:colOff>
      <xdr:row>110</xdr:row>
      <xdr:rowOff>143772</xdr:rowOff>
    </xdr:from>
    <xdr:to>
      <xdr:col>24</xdr:col>
      <xdr:colOff>71889</xdr:colOff>
      <xdr:row>134</xdr:row>
      <xdr:rowOff>158150</xdr:rowOff>
    </xdr:to>
    <xdr:graphicFrame macro="">
      <xdr:nvGraphicFramePr>
        <xdr:cNvPr id="27" name="Chart 26">
          <a:extLst>
            <a:ext uri="{FF2B5EF4-FFF2-40B4-BE49-F238E27FC236}">
              <a16:creationId xmlns:a16="http://schemas.microsoft.com/office/drawing/2014/main" id="{A12D2077-D936-46D0-A7B9-8F214328F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71888</xdr:colOff>
      <xdr:row>34</xdr:row>
      <xdr:rowOff>129396</xdr:rowOff>
    </xdr:from>
    <xdr:to>
      <xdr:col>36</xdr:col>
      <xdr:colOff>182114</xdr:colOff>
      <xdr:row>53</xdr:row>
      <xdr:rowOff>58467</xdr:rowOff>
    </xdr:to>
    <xdr:graphicFrame macro="">
      <xdr:nvGraphicFramePr>
        <xdr:cNvPr id="28" name="Chart 27">
          <a:extLst>
            <a:ext uri="{FF2B5EF4-FFF2-40B4-BE49-F238E27FC236}">
              <a16:creationId xmlns:a16="http://schemas.microsoft.com/office/drawing/2014/main" id="{B0980801-4EE7-4622-B2B2-5AB3A7DD14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36</xdr:col>
      <xdr:colOff>243517</xdr:colOff>
      <xdr:row>16</xdr:row>
      <xdr:rowOff>42450</xdr:rowOff>
    </xdr:from>
    <xdr:to>
      <xdr:col>43</xdr:col>
      <xdr:colOff>118780</xdr:colOff>
      <xdr:row>210</xdr:row>
      <xdr:rowOff>1</xdr:rowOff>
    </xdr:to>
    <xdr:sp macro="" textlink="">
      <xdr:nvSpPr>
        <xdr:cNvPr id="38" name="Scroll: Vertical 37">
          <a:extLst>
            <a:ext uri="{FF2B5EF4-FFF2-40B4-BE49-F238E27FC236}">
              <a16:creationId xmlns:a16="http://schemas.microsoft.com/office/drawing/2014/main" id="{1466256C-77D0-44FE-9EC3-B6662CBA2816}"/>
            </a:ext>
          </a:extLst>
        </xdr:cNvPr>
        <xdr:cNvSpPr/>
      </xdr:nvSpPr>
      <xdr:spPr>
        <a:xfrm>
          <a:off x="22266390" y="2961661"/>
          <a:ext cx="4157489" cy="35352988"/>
        </a:xfrm>
        <a:prstGeom prst="verticalScroll">
          <a:avLst/>
        </a:prstGeom>
        <a:solidFill>
          <a:srgbClr val="32969E"/>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259071</xdr:colOff>
      <xdr:row>69</xdr:row>
      <xdr:rowOff>50524</xdr:rowOff>
    </xdr:from>
    <xdr:to>
      <xdr:col>16</xdr:col>
      <xdr:colOff>450799</xdr:colOff>
      <xdr:row>85</xdr:row>
      <xdr:rowOff>176238</xdr:rowOff>
    </xdr:to>
    <xdr:graphicFrame macro="">
      <xdr:nvGraphicFramePr>
        <xdr:cNvPr id="39" name="Chart 38">
          <a:extLst>
            <a:ext uri="{FF2B5EF4-FFF2-40B4-BE49-F238E27FC236}">
              <a16:creationId xmlns:a16="http://schemas.microsoft.com/office/drawing/2014/main" id="{25CD7F8D-9920-4580-AFD5-189E8D8E68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187726</xdr:colOff>
      <xdr:row>69</xdr:row>
      <xdr:rowOff>93659</xdr:rowOff>
    </xdr:from>
    <xdr:to>
      <xdr:col>26</xdr:col>
      <xdr:colOff>187728</xdr:colOff>
      <xdr:row>86</xdr:row>
      <xdr:rowOff>37383</xdr:rowOff>
    </xdr:to>
    <xdr:graphicFrame macro="">
      <xdr:nvGraphicFramePr>
        <xdr:cNvPr id="40" name="Chart 39">
          <a:extLst>
            <a:ext uri="{FF2B5EF4-FFF2-40B4-BE49-F238E27FC236}">
              <a16:creationId xmlns:a16="http://schemas.microsoft.com/office/drawing/2014/main" id="{E9A1372A-07E4-4CFA-A02C-7CAB0DABAE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27</xdr:col>
      <xdr:colOff>154864</xdr:colOff>
      <xdr:row>69</xdr:row>
      <xdr:rowOff>101605</xdr:rowOff>
    </xdr:from>
    <xdr:to>
      <xdr:col>36</xdr:col>
      <xdr:colOff>198407</xdr:colOff>
      <xdr:row>86</xdr:row>
      <xdr:rowOff>28754</xdr:rowOff>
    </xdr:to>
    <xdr:graphicFrame macro="">
      <xdr:nvGraphicFramePr>
        <xdr:cNvPr id="41" name="Chart 40">
          <a:extLst>
            <a:ext uri="{FF2B5EF4-FFF2-40B4-BE49-F238E27FC236}">
              <a16:creationId xmlns:a16="http://schemas.microsoft.com/office/drawing/2014/main" id="{484A262D-5170-45A3-867B-5C66EE7A2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261174</xdr:colOff>
      <xdr:row>87</xdr:row>
      <xdr:rowOff>21843</xdr:rowOff>
    </xdr:from>
    <xdr:to>
      <xdr:col>36</xdr:col>
      <xdr:colOff>230038</xdr:colOff>
      <xdr:row>102</xdr:row>
      <xdr:rowOff>22183</xdr:rowOff>
    </xdr:to>
    <xdr:graphicFrame macro="">
      <xdr:nvGraphicFramePr>
        <xdr:cNvPr id="42" name="Chart 41">
          <a:extLst>
            <a:ext uri="{FF2B5EF4-FFF2-40B4-BE49-F238E27FC236}">
              <a16:creationId xmlns:a16="http://schemas.microsoft.com/office/drawing/2014/main" id="{FD212882-FFFC-46F1-BAAF-9D273AF71D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4</xdr:col>
      <xdr:colOff>253227</xdr:colOff>
      <xdr:row>39</xdr:row>
      <xdr:rowOff>52562</xdr:rowOff>
    </xdr:from>
    <xdr:to>
      <xdr:col>6</xdr:col>
      <xdr:colOff>428540</xdr:colOff>
      <xdr:row>51</xdr:row>
      <xdr:rowOff>41810</xdr:rowOff>
    </xdr:to>
    <mc:AlternateContent xmlns:mc="http://schemas.openxmlformats.org/markup-compatibility/2006" xmlns:a14="http://schemas.microsoft.com/office/drawing/2010/main">
      <mc:Choice Requires="a14">
        <xdr:graphicFrame macro="">
          <xdr:nvGraphicFramePr>
            <xdr:cNvPr id="51" name="Destination 2">
              <a:extLst>
                <a:ext uri="{FF2B5EF4-FFF2-40B4-BE49-F238E27FC236}">
                  <a16:creationId xmlns:a16="http://schemas.microsoft.com/office/drawing/2014/main" id="{845A8DE3-48CD-42C5-8D3E-3DA035695C10}"/>
                </a:ext>
              </a:extLst>
            </xdr:cNvPr>
            <xdr:cNvGraphicFramePr/>
          </xdr:nvGraphicFramePr>
          <xdr:xfrm>
            <a:off x="0" y="0"/>
            <a:ext cx="0" cy="0"/>
          </xdr:xfrm>
          <a:graphic>
            <a:graphicData uri="http://schemas.microsoft.com/office/drawing/2010/slicer">
              <sle:slicer xmlns:sle="http://schemas.microsoft.com/office/drawing/2010/slicer" name="Destination 2"/>
            </a:graphicData>
          </a:graphic>
        </xdr:graphicFrame>
      </mc:Choice>
      <mc:Fallback xmlns="">
        <xdr:sp macro="" textlink="">
          <xdr:nvSpPr>
            <xdr:cNvPr id="0" name=""/>
            <xdr:cNvSpPr>
              <a:spLocks noTextEdit="1"/>
            </xdr:cNvSpPr>
          </xdr:nvSpPr>
          <xdr:spPr>
            <a:xfrm>
              <a:off x="2691627" y="7482062"/>
              <a:ext cx="1394513" cy="22752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539326</xdr:colOff>
      <xdr:row>39</xdr:row>
      <xdr:rowOff>53355</xdr:rowOff>
    </xdr:from>
    <xdr:to>
      <xdr:col>4</xdr:col>
      <xdr:colOff>163580</xdr:colOff>
      <xdr:row>51</xdr:row>
      <xdr:rowOff>41810</xdr:rowOff>
    </xdr:to>
    <mc:AlternateContent xmlns:mc="http://schemas.openxmlformats.org/markup-compatibility/2006" xmlns:a14="http://schemas.microsoft.com/office/drawing/2010/main">
      <mc:Choice Requires="a14">
        <xdr:graphicFrame macro="">
          <xdr:nvGraphicFramePr>
            <xdr:cNvPr id="52" name="Feedback 3">
              <a:extLst>
                <a:ext uri="{FF2B5EF4-FFF2-40B4-BE49-F238E27FC236}">
                  <a16:creationId xmlns:a16="http://schemas.microsoft.com/office/drawing/2014/main" id="{879BEE5D-3D4C-4064-944A-D32FB6698FFA}"/>
                </a:ext>
              </a:extLst>
            </xdr:cNvPr>
            <xdr:cNvGraphicFramePr/>
          </xdr:nvGraphicFramePr>
          <xdr:xfrm>
            <a:off x="0" y="0"/>
            <a:ext cx="0" cy="0"/>
          </xdr:xfrm>
          <a:graphic>
            <a:graphicData uri="http://schemas.microsoft.com/office/drawing/2010/slicer">
              <sle:slicer xmlns:sle="http://schemas.microsoft.com/office/drawing/2010/slicer" name="Feedback 3"/>
            </a:graphicData>
          </a:graphic>
        </xdr:graphicFrame>
      </mc:Choice>
      <mc:Fallback xmlns="">
        <xdr:sp macro="" textlink="">
          <xdr:nvSpPr>
            <xdr:cNvPr id="0" name=""/>
            <xdr:cNvSpPr>
              <a:spLocks noTextEdit="1"/>
            </xdr:cNvSpPr>
          </xdr:nvSpPr>
          <xdr:spPr>
            <a:xfrm>
              <a:off x="1148926" y="7482855"/>
              <a:ext cx="1453054" cy="2274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491527</xdr:colOff>
      <xdr:row>142</xdr:row>
      <xdr:rowOff>97311</xdr:rowOff>
    </xdr:from>
    <xdr:to>
      <xdr:col>5</xdr:col>
      <xdr:colOff>167415</xdr:colOff>
      <xdr:row>149</xdr:row>
      <xdr:rowOff>59605</xdr:rowOff>
    </xdr:to>
    <mc:AlternateContent xmlns:mc="http://schemas.openxmlformats.org/markup-compatibility/2006" xmlns:a14="http://schemas.microsoft.com/office/drawing/2010/main">
      <mc:Choice Requires="a14">
        <xdr:graphicFrame macro="">
          <xdr:nvGraphicFramePr>
            <xdr:cNvPr id="53" name="Group_Size 2">
              <a:extLst>
                <a:ext uri="{FF2B5EF4-FFF2-40B4-BE49-F238E27FC236}">
                  <a16:creationId xmlns:a16="http://schemas.microsoft.com/office/drawing/2014/main" id="{AB694FF6-2DF9-4875-A4C9-7E309A6E9D4A}"/>
                </a:ext>
              </a:extLst>
            </xdr:cNvPr>
            <xdr:cNvGraphicFramePr/>
          </xdr:nvGraphicFramePr>
          <xdr:xfrm>
            <a:off x="0" y="0"/>
            <a:ext cx="0" cy="0"/>
          </xdr:xfrm>
          <a:graphic>
            <a:graphicData uri="http://schemas.microsoft.com/office/drawing/2010/slicer">
              <sle:slicer xmlns:sle="http://schemas.microsoft.com/office/drawing/2010/slicer" name="Group_Size 2"/>
            </a:graphicData>
          </a:graphic>
        </xdr:graphicFrame>
      </mc:Choice>
      <mc:Fallback xmlns="">
        <xdr:sp macro="" textlink="">
          <xdr:nvSpPr>
            <xdr:cNvPr id="0" name=""/>
            <xdr:cNvSpPr>
              <a:spLocks noTextEdit="1"/>
            </xdr:cNvSpPr>
          </xdr:nvSpPr>
          <xdr:spPr>
            <a:xfrm>
              <a:off x="1710727" y="27148311"/>
              <a:ext cx="1504688" cy="12957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299164</xdr:colOff>
      <xdr:row>152</xdr:row>
      <xdr:rowOff>30480</xdr:rowOff>
    </xdr:from>
    <xdr:to>
      <xdr:col>5</xdr:col>
      <xdr:colOff>354985</xdr:colOff>
      <xdr:row>160</xdr:row>
      <xdr:rowOff>159095</xdr:rowOff>
    </xdr:to>
    <mc:AlternateContent xmlns:mc="http://schemas.openxmlformats.org/markup-compatibility/2006" xmlns:a14="http://schemas.microsoft.com/office/drawing/2010/main">
      <mc:Choice Requires="a14">
        <xdr:graphicFrame macro="">
          <xdr:nvGraphicFramePr>
            <xdr:cNvPr id="54" name="Accommodation_Type 2">
              <a:extLst>
                <a:ext uri="{FF2B5EF4-FFF2-40B4-BE49-F238E27FC236}">
                  <a16:creationId xmlns:a16="http://schemas.microsoft.com/office/drawing/2014/main" id="{C269C27D-AEE7-4CA8-9796-066386446243}"/>
                </a:ext>
              </a:extLst>
            </xdr:cNvPr>
            <xdr:cNvGraphicFramePr/>
          </xdr:nvGraphicFramePr>
          <xdr:xfrm>
            <a:off x="0" y="0"/>
            <a:ext cx="0" cy="0"/>
          </xdr:xfrm>
          <a:graphic>
            <a:graphicData uri="http://schemas.microsoft.com/office/drawing/2010/slicer">
              <sle:slicer xmlns:sle="http://schemas.microsoft.com/office/drawing/2010/slicer" name="Accommodation_Type 2"/>
            </a:graphicData>
          </a:graphic>
        </xdr:graphicFrame>
      </mc:Choice>
      <mc:Fallback xmlns="">
        <xdr:sp macro="" textlink="">
          <xdr:nvSpPr>
            <xdr:cNvPr id="0" name=""/>
            <xdr:cNvSpPr>
              <a:spLocks noTextEdit="1"/>
            </xdr:cNvSpPr>
          </xdr:nvSpPr>
          <xdr:spPr>
            <a:xfrm>
              <a:off x="1518364" y="28986480"/>
              <a:ext cx="1884621" cy="1652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193239</xdr:colOff>
      <xdr:row>55</xdr:row>
      <xdr:rowOff>15472</xdr:rowOff>
    </xdr:from>
    <xdr:to>
      <xdr:col>36</xdr:col>
      <xdr:colOff>474453</xdr:colOff>
      <xdr:row>60</xdr:row>
      <xdr:rowOff>28880</xdr:rowOff>
    </xdr:to>
    <xdr:sp macro="" textlink="">
      <xdr:nvSpPr>
        <xdr:cNvPr id="55" name="Rectangle: Rounded Corners 54">
          <a:extLst>
            <a:ext uri="{FF2B5EF4-FFF2-40B4-BE49-F238E27FC236}">
              <a16:creationId xmlns:a16="http://schemas.microsoft.com/office/drawing/2014/main" id="{F9C0D004-5DE2-4F4F-8953-E595BDFA297C}"/>
            </a:ext>
          </a:extLst>
        </xdr:cNvPr>
        <xdr:cNvSpPr/>
      </xdr:nvSpPr>
      <xdr:spPr>
        <a:xfrm>
          <a:off x="4420182" y="10295283"/>
          <a:ext cx="17792837" cy="947937"/>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a:solidFill>
                <a:schemeClr val="tx1"/>
              </a:solidFill>
              <a:latin typeface="Times New Roman" panose="02020603050405020304" pitchFamily="18" charset="0"/>
              <a:cs typeface="Times New Roman" panose="02020603050405020304" pitchFamily="18" charset="0"/>
            </a:rPr>
            <a:t>TOP</a:t>
          </a:r>
          <a:r>
            <a:rPr lang="en-IN" sz="3200" b="1" i="1" baseline="0">
              <a:solidFill>
                <a:schemeClr val="tx1"/>
              </a:solidFill>
              <a:latin typeface="Times New Roman" panose="02020603050405020304" pitchFamily="18" charset="0"/>
              <a:cs typeface="Times New Roman" panose="02020603050405020304" pitchFamily="18" charset="0"/>
            </a:rPr>
            <a:t> 3 DESTINATIONS</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371478</xdr:colOff>
      <xdr:row>61</xdr:row>
      <xdr:rowOff>56475</xdr:rowOff>
    </xdr:from>
    <xdr:to>
      <xdr:col>16</xdr:col>
      <xdr:colOff>88450</xdr:colOff>
      <xdr:row>67</xdr:row>
      <xdr:rowOff>121790</xdr:rowOff>
    </xdr:to>
    <xdr:sp macro="" textlink="'PIVOT ANALYSIS'!$E$19">
      <xdr:nvSpPr>
        <xdr:cNvPr id="56" name="Rectangle: Rounded Corners 55">
          <a:extLst>
            <a:ext uri="{FF2B5EF4-FFF2-40B4-BE49-F238E27FC236}">
              <a16:creationId xmlns:a16="http://schemas.microsoft.com/office/drawing/2014/main" id="{DE463400-6D81-FE26-9503-FAFED0C170F2}"/>
            </a:ext>
          </a:extLst>
        </xdr:cNvPr>
        <xdr:cNvSpPr/>
      </xdr:nvSpPr>
      <xdr:spPr>
        <a:xfrm>
          <a:off x="4598421" y="11457720"/>
          <a:ext cx="5151614" cy="1186749"/>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00000"/>
              </a:solidFill>
              <a:latin typeface="Times New Roman" panose="02020603050405020304" pitchFamily="18" charset="0"/>
              <a:ea typeface="Calibri"/>
              <a:cs typeface="Times New Roman" panose="02020603050405020304" pitchFamily="18" charset="0"/>
            </a:rPr>
            <a:t>ANDAMAN BOOKINGS</a:t>
          </a:r>
        </a:p>
        <a:p>
          <a:pPr algn="ctr"/>
          <a:fld id="{84C2C99A-5B0E-4C88-97E8-1293F4949F12}" type="TxLink">
            <a:rPr lang="en-US" sz="2600" b="1" i="1" u="none" strike="noStrike">
              <a:solidFill>
                <a:srgbClr val="000000"/>
              </a:solidFill>
              <a:latin typeface="Times New Roman" panose="02020603050405020304" pitchFamily="18" charset="0"/>
              <a:ea typeface="Calibri"/>
              <a:cs typeface="Times New Roman" panose="02020603050405020304" pitchFamily="18" charset="0"/>
            </a:rPr>
            <a:pPr algn="ctr"/>
            <a:t>414</a:t>
          </a:fld>
          <a:endParaRPr lang="en-IN" sz="2600" b="1" i="1">
            <a:latin typeface="Times New Roman" panose="02020603050405020304" pitchFamily="18" charset="0"/>
            <a:cs typeface="Times New Roman" panose="02020603050405020304" pitchFamily="18" charset="0"/>
          </a:endParaRPr>
        </a:p>
      </xdr:txBody>
    </xdr:sp>
    <xdr:clientData/>
  </xdr:twoCellAnchor>
  <xdr:twoCellAnchor>
    <xdr:from>
      <xdr:col>27</xdr:col>
      <xdr:colOff>269776</xdr:colOff>
      <xdr:row>61</xdr:row>
      <xdr:rowOff>76189</xdr:rowOff>
    </xdr:from>
    <xdr:to>
      <xdr:col>35</xdr:col>
      <xdr:colOff>590597</xdr:colOff>
      <xdr:row>67</xdr:row>
      <xdr:rowOff>139396</xdr:rowOff>
    </xdr:to>
    <xdr:sp macro="" textlink="'PIVOT ANALYSIS'!M19">
      <xdr:nvSpPr>
        <xdr:cNvPr id="57" name="Rectangle: Rounded Corners 56">
          <a:extLst>
            <a:ext uri="{FF2B5EF4-FFF2-40B4-BE49-F238E27FC236}">
              <a16:creationId xmlns:a16="http://schemas.microsoft.com/office/drawing/2014/main" id="{CAC2A6E1-BB80-4FE9-A27E-BD502BFDBEB1}"/>
            </a:ext>
          </a:extLst>
        </xdr:cNvPr>
        <xdr:cNvSpPr/>
      </xdr:nvSpPr>
      <xdr:spPr>
        <a:xfrm>
          <a:off x="16573701" y="11477434"/>
          <a:ext cx="5151613" cy="1184641"/>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00000"/>
              </a:solidFill>
              <a:latin typeface="Times New Roman" panose="02020603050405020304" pitchFamily="18" charset="0"/>
              <a:ea typeface="Calibri"/>
              <a:cs typeface="Times New Roman" panose="02020603050405020304" pitchFamily="18" charset="0"/>
            </a:rPr>
            <a:t>HIMACHAL</a:t>
          </a:r>
          <a:r>
            <a:rPr lang="en-US" sz="2000" b="1" i="1" u="none" strike="noStrike" baseline="0">
              <a:solidFill>
                <a:srgbClr val="000000"/>
              </a:solidFill>
              <a:latin typeface="Times New Roman" panose="02020603050405020304" pitchFamily="18" charset="0"/>
              <a:ea typeface="Calibri"/>
              <a:cs typeface="Times New Roman" panose="02020603050405020304" pitchFamily="18" charset="0"/>
            </a:rPr>
            <a:t> PRADESH BOOKINGS</a:t>
          </a:r>
          <a:endParaRPr lang="en-US" sz="2000" b="1" i="1" u="none" strike="noStrike">
            <a:solidFill>
              <a:srgbClr val="000000"/>
            </a:solidFill>
            <a:latin typeface="Times New Roman" panose="02020603050405020304" pitchFamily="18" charset="0"/>
            <a:ea typeface="Calibri"/>
            <a:cs typeface="Times New Roman" panose="02020603050405020304" pitchFamily="18" charset="0"/>
          </a:endParaRPr>
        </a:p>
        <a:p>
          <a:pPr algn="ctr"/>
          <a:fld id="{01325430-6641-44BC-AEEA-C9EF27C2C773}" type="TxLink">
            <a:rPr lang="en-US" sz="2600" b="1" i="1" u="none" strike="noStrike">
              <a:solidFill>
                <a:srgbClr val="000000"/>
              </a:solidFill>
              <a:latin typeface="Times New Roman" panose="02020603050405020304" pitchFamily="18" charset="0"/>
              <a:ea typeface="Calibri"/>
              <a:cs typeface="Times New Roman" panose="02020603050405020304" pitchFamily="18" charset="0"/>
            </a:rPr>
            <a:pPr algn="ctr"/>
            <a:t>397</a:t>
          </a:fld>
          <a:endParaRPr lang="en-IN" sz="2600" b="1" i="1">
            <a:latin typeface="Times New Roman" panose="02020603050405020304" pitchFamily="18" charset="0"/>
            <a:cs typeface="Times New Roman" panose="02020603050405020304" pitchFamily="18" charset="0"/>
          </a:endParaRPr>
        </a:p>
      </xdr:txBody>
    </xdr:sp>
    <xdr:clientData/>
  </xdr:twoCellAnchor>
  <xdr:twoCellAnchor>
    <xdr:from>
      <xdr:col>17</xdr:col>
      <xdr:colOff>305792</xdr:colOff>
      <xdr:row>61</xdr:row>
      <xdr:rowOff>75298</xdr:rowOff>
    </xdr:from>
    <xdr:to>
      <xdr:col>26</xdr:col>
      <xdr:colOff>28516</xdr:colOff>
      <xdr:row>67</xdr:row>
      <xdr:rowOff>138505</xdr:rowOff>
    </xdr:to>
    <xdr:sp macro="" textlink="'PIVOT ANALYSIS'!$I$19">
      <xdr:nvSpPr>
        <xdr:cNvPr id="58" name="Rectangle: Rounded Corners 57">
          <a:extLst>
            <a:ext uri="{FF2B5EF4-FFF2-40B4-BE49-F238E27FC236}">
              <a16:creationId xmlns:a16="http://schemas.microsoft.com/office/drawing/2014/main" id="{D743AE1B-F694-4B90-83A4-4ED3F688553C}"/>
            </a:ext>
          </a:extLst>
        </xdr:cNvPr>
        <xdr:cNvSpPr/>
      </xdr:nvSpPr>
      <xdr:spPr>
        <a:xfrm>
          <a:off x="10571226" y="11476543"/>
          <a:ext cx="5157365" cy="1184641"/>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00000"/>
              </a:solidFill>
              <a:latin typeface="Times New Roman" panose="02020603050405020304" pitchFamily="18" charset="0"/>
              <a:ea typeface="Calibri"/>
              <a:cs typeface="Times New Roman" panose="02020603050405020304" pitchFamily="18" charset="0"/>
            </a:rPr>
            <a:t>RAJASTHAN BOOKINGS</a:t>
          </a:r>
        </a:p>
        <a:p>
          <a:pPr algn="ctr"/>
          <a:fld id="{A240DDA8-2A7F-4281-9750-624AACAF8EF9}" type="TxLink">
            <a:rPr lang="en-US" sz="2600" b="1" i="1" u="none" strike="noStrike">
              <a:solidFill>
                <a:srgbClr val="000000"/>
              </a:solidFill>
              <a:latin typeface="Times New Roman" panose="02020603050405020304" pitchFamily="18" charset="0"/>
              <a:ea typeface="Calibri"/>
              <a:cs typeface="Times New Roman" panose="02020603050405020304" pitchFamily="18" charset="0"/>
            </a:rPr>
            <a:pPr algn="ctr"/>
            <a:t>414</a:t>
          </a:fld>
          <a:endParaRPr lang="en-IN" sz="2600" b="1" i="1">
            <a:latin typeface="Times New Roman" panose="02020603050405020304" pitchFamily="18" charset="0"/>
            <a:cs typeface="Times New Roman" panose="02020603050405020304" pitchFamily="18" charset="0"/>
          </a:endParaRPr>
        </a:p>
      </xdr:txBody>
    </xdr:sp>
    <xdr:clientData/>
  </xdr:twoCellAnchor>
  <xdr:twoCellAnchor editAs="oneCell">
    <xdr:from>
      <xdr:col>37</xdr:col>
      <xdr:colOff>527569</xdr:colOff>
      <xdr:row>71</xdr:row>
      <xdr:rowOff>154170</xdr:rowOff>
    </xdr:from>
    <xdr:to>
      <xdr:col>41</xdr:col>
      <xdr:colOff>436939</xdr:colOff>
      <xdr:row>96</xdr:row>
      <xdr:rowOff>11972</xdr:rowOff>
    </xdr:to>
    <mc:AlternateContent xmlns:mc="http://schemas.openxmlformats.org/markup-compatibility/2006" xmlns:a14="http://schemas.microsoft.com/office/drawing/2010/main">
      <mc:Choice Requires="a14">
        <xdr:graphicFrame macro="">
          <xdr:nvGraphicFramePr>
            <xdr:cNvPr id="59" name="Accommodation_Type 3">
              <a:extLst>
                <a:ext uri="{FF2B5EF4-FFF2-40B4-BE49-F238E27FC236}">
                  <a16:creationId xmlns:a16="http://schemas.microsoft.com/office/drawing/2014/main" id="{22B221AC-3896-4696-BFC9-A479246DF3C1}"/>
                </a:ext>
              </a:extLst>
            </xdr:cNvPr>
            <xdr:cNvGraphicFramePr/>
          </xdr:nvGraphicFramePr>
          <xdr:xfrm>
            <a:off x="0" y="0"/>
            <a:ext cx="0" cy="0"/>
          </xdr:xfrm>
          <a:graphic>
            <a:graphicData uri="http://schemas.microsoft.com/office/drawing/2010/slicer">
              <sle:slicer xmlns:sle="http://schemas.microsoft.com/office/drawing/2010/slicer" name="Accommodation_Type 3"/>
            </a:graphicData>
          </a:graphic>
        </xdr:graphicFrame>
      </mc:Choice>
      <mc:Fallback xmlns="">
        <xdr:sp macro="" textlink="">
          <xdr:nvSpPr>
            <xdr:cNvPr id="0" name=""/>
            <xdr:cNvSpPr>
              <a:spLocks noTextEdit="1"/>
            </xdr:cNvSpPr>
          </xdr:nvSpPr>
          <xdr:spPr>
            <a:xfrm>
              <a:off x="23082769" y="13679670"/>
              <a:ext cx="2347770" cy="46203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240631</xdr:colOff>
      <xdr:row>68</xdr:row>
      <xdr:rowOff>136356</xdr:rowOff>
    </xdr:from>
    <xdr:to>
      <xdr:col>6</xdr:col>
      <xdr:colOff>80209</xdr:colOff>
      <xdr:row>92</xdr:row>
      <xdr:rowOff>116304</xdr:rowOff>
    </xdr:to>
    <mc:AlternateContent xmlns:mc="http://schemas.openxmlformats.org/markup-compatibility/2006" xmlns:a14="http://schemas.microsoft.com/office/drawing/2010/main">
      <mc:Choice Requires="a14">
        <xdr:graphicFrame macro="">
          <xdr:nvGraphicFramePr>
            <xdr:cNvPr id="60" name="Rating 1">
              <a:extLst>
                <a:ext uri="{FF2B5EF4-FFF2-40B4-BE49-F238E27FC236}">
                  <a16:creationId xmlns:a16="http://schemas.microsoft.com/office/drawing/2014/main" id="{BFDE80D5-72BA-4E2A-AFC2-AD0DBC12BFA2}"/>
                </a:ext>
              </a:extLst>
            </xdr:cNvPr>
            <xdr:cNvGraphicFramePr/>
          </xdr:nvGraphicFramePr>
          <xdr:xfrm>
            <a:off x="0" y="0"/>
            <a:ext cx="0" cy="0"/>
          </xdr:xfrm>
          <a:graphic>
            <a:graphicData uri="http://schemas.microsoft.com/office/drawing/2010/slicer">
              <sle:slicer xmlns:sle="http://schemas.microsoft.com/office/drawing/2010/slicer" name="Rating 1"/>
            </a:graphicData>
          </a:graphic>
        </xdr:graphicFrame>
      </mc:Choice>
      <mc:Fallback xmlns="">
        <xdr:sp macro="" textlink="">
          <xdr:nvSpPr>
            <xdr:cNvPr id="0" name=""/>
            <xdr:cNvSpPr>
              <a:spLocks noTextEdit="1"/>
            </xdr:cNvSpPr>
          </xdr:nvSpPr>
          <xdr:spPr>
            <a:xfrm>
              <a:off x="1459831" y="13090356"/>
              <a:ext cx="2277978" cy="45519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197316</xdr:colOff>
      <xdr:row>103</xdr:row>
      <xdr:rowOff>162613</xdr:rowOff>
    </xdr:from>
    <xdr:to>
      <xdr:col>24</xdr:col>
      <xdr:colOff>388190</xdr:colOff>
      <xdr:row>109</xdr:row>
      <xdr:rowOff>143775</xdr:rowOff>
    </xdr:to>
    <xdr:sp macro="" textlink="">
      <xdr:nvSpPr>
        <xdr:cNvPr id="61" name="Rectangle: Rounded Corners 60">
          <a:extLst>
            <a:ext uri="{FF2B5EF4-FFF2-40B4-BE49-F238E27FC236}">
              <a16:creationId xmlns:a16="http://schemas.microsoft.com/office/drawing/2014/main" id="{8C7EF4BB-5318-4D4A-BF63-433DBD188098}"/>
            </a:ext>
          </a:extLst>
        </xdr:cNvPr>
        <xdr:cNvSpPr/>
      </xdr:nvSpPr>
      <xdr:spPr>
        <a:xfrm>
          <a:off x="4435289" y="19515325"/>
          <a:ext cx="10483093" cy="1108505"/>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baseline="0">
              <a:solidFill>
                <a:schemeClr val="tx1"/>
              </a:solidFill>
              <a:latin typeface="Times New Roman" panose="02020603050405020304" pitchFamily="18" charset="0"/>
              <a:cs typeface="Times New Roman" panose="02020603050405020304" pitchFamily="18" charset="0"/>
            </a:rPr>
            <a:t>BEACH ESCAPE - PACKAGE</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421237</xdr:colOff>
      <xdr:row>28</xdr:row>
      <xdr:rowOff>21323</xdr:rowOff>
    </xdr:from>
    <xdr:to>
      <xdr:col>36</xdr:col>
      <xdr:colOff>457200</xdr:colOff>
      <xdr:row>33</xdr:row>
      <xdr:rowOff>83869</xdr:rowOff>
    </xdr:to>
    <xdr:sp macro="" textlink="">
      <xdr:nvSpPr>
        <xdr:cNvPr id="62" name="Rectangle: Rounded Corners 61">
          <a:extLst>
            <a:ext uri="{FF2B5EF4-FFF2-40B4-BE49-F238E27FC236}">
              <a16:creationId xmlns:a16="http://schemas.microsoft.com/office/drawing/2014/main" id="{F1E418F1-77DA-4CC7-B034-1DD9D5921A2D}"/>
            </a:ext>
          </a:extLst>
        </xdr:cNvPr>
        <xdr:cNvSpPr/>
      </xdr:nvSpPr>
      <xdr:spPr>
        <a:xfrm>
          <a:off x="13705916" y="5254681"/>
          <a:ext cx="8489850" cy="997075"/>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a:solidFill>
                <a:schemeClr val="tx1"/>
              </a:solidFill>
              <a:latin typeface="Times New Roman" panose="02020603050405020304" pitchFamily="18" charset="0"/>
              <a:cs typeface="Times New Roman" panose="02020603050405020304" pitchFamily="18" charset="0"/>
            </a:rPr>
            <a:t>      TOUR</a:t>
          </a:r>
          <a:r>
            <a:rPr lang="en-IN" sz="3200" b="1" i="1" baseline="0">
              <a:solidFill>
                <a:schemeClr val="tx1"/>
              </a:solidFill>
              <a:latin typeface="Times New Roman" panose="02020603050405020304" pitchFamily="18" charset="0"/>
              <a:cs typeface="Times New Roman" panose="02020603050405020304" pitchFamily="18" charset="0"/>
            </a:rPr>
            <a:t> GUIDE ANALYSIS</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173279</xdr:colOff>
      <xdr:row>167</xdr:row>
      <xdr:rowOff>53167</xdr:rowOff>
    </xdr:from>
    <xdr:to>
      <xdr:col>36</xdr:col>
      <xdr:colOff>330680</xdr:colOff>
      <xdr:row>173</xdr:row>
      <xdr:rowOff>50942</xdr:rowOff>
    </xdr:to>
    <xdr:sp macro="" textlink="">
      <xdr:nvSpPr>
        <xdr:cNvPr id="63" name="Rectangle: Rounded Corners 62">
          <a:extLst>
            <a:ext uri="{FF2B5EF4-FFF2-40B4-BE49-F238E27FC236}">
              <a16:creationId xmlns:a16="http://schemas.microsoft.com/office/drawing/2014/main" id="{D5E92812-3BF6-4386-ADC2-05FCCD3B3142}"/>
            </a:ext>
          </a:extLst>
        </xdr:cNvPr>
        <xdr:cNvSpPr/>
      </xdr:nvSpPr>
      <xdr:spPr>
        <a:xfrm>
          <a:off x="4400222" y="31266412"/>
          <a:ext cx="17669024" cy="1119209"/>
        </a:xfrm>
        <a:prstGeom prst="roundRect">
          <a:avLst/>
        </a:prstGeom>
        <a:solidFill>
          <a:srgbClr val="32969E"/>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i="1">
              <a:solidFill>
                <a:schemeClr val="tx1"/>
              </a:solidFill>
              <a:latin typeface="Times New Roman" panose="02020603050405020304" pitchFamily="18" charset="0"/>
              <a:cs typeface="Times New Roman" panose="02020603050405020304" pitchFamily="18" charset="0"/>
            </a:rPr>
            <a:t>TRAVEL</a:t>
          </a:r>
          <a:r>
            <a:rPr lang="en-IN" sz="3200" b="1" i="1" baseline="0">
              <a:solidFill>
                <a:schemeClr val="tx1"/>
              </a:solidFill>
              <a:latin typeface="Times New Roman" panose="02020603050405020304" pitchFamily="18" charset="0"/>
              <a:cs typeface="Times New Roman" panose="02020603050405020304" pitchFamily="18" charset="0"/>
            </a:rPr>
            <a:t> MODE ANALYSIS</a:t>
          </a:r>
          <a:endParaRPr lang="en-IN" sz="1100" b="1" i="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37</xdr:col>
      <xdr:colOff>508847</xdr:colOff>
      <xdr:row>34</xdr:row>
      <xdr:rowOff>7404</xdr:rowOff>
    </xdr:from>
    <xdr:to>
      <xdr:col>42</xdr:col>
      <xdr:colOff>66972</xdr:colOff>
      <xdr:row>45</xdr:row>
      <xdr:rowOff>87086</xdr:rowOff>
    </xdr:to>
    <mc:AlternateContent xmlns:mc="http://schemas.openxmlformats.org/markup-compatibility/2006" xmlns:a14="http://schemas.microsoft.com/office/drawing/2010/main">
      <mc:Choice Requires="a14">
        <xdr:graphicFrame macro="">
          <xdr:nvGraphicFramePr>
            <xdr:cNvPr id="67" name="Feedback 4">
              <a:extLst>
                <a:ext uri="{FF2B5EF4-FFF2-40B4-BE49-F238E27FC236}">
                  <a16:creationId xmlns:a16="http://schemas.microsoft.com/office/drawing/2014/main" id="{C176428D-6998-457C-AD68-7DE3C48D741E}"/>
                </a:ext>
              </a:extLst>
            </xdr:cNvPr>
            <xdr:cNvGraphicFramePr/>
          </xdr:nvGraphicFramePr>
          <xdr:xfrm>
            <a:off x="0" y="0"/>
            <a:ext cx="0" cy="0"/>
          </xdr:xfrm>
          <a:graphic>
            <a:graphicData uri="http://schemas.microsoft.com/office/drawing/2010/slicer">
              <sle:slicer xmlns:sle="http://schemas.microsoft.com/office/drawing/2010/slicer" name="Feedback 4"/>
            </a:graphicData>
          </a:graphic>
        </xdr:graphicFrame>
      </mc:Choice>
      <mc:Fallback xmlns="">
        <xdr:sp macro="" textlink="">
          <xdr:nvSpPr>
            <xdr:cNvPr id="0" name=""/>
            <xdr:cNvSpPr>
              <a:spLocks noTextEdit="1"/>
            </xdr:cNvSpPr>
          </xdr:nvSpPr>
          <xdr:spPr>
            <a:xfrm>
              <a:off x="23064047" y="6484404"/>
              <a:ext cx="2606125" cy="21751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504816</xdr:colOff>
      <xdr:row>47</xdr:row>
      <xdr:rowOff>174978</xdr:rowOff>
    </xdr:from>
    <xdr:to>
      <xdr:col>41</xdr:col>
      <xdr:colOff>387475</xdr:colOff>
      <xdr:row>54</xdr:row>
      <xdr:rowOff>118533</xdr:rowOff>
    </xdr:to>
    <mc:AlternateContent xmlns:mc="http://schemas.openxmlformats.org/markup-compatibility/2006" xmlns:a14="http://schemas.microsoft.com/office/drawing/2010/main">
      <mc:Choice Requires="a14">
        <xdr:graphicFrame macro="">
          <xdr:nvGraphicFramePr>
            <xdr:cNvPr id="68" name="Rebooked 1">
              <a:extLst>
                <a:ext uri="{FF2B5EF4-FFF2-40B4-BE49-F238E27FC236}">
                  <a16:creationId xmlns:a16="http://schemas.microsoft.com/office/drawing/2014/main" id="{2DAA1820-2F10-4985-8E99-1331C26D713A}"/>
                </a:ext>
              </a:extLst>
            </xdr:cNvPr>
            <xdr:cNvGraphicFramePr/>
          </xdr:nvGraphicFramePr>
          <xdr:xfrm>
            <a:off x="0" y="0"/>
            <a:ext cx="0" cy="0"/>
          </xdr:xfrm>
          <a:graphic>
            <a:graphicData uri="http://schemas.microsoft.com/office/drawing/2010/slicer">
              <sle:slicer xmlns:sle="http://schemas.microsoft.com/office/drawing/2010/slicer" name="Rebooked 1"/>
            </a:graphicData>
          </a:graphic>
        </xdr:graphicFrame>
      </mc:Choice>
      <mc:Fallback xmlns="">
        <xdr:sp macro="" textlink="">
          <xdr:nvSpPr>
            <xdr:cNvPr id="0" name=""/>
            <xdr:cNvSpPr>
              <a:spLocks noTextEdit="1"/>
            </xdr:cNvSpPr>
          </xdr:nvSpPr>
          <xdr:spPr>
            <a:xfrm>
              <a:off x="23060016" y="9128478"/>
              <a:ext cx="2321059" cy="12770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250371</xdr:colOff>
      <xdr:row>181</xdr:row>
      <xdr:rowOff>146957</xdr:rowOff>
    </xdr:from>
    <xdr:to>
      <xdr:col>6</xdr:col>
      <xdr:colOff>207085</xdr:colOff>
      <xdr:row>192</xdr:row>
      <xdr:rowOff>144517</xdr:rowOff>
    </xdr:to>
    <mc:AlternateContent xmlns:mc="http://schemas.openxmlformats.org/markup-compatibility/2006" xmlns:a14="http://schemas.microsoft.com/office/drawing/2010/main">
      <mc:Choice Requires="a14">
        <xdr:graphicFrame macro="">
          <xdr:nvGraphicFramePr>
            <xdr:cNvPr id="69" name="Destination 3">
              <a:extLst>
                <a:ext uri="{FF2B5EF4-FFF2-40B4-BE49-F238E27FC236}">
                  <a16:creationId xmlns:a16="http://schemas.microsoft.com/office/drawing/2014/main" id="{C1C9C329-B9ED-4C37-895B-E2C3C36AC6BE}"/>
                </a:ext>
              </a:extLst>
            </xdr:cNvPr>
            <xdr:cNvGraphicFramePr/>
          </xdr:nvGraphicFramePr>
          <xdr:xfrm>
            <a:off x="0" y="0"/>
            <a:ext cx="0" cy="0"/>
          </xdr:xfrm>
          <a:graphic>
            <a:graphicData uri="http://schemas.microsoft.com/office/drawing/2010/slicer">
              <sle:slicer xmlns:sle="http://schemas.microsoft.com/office/drawing/2010/slicer" name="Destination 3"/>
            </a:graphicData>
          </a:graphic>
        </xdr:graphicFrame>
      </mc:Choice>
      <mc:Fallback xmlns="">
        <xdr:sp macro="" textlink="">
          <xdr:nvSpPr>
            <xdr:cNvPr id="0" name=""/>
            <xdr:cNvSpPr>
              <a:spLocks noTextEdit="1"/>
            </xdr:cNvSpPr>
          </xdr:nvSpPr>
          <xdr:spPr>
            <a:xfrm>
              <a:off x="1469571" y="34627457"/>
              <a:ext cx="2395114" cy="2093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154884</xdr:colOff>
      <xdr:row>106</xdr:row>
      <xdr:rowOff>180974</xdr:rowOff>
    </xdr:from>
    <xdr:to>
      <xdr:col>5</xdr:col>
      <xdr:colOff>504825</xdr:colOff>
      <xdr:row>118</xdr:row>
      <xdr:rowOff>114299</xdr:rowOff>
    </xdr:to>
    <mc:AlternateContent xmlns:mc="http://schemas.openxmlformats.org/markup-compatibility/2006" xmlns:a14="http://schemas.microsoft.com/office/drawing/2010/main">
      <mc:Choice Requires="a14">
        <xdr:graphicFrame macro="">
          <xdr:nvGraphicFramePr>
            <xdr:cNvPr id="70" name="Feedback 5">
              <a:extLst>
                <a:ext uri="{FF2B5EF4-FFF2-40B4-BE49-F238E27FC236}">
                  <a16:creationId xmlns:a16="http://schemas.microsoft.com/office/drawing/2014/main" id="{04AE58F3-2E24-4322-B2F8-CBB88879A227}"/>
                </a:ext>
              </a:extLst>
            </xdr:cNvPr>
            <xdr:cNvGraphicFramePr/>
          </xdr:nvGraphicFramePr>
          <xdr:xfrm>
            <a:off x="0" y="0"/>
            <a:ext cx="0" cy="0"/>
          </xdr:xfrm>
          <a:graphic>
            <a:graphicData uri="http://schemas.microsoft.com/office/drawing/2010/slicer">
              <sle:slicer xmlns:sle="http://schemas.microsoft.com/office/drawing/2010/slicer" name="Feedback 5"/>
            </a:graphicData>
          </a:graphic>
        </xdr:graphicFrame>
      </mc:Choice>
      <mc:Fallback xmlns="">
        <xdr:sp macro="" textlink="">
          <xdr:nvSpPr>
            <xdr:cNvPr id="0" name=""/>
            <xdr:cNvSpPr>
              <a:spLocks noTextEdit="1"/>
            </xdr:cNvSpPr>
          </xdr:nvSpPr>
          <xdr:spPr>
            <a:xfrm>
              <a:off x="1374084" y="20373974"/>
              <a:ext cx="2178741" cy="2219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138257</xdr:colOff>
      <xdr:row>119</xdr:row>
      <xdr:rowOff>128452</xdr:rowOff>
    </xdr:from>
    <xdr:to>
      <xdr:col>5</xdr:col>
      <xdr:colOff>457201</xdr:colOff>
      <xdr:row>133</xdr:row>
      <xdr:rowOff>66675</xdr:rowOff>
    </xdr:to>
    <mc:AlternateContent xmlns:mc="http://schemas.openxmlformats.org/markup-compatibility/2006" xmlns:a14="http://schemas.microsoft.com/office/drawing/2010/main">
      <mc:Choice Requires="a14">
        <xdr:graphicFrame macro="">
          <xdr:nvGraphicFramePr>
            <xdr:cNvPr id="71" name="Group_Size 3">
              <a:extLst>
                <a:ext uri="{FF2B5EF4-FFF2-40B4-BE49-F238E27FC236}">
                  <a16:creationId xmlns:a16="http://schemas.microsoft.com/office/drawing/2014/main" id="{D99922F2-E0C8-478C-97C0-7CF1C6B10073}"/>
                </a:ext>
              </a:extLst>
            </xdr:cNvPr>
            <xdr:cNvGraphicFramePr/>
          </xdr:nvGraphicFramePr>
          <xdr:xfrm>
            <a:off x="0" y="0"/>
            <a:ext cx="0" cy="0"/>
          </xdr:xfrm>
          <a:graphic>
            <a:graphicData uri="http://schemas.microsoft.com/office/drawing/2010/slicer">
              <sle:slicer xmlns:sle="http://schemas.microsoft.com/office/drawing/2010/slicer" name="Group_Size 3"/>
            </a:graphicData>
          </a:graphic>
        </xdr:graphicFrame>
      </mc:Choice>
      <mc:Fallback xmlns="">
        <xdr:sp macro="" textlink="">
          <xdr:nvSpPr>
            <xdr:cNvPr id="0" name=""/>
            <xdr:cNvSpPr>
              <a:spLocks noTextEdit="1"/>
            </xdr:cNvSpPr>
          </xdr:nvSpPr>
          <xdr:spPr>
            <a:xfrm>
              <a:off x="1357457" y="22797952"/>
              <a:ext cx="2147744" cy="26052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31750</xdr:colOff>
      <xdr:row>28</xdr:row>
      <xdr:rowOff>142875</xdr:rowOff>
    </xdr:from>
    <xdr:to>
      <xdr:col>26</xdr:col>
      <xdr:colOff>184150</xdr:colOff>
      <xdr:row>32</xdr:row>
      <xdr:rowOff>136525</xdr:rowOff>
    </xdr:to>
    <xdr:pic>
      <xdr:nvPicPr>
        <xdr:cNvPr id="76" name="Graphic 75" descr="Selfie Stick with solid fill">
          <a:extLst>
            <a:ext uri="{FF2B5EF4-FFF2-40B4-BE49-F238E27FC236}">
              <a16:creationId xmlns:a16="http://schemas.microsoft.com/office/drawing/2014/main" id="{51FA6147-4CEB-54FF-4D7E-B69D69FCC39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113000" y="5476875"/>
          <a:ext cx="755650" cy="755650"/>
        </a:xfrm>
        <a:prstGeom prst="rect">
          <a:avLst/>
        </a:prstGeom>
      </xdr:spPr>
    </xdr:pic>
    <xdr:clientData/>
  </xdr:twoCellAnchor>
  <xdr:twoCellAnchor editAs="oneCell">
    <xdr:from>
      <xdr:col>10</xdr:col>
      <xdr:colOff>555624</xdr:colOff>
      <xdr:row>28</xdr:row>
      <xdr:rowOff>158749</xdr:rowOff>
    </xdr:from>
    <xdr:to>
      <xdr:col>12</xdr:col>
      <xdr:colOff>152399</xdr:colOff>
      <xdr:row>33</xdr:row>
      <xdr:rowOff>9524</xdr:rowOff>
    </xdr:to>
    <xdr:pic>
      <xdr:nvPicPr>
        <xdr:cNvPr id="78" name="Graphic 77" descr="Treasure chest with solid fill">
          <a:extLst>
            <a:ext uri="{FF2B5EF4-FFF2-40B4-BE49-F238E27FC236}">
              <a16:creationId xmlns:a16="http://schemas.microsoft.com/office/drawing/2014/main" id="{45F51773-AB3C-5B66-DDB8-599F64ECEFC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6588124" y="5492749"/>
          <a:ext cx="803275" cy="803275"/>
        </a:xfrm>
        <a:prstGeom prst="rect">
          <a:avLst/>
        </a:prstGeom>
      </xdr:spPr>
    </xdr:pic>
    <xdr:clientData/>
  </xdr:twoCellAnchor>
  <xdr:twoCellAnchor editAs="oneCell">
    <xdr:from>
      <xdr:col>17</xdr:col>
      <xdr:colOff>196848</xdr:colOff>
      <xdr:row>55</xdr:row>
      <xdr:rowOff>117231</xdr:rowOff>
    </xdr:from>
    <xdr:to>
      <xdr:col>18</xdr:col>
      <xdr:colOff>250093</xdr:colOff>
      <xdr:row>59</xdr:row>
      <xdr:rowOff>69013</xdr:rowOff>
    </xdr:to>
    <xdr:pic>
      <xdr:nvPicPr>
        <xdr:cNvPr id="80" name="Graphic 79" descr="Priorities with solid fill">
          <a:extLst>
            <a:ext uri="{FF2B5EF4-FFF2-40B4-BE49-F238E27FC236}">
              <a16:creationId xmlns:a16="http://schemas.microsoft.com/office/drawing/2014/main" id="{376B2C89-FC30-4824-FC59-AAA794C5A04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493617" y="9788769"/>
          <a:ext cx="658938" cy="655167"/>
        </a:xfrm>
        <a:prstGeom prst="rect">
          <a:avLst/>
        </a:prstGeom>
      </xdr:spPr>
    </xdr:pic>
    <xdr:clientData/>
  </xdr:twoCellAnchor>
  <xdr:twoCellAnchor editAs="oneCell">
    <xdr:from>
      <xdr:col>10</xdr:col>
      <xdr:colOff>104383</xdr:colOff>
      <xdr:row>104</xdr:row>
      <xdr:rowOff>161317</xdr:rowOff>
    </xdr:from>
    <xdr:to>
      <xdr:col>11</xdr:col>
      <xdr:colOff>301321</xdr:colOff>
      <xdr:row>109</xdr:row>
      <xdr:rowOff>31314</xdr:rowOff>
    </xdr:to>
    <xdr:pic>
      <xdr:nvPicPr>
        <xdr:cNvPr id="82" name="Graphic 81" descr="Vacation with solid fill">
          <a:extLst>
            <a:ext uri="{FF2B5EF4-FFF2-40B4-BE49-F238E27FC236}">
              <a16:creationId xmlns:a16="http://schemas.microsoft.com/office/drawing/2014/main" id="{639B39E0-63D6-0055-AF4D-6C21C43AA25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158630" y="19701920"/>
          <a:ext cx="802362" cy="809449"/>
        </a:xfrm>
        <a:prstGeom prst="rect">
          <a:avLst/>
        </a:prstGeom>
      </xdr:spPr>
    </xdr:pic>
    <xdr:clientData/>
  </xdr:twoCellAnchor>
  <xdr:twoCellAnchor editAs="oneCell">
    <xdr:from>
      <xdr:col>20</xdr:col>
      <xdr:colOff>265519</xdr:colOff>
      <xdr:row>104</xdr:row>
      <xdr:rowOff>39702</xdr:rowOff>
    </xdr:from>
    <xdr:to>
      <xdr:col>21</xdr:col>
      <xdr:colOff>559793</xdr:colOff>
      <xdr:row>109</xdr:row>
      <xdr:rowOff>1602</xdr:rowOff>
    </xdr:to>
    <xdr:pic>
      <xdr:nvPicPr>
        <xdr:cNvPr id="84" name="Graphic 83" descr="Bucket and shovel with solid fill">
          <a:extLst>
            <a:ext uri="{FF2B5EF4-FFF2-40B4-BE49-F238E27FC236}">
              <a16:creationId xmlns:a16="http://schemas.microsoft.com/office/drawing/2014/main" id="{34B477AE-38F2-EA16-26F0-7D14337A424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374012" y="19580305"/>
          <a:ext cx="899699" cy="901352"/>
        </a:xfrm>
        <a:prstGeom prst="rect">
          <a:avLst/>
        </a:prstGeom>
      </xdr:spPr>
    </xdr:pic>
    <xdr:clientData/>
  </xdr:twoCellAnchor>
  <xdr:twoCellAnchor editAs="oneCell">
    <xdr:from>
      <xdr:col>19</xdr:col>
      <xdr:colOff>293077</xdr:colOff>
      <xdr:row>136</xdr:row>
      <xdr:rowOff>123264</xdr:rowOff>
    </xdr:from>
    <xdr:to>
      <xdr:col>20</xdr:col>
      <xdr:colOff>444614</xdr:colOff>
      <xdr:row>141</xdr:row>
      <xdr:rowOff>11032</xdr:rowOff>
    </xdr:to>
    <xdr:pic>
      <xdr:nvPicPr>
        <xdr:cNvPr id="86" name="Graphic 85" descr="Hourglass 30% with solid fill">
          <a:extLst>
            <a:ext uri="{FF2B5EF4-FFF2-40B4-BE49-F238E27FC236}">
              <a16:creationId xmlns:a16="http://schemas.microsoft.com/office/drawing/2014/main" id="{DAFA08B6-DAFB-F503-614A-C2DB932C7EC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1986846" y="24038341"/>
          <a:ext cx="766999" cy="766999"/>
        </a:xfrm>
        <a:prstGeom prst="rect">
          <a:avLst/>
        </a:prstGeom>
      </xdr:spPr>
    </xdr:pic>
    <xdr:clientData/>
  </xdr:twoCellAnchor>
  <xdr:twoCellAnchor editAs="oneCell">
    <xdr:from>
      <xdr:col>11</xdr:col>
      <xdr:colOff>29308</xdr:colOff>
      <xdr:row>136</xdr:row>
      <xdr:rowOff>93958</xdr:rowOff>
    </xdr:from>
    <xdr:to>
      <xdr:col>12</xdr:col>
      <xdr:colOff>213615</xdr:colOff>
      <xdr:row>141</xdr:row>
      <xdr:rowOff>14495</xdr:rowOff>
    </xdr:to>
    <xdr:pic>
      <xdr:nvPicPr>
        <xdr:cNvPr id="88" name="Graphic 87" descr="Daily calendar with solid fill">
          <a:extLst>
            <a:ext uri="{FF2B5EF4-FFF2-40B4-BE49-F238E27FC236}">
              <a16:creationId xmlns:a16="http://schemas.microsoft.com/office/drawing/2014/main" id="{B37D34D3-9782-A973-5360-0DBDF0B50E22}"/>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799385" y="24009035"/>
          <a:ext cx="799768" cy="799768"/>
        </a:xfrm>
        <a:prstGeom prst="rect">
          <a:avLst/>
        </a:prstGeom>
      </xdr:spPr>
    </xdr:pic>
    <xdr:clientData/>
  </xdr:twoCellAnchor>
  <xdr:twoCellAnchor editAs="oneCell">
    <xdr:from>
      <xdr:col>16</xdr:col>
      <xdr:colOff>205154</xdr:colOff>
      <xdr:row>167</xdr:row>
      <xdr:rowOff>58615</xdr:rowOff>
    </xdr:from>
    <xdr:to>
      <xdr:col>17</xdr:col>
      <xdr:colOff>504093</xdr:colOff>
      <xdr:row>172</xdr:row>
      <xdr:rowOff>93785</xdr:rowOff>
    </xdr:to>
    <xdr:pic>
      <xdr:nvPicPr>
        <xdr:cNvPr id="90" name="Graphic 89" descr="Take Off with solid fill">
          <a:extLst>
            <a:ext uri="{FF2B5EF4-FFF2-40B4-BE49-F238E27FC236}">
              <a16:creationId xmlns:a16="http://schemas.microsoft.com/office/drawing/2014/main" id="{180622D6-1836-2D30-2959-03443967D4E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0052539" y="29424923"/>
          <a:ext cx="914400" cy="914400"/>
        </a:xfrm>
        <a:prstGeom prst="rect">
          <a:avLst/>
        </a:prstGeom>
      </xdr:spPr>
    </xdr:pic>
    <xdr:clientData/>
  </xdr:twoCellAnchor>
  <xdr:twoCellAnchor editAs="oneCell">
    <xdr:from>
      <xdr:col>8</xdr:col>
      <xdr:colOff>342899</xdr:colOff>
      <xdr:row>218</xdr:row>
      <xdr:rowOff>0</xdr:rowOff>
    </xdr:from>
    <xdr:to>
      <xdr:col>11</xdr:col>
      <xdr:colOff>28796</xdr:colOff>
      <xdr:row>226</xdr:row>
      <xdr:rowOff>152400</xdr:rowOff>
    </xdr:to>
    <xdr:pic macro="[0]!Source_data">
      <xdr:nvPicPr>
        <xdr:cNvPr id="92" name="Graphic 91" descr="Database with solid fill">
          <a:extLst>
            <a:ext uri="{FF2B5EF4-FFF2-40B4-BE49-F238E27FC236}">
              <a16:creationId xmlns:a16="http://schemas.microsoft.com/office/drawing/2014/main" id="{BC8B9868-1408-D6DE-48C0-D0BEE58224F6}"/>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19699" y="41529000"/>
          <a:ext cx="1514697" cy="1676400"/>
        </a:xfrm>
        <a:prstGeom prst="rect">
          <a:avLst/>
        </a:prstGeom>
      </xdr:spPr>
    </xdr:pic>
    <xdr:clientData/>
  </xdr:twoCellAnchor>
  <xdr:twoCellAnchor editAs="oneCell">
    <xdr:from>
      <xdr:col>16</xdr:col>
      <xdr:colOff>333375</xdr:colOff>
      <xdr:row>218</xdr:row>
      <xdr:rowOff>47625</xdr:rowOff>
    </xdr:from>
    <xdr:to>
      <xdr:col>19</xdr:col>
      <xdr:colOff>95250</xdr:colOff>
      <xdr:row>226</xdr:row>
      <xdr:rowOff>142875</xdr:rowOff>
    </xdr:to>
    <xdr:pic macro="[0]!Pivot_analysis">
      <xdr:nvPicPr>
        <xdr:cNvPr id="96" name="Graphic 95" descr="Bar chart with solid fill">
          <a:extLst>
            <a:ext uri="{FF2B5EF4-FFF2-40B4-BE49-F238E27FC236}">
              <a16:creationId xmlns:a16="http://schemas.microsoft.com/office/drawing/2014/main" id="{AF4B798E-E3A6-9ED3-7BAC-B916855AF31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0239375" y="41576625"/>
          <a:ext cx="1619250" cy="1619250"/>
        </a:xfrm>
        <a:prstGeom prst="rect">
          <a:avLst/>
        </a:prstGeom>
      </xdr:spPr>
    </xdr:pic>
    <xdr:clientData/>
  </xdr:twoCellAnchor>
  <xdr:twoCellAnchor editAs="oneCell">
    <xdr:from>
      <xdr:col>24</xdr:col>
      <xdr:colOff>142875</xdr:colOff>
      <xdr:row>218</xdr:row>
      <xdr:rowOff>0</xdr:rowOff>
    </xdr:from>
    <xdr:to>
      <xdr:col>27</xdr:col>
      <xdr:colOff>104775</xdr:colOff>
      <xdr:row>227</xdr:row>
      <xdr:rowOff>104775</xdr:rowOff>
    </xdr:to>
    <xdr:pic macro="[0]!Data_analysis">
      <xdr:nvPicPr>
        <xdr:cNvPr id="98" name="Graphic 97" descr="Table with solid fill">
          <a:extLst>
            <a:ext uri="{FF2B5EF4-FFF2-40B4-BE49-F238E27FC236}">
              <a16:creationId xmlns:a16="http://schemas.microsoft.com/office/drawing/2014/main" id="{392E99B3-E626-D796-BDFF-FC9FCBD62A9D}"/>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001875" y="41529000"/>
          <a:ext cx="1819275" cy="1819275"/>
        </a:xfrm>
        <a:prstGeom prst="rect">
          <a:avLst/>
        </a:prstGeom>
      </xdr:spPr>
    </xdr:pic>
    <xdr:clientData/>
  </xdr:twoCellAnchor>
  <xdr:twoCellAnchor editAs="oneCell">
    <xdr:from>
      <xdr:col>15</xdr:col>
      <xdr:colOff>130749</xdr:colOff>
      <xdr:row>52</xdr:row>
      <xdr:rowOff>113490</xdr:rowOff>
    </xdr:from>
    <xdr:to>
      <xdr:col>15</xdr:col>
      <xdr:colOff>526339</xdr:colOff>
      <xdr:row>54</xdr:row>
      <xdr:rowOff>152400</xdr:rowOff>
    </xdr:to>
    <xdr:pic>
      <xdr:nvPicPr>
        <xdr:cNvPr id="6" name="Graphic 5" descr="Dim (Medium Sun) with solid fill">
          <a:extLst>
            <a:ext uri="{FF2B5EF4-FFF2-40B4-BE49-F238E27FC236}">
              <a16:creationId xmlns:a16="http://schemas.microsoft.com/office/drawing/2014/main" id="{50E0950A-067D-1FB3-7390-158857BCA157}"/>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9348491" y="9699942"/>
          <a:ext cx="395590" cy="407619"/>
        </a:xfrm>
        <a:prstGeom prst="rect">
          <a:avLst/>
        </a:prstGeom>
      </xdr:spPr>
    </xdr:pic>
    <xdr:clientData/>
  </xdr:twoCellAnchor>
  <xdr:twoCellAnchor editAs="oneCell">
    <xdr:from>
      <xdr:col>18</xdr:col>
      <xdr:colOff>49161</xdr:colOff>
      <xdr:row>52</xdr:row>
      <xdr:rowOff>114887</xdr:rowOff>
    </xdr:from>
    <xdr:to>
      <xdr:col>18</xdr:col>
      <xdr:colOff>469888</xdr:colOff>
      <xdr:row>55</xdr:row>
      <xdr:rowOff>3688</xdr:rowOff>
    </xdr:to>
    <xdr:pic>
      <xdr:nvPicPr>
        <xdr:cNvPr id="9" name="Graphic 8" descr="Snowflake with solid fill">
          <a:extLst>
            <a:ext uri="{FF2B5EF4-FFF2-40B4-BE49-F238E27FC236}">
              <a16:creationId xmlns:a16="http://schemas.microsoft.com/office/drawing/2014/main" id="{D95471FD-D35B-71D2-69BF-FD943DBD3907}"/>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11110451" y="9701339"/>
          <a:ext cx="420727" cy="435310"/>
        </a:xfrm>
        <a:prstGeom prst="rect">
          <a:avLst/>
        </a:prstGeom>
      </xdr:spPr>
    </xdr:pic>
    <xdr:clientData/>
  </xdr:twoCellAnchor>
  <xdr:twoCellAnchor editAs="oneCell">
    <xdr:from>
      <xdr:col>9</xdr:col>
      <xdr:colOff>331839</xdr:colOff>
      <xdr:row>52</xdr:row>
      <xdr:rowOff>96187</xdr:rowOff>
    </xdr:from>
    <xdr:to>
      <xdr:col>10</xdr:col>
      <xdr:colOff>174775</xdr:colOff>
      <xdr:row>55</xdr:row>
      <xdr:rowOff>12795</xdr:rowOff>
    </xdr:to>
    <xdr:pic>
      <xdr:nvPicPr>
        <xdr:cNvPr id="11" name="Graphic 10" descr="Rain with solid fill">
          <a:extLst>
            <a:ext uri="{FF2B5EF4-FFF2-40B4-BE49-F238E27FC236}">
              <a16:creationId xmlns:a16="http://schemas.microsoft.com/office/drawing/2014/main" id="{E81177D4-DD57-E8E9-0C4E-91205E0F374F}"/>
            </a:ext>
          </a:extLst>
        </xdr:cNvPr>
        <xdr:cNvPicPr>
          <a:picLocks noChangeAspect="1"/>
        </xdr:cNvPicPr>
      </xdr:nvPicPr>
      <xdr:blipFill>
        <a:blip xmlns:r="http://schemas.openxmlformats.org/officeDocument/2006/relationships" r:embed="rId41">
          <a:extLst>
            <a:ext uri="{96DAC541-7B7A-43D3-8B79-37D633B846F1}">
              <asvg:svgBlip xmlns:asvg="http://schemas.microsoft.com/office/drawing/2016/SVG/main" r:embed="rId42"/>
            </a:ext>
          </a:extLst>
        </a:blip>
        <a:stretch>
          <a:fillRect/>
        </a:stretch>
      </xdr:blipFill>
      <xdr:spPr>
        <a:xfrm>
          <a:off x="5862484" y="9682639"/>
          <a:ext cx="457452" cy="469672"/>
        </a:xfrm>
        <a:prstGeom prst="rect">
          <a:avLst/>
        </a:prstGeom>
      </xdr:spPr>
    </xdr:pic>
    <xdr:clientData/>
  </xdr:twoCellAnchor>
  <xdr:twoCellAnchor editAs="oneCell">
    <xdr:from>
      <xdr:col>12</xdr:col>
      <xdr:colOff>341593</xdr:colOff>
      <xdr:row>52</xdr:row>
      <xdr:rowOff>147483</xdr:rowOff>
    </xdr:from>
    <xdr:to>
      <xdr:col>13</xdr:col>
      <xdr:colOff>63799</xdr:colOff>
      <xdr:row>54</xdr:row>
      <xdr:rowOff>127794</xdr:rowOff>
    </xdr:to>
    <xdr:pic>
      <xdr:nvPicPr>
        <xdr:cNvPr id="29" name="Graphic 28" descr="Maple Leaf with solid fill">
          <a:extLst>
            <a:ext uri="{FF2B5EF4-FFF2-40B4-BE49-F238E27FC236}">
              <a16:creationId xmlns:a16="http://schemas.microsoft.com/office/drawing/2014/main" id="{211758DE-0B6F-3132-19AD-68B74289D700}"/>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7715787" y="9733935"/>
          <a:ext cx="336722" cy="349020"/>
        </a:xfrm>
        <a:prstGeom prst="rect">
          <a:avLst/>
        </a:prstGeom>
      </xdr:spPr>
    </xdr:pic>
    <xdr:clientData/>
  </xdr:twoCellAnchor>
  <xdr:twoCellAnchor editAs="oneCell">
    <xdr:from>
      <xdr:col>9</xdr:col>
      <xdr:colOff>402313</xdr:colOff>
      <xdr:row>180</xdr:row>
      <xdr:rowOff>15240</xdr:rowOff>
    </xdr:from>
    <xdr:to>
      <xdr:col>10</xdr:col>
      <xdr:colOff>222624</xdr:colOff>
      <xdr:row>182</xdr:row>
      <xdr:rowOff>89312</xdr:rowOff>
    </xdr:to>
    <xdr:pic>
      <xdr:nvPicPr>
        <xdr:cNvPr id="31" name="Graphic 30" descr="Cruise ship with solid fill">
          <a:extLst>
            <a:ext uri="{FF2B5EF4-FFF2-40B4-BE49-F238E27FC236}">
              <a16:creationId xmlns:a16="http://schemas.microsoft.com/office/drawing/2014/main" id="{F7231FC3-CBC1-1D72-7454-E42D6AF170F8}"/>
            </a:ext>
          </a:extLst>
        </xdr:cNvPr>
        <xdr:cNvPicPr>
          <a:picLocks noChangeAspect="1"/>
        </xdr:cNvPicPr>
      </xdr:nvPicPr>
      <xdr:blipFill>
        <a:blip xmlns:r="http://schemas.openxmlformats.org/officeDocument/2006/relationships" r:embed="rId45">
          <a:extLst>
            <a:ext uri="{96DAC541-7B7A-43D3-8B79-37D633B846F1}">
              <asvg:svgBlip xmlns:asvg="http://schemas.microsoft.com/office/drawing/2016/SVG/main" r:embed="rId46"/>
            </a:ext>
          </a:extLst>
        </a:blip>
        <a:stretch>
          <a:fillRect/>
        </a:stretch>
      </xdr:blipFill>
      <xdr:spPr>
        <a:xfrm>
          <a:off x="5888713" y="32933640"/>
          <a:ext cx="429911" cy="439832"/>
        </a:xfrm>
        <a:prstGeom prst="rect">
          <a:avLst/>
        </a:prstGeom>
      </xdr:spPr>
    </xdr:pic>
    <xdr:clientData/>
  </xdr:twoCellAnchor>
  <xdr:twoCellAnchor editAs="oneCell">
    <xdr:from>
      <xdr:col>9</xdr:col>
      <xdr:colOff>372893</xdr:colOff>
      <xdr:row>186</xdr:row>
      <xdr:rowOff>175773</xdr:rowOff>
    </xdr:from>
    <xdr:to>
      <xdr:col>10</xdr:col>
      <xdr:colOff>286909</xdr:colOff>
      <xdr:row>189</xdr:row>
      <xdr:rowOff>147592</xdr:rowOff>
    </xdr:to>
    <xdr:pic>
      <xdr:nvPicPr>
        <xdr:cNvPr id="33" name="Graphic 32" descr="Bus with solid fill">
          <a:extLst>
            <a:ext uri="{FF2B5EF4-FFF2-40B4-BE49-F238E27FC236}">
              <a16:creationId xmlns:a16="http://schemas.microsoft.com/office/drawing/2014/main" id="{5A2F2A25-5FED-A2AF-4805-DA0D6F47A678}"/>
            </a:ext>
          </a:extLst>
        </xdr:cNvPr>
        <xdr:cNvPicPr>
          <a:picLocks noChangeAspect="1"/>
        </xdr:cNvPicPr>
      </xdr:nvPicPr>
      <xdr:blipFill>
        <a:blip xmlns:r="http://schemas.openxmlformats.org/officeDocument/2006/relationships" r:embed="rId47">
          <a:extLst>
            <a:ext uri="{96DAC541-7B7A-43D3-8B79-37D633B846F1}">
              <asvg:svgBlip xmlns:asvg="http://schemas.microsoft.com/office/drawing/2016/SVG/main" r:embed="rId48"/>
            </a:ext>
          </a:extLst>
        </a:blip>
        <a:stretch>
          <a:fillRect/>
        </a:stretch>
      </xdr:blipFill>
      <xdr:spPr>
        <a:xfrm>
          <a:off x="5917659" y="33347092"/>
          <a:ext cx="530101" cy="506840"/>
        </a:xfrm>
        <a:prstGeom prst="rect">
          <a:avLst/>
        </a:prstGeom>
      </xdr:spPr>
    </xdr:pic>
    <xdr:clientData/>
  </xdr:twoCellAnchor>
  <xdr:twoCellAnchor editAs="oneCell">
    <xdr:from>
      <xdr:col>9</xdr:col>
      <xdr:colOff>372893</xdr:colOff>
      <xdr:row>194</xdr:row>
      <xdr:rowOff>27942</xdr:rowOff>
    </xdr:from>
    <xdr:to>
      <xdr:col>10</xdr:col>
      <xdr:colOff>126861</xdr:colOff>
      <xdr:row>196</xdr:row>
      <xdr:rowOff>46107</xdr:rowOff>
    </xdr:to>
    <xdr:pic>
      <xdr:nvPicPr>
        <xdr:cNvPr id="36" name="Graphic 35" descr="Take Off with solid fill">
          <a:extLst>
            <a:ext uri="{FF2B5EF4-FFF2-40B4-BE49-F238E27FC236}">
              <a16:creationId xmlns:a16="http://schemas.microsoft.com/office/drawing/2014/main" id="{142B428F-EE37-426B-AE29-58EF7E4EBF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917659" y="34625985"/>
          <a:ext cx="370053" cy="374845"/>
        </a:xfrm>
        <a:prstGeom prst="rect">
          <a:avLst/>
        </a:prstGeom>
      </xdr:spPr>
    </xdr:pic>
    <xdr:clientData/>
  </xdr:twoCellAnchor>
  <xdr:twoCellAnchor editAs="oneCell">
    <xdr:from>
      <xdr:col>9</xdr:col>
      <xdr:colOff>340467</xdr:colOff>
      <xdr:row>201</xdr:row>
      <xdr:rowOff>81062</xdr:rowOff>
    </xdr:from>
    <xdr:to>
      <xdr:col>10</xdr:col>
      <xdr:colOff>136187</xdr:colOff>
      <xdr:row>203</xdr:row>
      <xdr:rowOff>136187</xdr:rowOff>
    </xdr:to>
    <xdr:pic>
      <xdr:nvPicPr>
        <xdr:cNvPr id="43" name="Graphic 42" descr="Toy Train with solid fill">
          <a:extLst>
            <a:ext uri="{FF2B5EF4-FFF2-40B4-BE49-F238E27FC236}">
              <a16:creationId xmlns:a16="http://schemas.microsoft.com/office/drawing/2014/main" id="{53BE9EB2-ABE0-4B52-910C-08E7A9023EEC}"/>
            </a:ext>
          </a:extLst>
        </xdr:cNvPr>
        <xdr:cNvPicPr>
          <a:picLocks noChangeAspect="1"/>
        </xdr:cNvPicPr>
      </xdr:nvPicPr>
      <xdr:blipFill>
        <a:blip xmlns:r="http://schemas.openxmlformats.org/officeDocument/2006/relationships" r:embed="rId49">
          <a:extLst>
            <a:ext uri="{96DAC541-7B7A-43D3-8B79-37D633B846F1}">
              <asvg:svgBlip xmlns:asvg="http://schemas.microsoft.com/office/drawing/2016/SVG/main" r:embed="rId50"/>
            </a:ext>
          </a:extLst>
        </a:blip>
        <a:stretch>
          <a:fillRect/>
        </a:stretch>
      </xdr:blipFill>
      <xdr:spPr>
        <a:xfrm>
          <a:off x="5885233" y="35927488"/>
          <a:ext cx="411805" cy="41180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21.698326504629" createdVersion="8" refreshedVersion="8" minRefreshableVersion="3" recordCount="2000" xr:uid="{E735D76A-29C3-4924-A13F-EC1261675FBD}">
  <cacheSource type="worksheet">
    <worksheetSource ref="A2:Y2002" sheet="SOURCE DATA"/>
  </cacheSource>
  <cacheFields count="26">
    <cacheField name="Tour_ID" numFmtId="0">
      <sharedItems/>
    </cacheField>
    <cacheField name="Date" numFmtId="164">
      <sharedItems containsSemiMixedTypes="0" containsNonDate="0" containsDate="1" containsString="0" minDate="2023-01-01T00:00:00" maxDate="2028-06-23T00:00:00"/>
    </cacheField>
    <cacheField name="Package_Name" numFmtId="0">
      <sharedItems count="5">
        <s v="City Break"/>
        <s v="Safari Adventure"/>
        <s v="Cultural Journey"/>
        <s v="Mountain Hike"/>
        <s v="Beach Escape"/>
      </sharedItems>
    </cacheField>
    <cacheField name="Tour_Type" numFmtId="0">
      <sharedItems count="4">
        <s v="City Break"/>
        <s v="Adventure"/>
        <s v="Cultural"/>
        <s v="Beach"/>
      </sharedItems>
    </cacheField>
    <cacheField name="Destination" numFmtId="0">
      <sharedItems count="5">
        <s v="Rajasthan"/>
        <s v="Andaman"/>
        <s v="Himachal Pradesh"/>
        <s v="Kerala"/>
        <s v="Goa"/>
      </sharedItems>
    </cacheField>
    <cacheField name="Region" numFmtId="0">
      <sharedItems count="2">
        <s v="North"/>
        <s v="South"/>
      </sharedItems>
    </cacheField>
    <cacheField name="Country" numFmtId="0">
      <sharedItems/>
    </cacheField>
    <cacheField name="City" numFmtId="0">
      <sharedItems count="7">
        <s v="Udaipur"/>
        <s v="Port Blair"/>
        <s v="Shimla"/>
        <s v="Manali"/>
        <s v="Jaipur"/>
        <s v="Kochi"/>
        <s v="Panaji"/>
      </sharedItems>
    </cacheField>
    <cacheField name="Duration_Days" numFmtId="0">
      <sharedItems containsSemiMixedTypes="0" containsString="0" containsNumber="1" containsInteger="1" minValue="3" maxValue="14" count="12">
        <n v="12"/>
        <n v="8"/>
        <n v="13"/>
        <n v="3"/>
        <n v="11"/>
        <n v="4"/>
        <n v="14"/>
        <n v="9"/>
        <n v="7"/>
        <n v="6"/>
        <n v="5"/>
        <n v="10"/>
      </sharedItems>
    </cacheField>
    <cacheField name="Customer_ID" numFmtId="0">
      <sharedItems/>
    </cacheField>
    <cacheField name="Customer_Age" numFmtId="0">
      <sharedItems containsSemiMixedTypes="0" containsString="0" containsNumber="1" containsInteger="1" minValue="18" maxValue="69"/>
    </cacheField>
    <cacheField name="Gender" numFmtId="0">
      <sharedItems/>
    </cacheField>
    <cacheField name="Group_Size" numFmtId="0">
      <sharedItems containsSemiMixedTypes="0" containsString="0" containsNumber="1" containsInteger="1" minValue="1" maxValue="7" count="7">
        <n v="2"/>
        <n v="3"/>
        <n v="6"/>
        <n v="4"/>
        <n v="1"/>
        <n v="7"/>
        <n v="5"/>
      </sharedItems>
    </cacheField>
    <cacheField name="Travel_Mode" numFmtId="0">
      <sharedItems count="4">
        <s v="Cruise"/>
        <s v="Bus"/>
        <s v="Flight"/>
        <s v="Train"/>
      </sharedItems>
    </cacheField>
    <cacheField name="Accommodation_Type" numFmtId="0">
      <sharedItems count="4">
        <s v="Hotel"/>
        <s v="Homestay"/>
        <s v="Resort"/>
        <s v="Villa"/>
      </sharedItems>
    </cacheField>
    <cacheField name="Meal_Plan" numFmtId="0">
      <sharedItems/>
    </cacheField>
    <cacheField name="Tour_Cost" numFmtId="165">
      <sharedItems containsSemiMixedTypes="0" containsString="0" containsNumber="1" minValue="5007.8999999999996" maxValue="49881.48"/>
    </cacheField>
    <cacheField name="Discount_Applied" numFmtId="165">
      <sharedItems containsSemiMixedTypes="0" containsString="0" containsNumber="1" minValue="0.05" maxValue="4998.47"/>
    </cacheField>
    <cacheField name="Booking_Source" numFmtId="0">
      <sharedItems count="4">
        <s v="Call Center"/>
        <s v="Travel Agent"/>
        <s v="App"/>
        <s v="Online"/>
      </sharedItems>
    </cacheField>
    <cacheField name="Booking_Status" numFmtId="0">
      <sharedItems/>
    </cacheField>
    <cacheField name="Season" numFmtId="0">
      <sharedItems count="4">
        <s v="Spring"/>
        <s v="Monsoon"/>
        <s v="Summer"/>
        <s v="Winter"/>
      </sharedItems>
    </cacheField>
    <cacheField name="Rating" numFmtId="0">
      <sharedItems containsSemiMixedTypes="0" containsString="0" containsNumber="1" minValue="1" maxValue="5" count="41">
        <n v="2"/>
        <n v="1.8"/>
        <n v="3.7"/>
        <n v="3.5"/>
        <n v="2.8"/>
        <n v="1.4"/>
        <n v="4.0999999999999996"/>
        <n v="4.4000000000000004"/>
        <n v="3.3"/>
        <n v="4.7"/>
        <n v="1.7"/>
        <n v="3.2"/>
        <n v="1.2"/>
        <n v="2.4"/>
        <n v="1.6"/>
        <n v="3.4"/>
        <n v="4.5999999999999996"/>
        <n v="1.1000000000000001"/>
        <n v="2.9"/>
        <n v="4.2"/>
        <n v="2.2000000000000002"/>
        <n v="3.1"/>
        <n v="5"/>
        <n v="1.3"/>
        <n v="2.1"/>
        <n v="4.3"/>
        <n v="3"/>
        <n v="2.2999999999999998"/>
        <n v="3.6"/>
        <n v="1.9"/>
        <n v="2.7"/>
        <n v="1"/>
        <n v="4.5"/>
        <n v="4.8"/>
        <n v="1.5"/>
        <n v="3.8"/>
        <n v="4.9000000000000004"/>
        <n v="3.9"/>
        <n v="2.6"/>
        <n v="2.5"/>
        <n v="4"/>
      </sharedItems>
    </cacheField>
    <cacheField name="Feedback" numFmtId="0">
      <sharedItems count="5">
        <s v="Average"/>
        <s v="Poor"/>
        <s v="No Feedback"/>
        <s v="Good"/>
        <s v="Excellent"/>
      </sharedItems>
    </cacheField>
    <cacheField name="Tour_Guide_Name" numFmtId="0">
      <sharedItems count="5">
        <s v="Kiran"/>
        <s v="Joseph"/>
        <s v="Raj"/>
        <s v="Anita"/>
        <s v="Meena"/>
      </sharedItems>
    </cacheField>
    <cacheField name="Rebooked" numFmtId="0">
      <sharedItems count="2">
        <s v="Yes"/>
        <s v="No"/>
      </sharedItems>
    </cacheField>
    <cacheField name="Revenue" numFmtId="0" formula="Tour_Cost-Discount_Applied" databaseField="0"/>
  </cacheFields>
  <extLst>
    <ext xmlns:x14="http://schemas.microsoft.com/office/spreadsheetml/2009/9/main" uri="{725AE2AE-9491-48be-B2B4-4EB974FC3084}">
      <x14:pivotCacheDefinition pivotCacheId="12340585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T000001"/>
    <d v="2023-01-01T00:00:00"/>
    <x v="0"/>
    <x v="0"/>
    <x v="0"/>
    <x v="0"/>
    <s v="India"/>
    <x v="0"/>
    <x v="0"/>
    <s v="C00001"/>
    <n v="27"/>
    <s v="Female"/>
    <x v="0"/>
    <x v="0"/>
    <x v="0"/>
    <s v="No Meals"/>
    <n v="31119.32"/>
    <n v="4119.3900000000003"/>
    <x v="0"/>
    <s v="Cancelled"/>
    <x v="0"/>
    <x v="0"/>
    <x v="0"/>
    <x v="0"/>
    <x v="0"/>
  </r>
  <r>
    <s v="T000002"/>
    <d v="2023-01-02T00:00:00"/>
    <x v="1"/>
    <x v="1"/>
    <x v="1"/>
    <x v="1"/>
    <s v="India"/>
    <x v="1"/>
    <x v="1"/>
    <s v="C00002"/>
    <n v="25"/>
    <s v="Female"/>
    <x v="1"/>
    <x v="1"/>
    <x v="1"/>
    <s v="Full Board"/>
    <n v="36205.769999999997"/>
    <n v="2397.6799999999998"/>
    <x v="1"/>
    <s v="Pending"/>
    <x v="1"/>
    <x v="1"/>
    <x v="1"/>
    <x v="1"/>
    <x v="0"/>
  </r>
  <r>
    <s v="T000003"/>
    <d v="2023-01-03T00:00:00"/>
    <x v="2"/>
    <x v="2"/>
    <x v="2"/>
    <x v="0"/>
    <s v="India"/>
    <x v="2"/>
    <x v="2"/>
    <s v="C00003"/>
    <n v="37"/>
    <s v="Male"/>
    <x v="2"/>
    <x v="2"/>
    <x v="0"/>
    <s v="No Meals"/>
    <n v="42319.74"/>
    <n v="2407.16"/>
    <x v="1"/>
    <s v="Cancelled"/>
    <x v="1"/>
    <x v="2"/>
    <x v="2"/>
    <x v="2"/>
    <x v="0"/>
  </r>
  <r>
    <s v="T000004"/>
    <d v="2023-01-04T00:00:00"/>
    <x v="1"/>
    <x v="1"/>
    <x v="1"/>
    <x v="1"/>
    <s v="India"/>
    <x v="1"/>
    <x v="3"/>
    <s v="C00004"/>
    <n v="25"/>
    <s v="Male"/>
    <x v="3"/>
    <x v="2"/>
    <x v="2"/>
    <s v="Half Board"/>
    <n v="6552.22"/>
    <n v="1593.27"/>
    <x v="0"/>
    <s v="Confirmed"/>
    <x v="0"/>
    <x v="3"/>
    <x v="2"/>
    <x v="2"/>
    <x v="1"/>
  </r>
  <r>
    <s v="T000005"/>
    <d v="2023-01-05T00:00:00"/>
    <x v="1"/>
    <x v="1"/>
    <x v="2"/>
    <x v="0"/>
    <s v="India"/>
    <x v="3"/>
    <x v="4"/>
    <s v="C00005"/>
    <n v="26"/>
    <s v="Female"/>
    <x v="4"/>
    <x v="1"/>
    <x v="2"/>
    <s v="Half Board"/>
    <n v="19659.189999999999"/>
    <n v="3904.13"/>
    <x v="0"/>
    <s v="Confirmed"/>
    <x v="2"/>
    <x v="4"/>
    <x v="0"/>
    <x v="2"/>
    <x v="1"/>
  </r>
  <r>
    <s v="T000006"/>
    <d v="2023-01-06T00:00:00"/>
    <x v="3"/>
    <x v="1"/>
    <x v="0"/>
    <x v="0"/>
    <s v="India"/>
    <x v="4"/>
    <x v="5"/>
    <s v="C00006"/>
    <n v="24"/>
    <s v="Other"/>
    <x v="0"/>
    <x v="0"/>
    <x v="3"/>
    <s v="Breakfast Only"/>
    <n v="48169.81"/>
    <n v="3430.98"/>
    <x v="1"/>
    <s v="Cancelled"/>
    <x v="3"/>
    <x v="5"/>
    <x v="1"/>
    <x v="3"/>
    <x v="0"/>
  </r>
  <r>
    <s v="T000007"/>
    <d v="2023-01-07T00:00:00"/>
    <x v="2"/>
    <x v="2"/>
    <x v="0"/>
    <x v="0"/>
    <s v="India"/>
    <x v="4"/>
    <x v="3"/>
    <s v="C00007"/>
    <n v="31"/>
    <s v="Female"/>
    <x v="4"/>
    <x v="2"/>
    <x v="3"/>
    <s v="Half Board"/>
    <n v="47720.13"/>
    <n v="2255.6999999999998"/>
    <x v="0"/>
    <s v="Cancelled"/>
    <x v="3"/>
    <x v="5"/>
    <x v="1"/>
    <x v="0"/>
    <x v="0"/>
  </r>
  <r>
    <s v="T000008"/>
    <d v="2023-01-08T00:00:00"/>
    <x v="2"/>
    <x v="2"/>
    <x v="3"/>
    <x v="1"/>
    <s v="India"/>
    <x v="5"/>
    <x v="6"/>
    <s v="C00008"/>
    <n v="45"/>
    <s v="Male"/>
    <x v="3"/>
    <x v="3"/>
    <x v="3"/>
    <s v="Breakfast Only"/>
    <n v="5504.94"/>
    <n v="2096.6799999999998"/>
    <x v="0"/>
    <s v="Pending"/>
    <x v="3"/>
    <x v="6"/>
    <x v="3"/>
    <x v="2"/>
    <x v="1"/>
  </r>
  <r>
    <s v="T000009"/>
    <d v="2023-01-09T00:00:00"/>
    <x v="2"/>
    <x v="2"/>
    <x v="2"/>
    <x v="0"/>
    <s v="India"/>
    <x v="2"/>
    <x v="7"/>
    <s v="C00009"/>
    <n v="19"/>
    <s v="Female"/>
    <x v="5"/>
    <x v="0"/>
    <x v="1"/>
    <s v="Full Board"/>
    <n v="14064.81"/>
    <n v="362.95"/>
    <x v="2"/>
    <s v="Cancelled"/>
    <x v="3"/>
    <x v="4"/>
    <x v="0"/>
    <x v="0"/>
    <x v="0"/>
  </r>
  <r>
    <s v="T000010"/>
    <d v="2023-01-10T00:00:00"/>
    <x v="1"/>
    <x v="1"/>
    <x v="3"/>
    <x v="1"/>
    <s v="India"/>
    <x v="5"/>
    <x v="1"/>
    <s v="C00010"/>
    <n v="60"/>
    <s v="Male"/>
    <x v="2"/>
    <x v="2"/>
    <x v="0"/>
    <s v="No Meals"/>
    <n v="49719.65"/>
    <n v="32.51"/>
    <x v="2"/>
    <s v="Confirmed"/>
    <x v="0"/>
    <x v="7"/>
    <x v="3"/>
    <x v="1"/>
    <x v="0"/>
  </r>
  <r>
    <s v="T000011"/>
    <d v="2023-01-11T00:00:00"/>
    <x v="0"/>
    <x v="0"/>
    <x v="2"/>
    <x v="0"/>
    <s v="India"/>
    <x v="2"/>
    <x v="1"/>
    <s v="C00011"/>
    <n v="25"/>
    <s v="Female"/>
    <x v="6"/>
    <x v="1"/>
    <x v="2"/>
    <s v="Half Board"/>
    <n v="27177.13"/>
    <n v="2644.47"/>
    <x v="0"/>
    <s v="Cancelled"/>
    <x v="2"/>
    <x v="8"/>
    <x v="0"/>
    <x v="0"/>
    <x v="1"/>
  </r>
  <r>
    <s v="T000012"/>
    <d v="2023-01-12T00:00:00"/>
    <x v="2"/>
    <x v="2"/>
    <x v="3"/>
    <x v="1"/>
    <s v="India"/>
    <x v="5"/>
    <x v="8"/>
    <s v="C00012"/>
    <n v="30"/>
    <s v="Other"/>
    <x v="5"/>
    <x v="0"/>
    <x v="2"/>
    <s v="No Meals"/>
    <n v="30778.97"/>
    <n v="2087.46"/>
    <x v="0"/>
    <s v="Pending"/>
    <x v="2"/>
    <x v="3"/>
    <x v="3"/>
    <x v="0"/>
    <x v="1"/>
  </r>
  <r>
    <s v="T000013"/>
    <d v="2023-01-13T00:00:00"/>
    <x v="1"/>
    <x v="1"/>
    <x v="0"/>
    <x v="0"/>
    <s v="India"/>
    <x v="0"/>
    <x v="2"/>
    <s v="C00013"/>
    <n v="38"/>
    <s v="Female"/>
    <x v="5"/>
    <x v="2"/>
    <x v="1"/>
    <s v="No Meals"/>
    <n v="12488.91"/>
    <n v="3980.18"/>
    <x v="2"/>
    <s v="Pending"/>
    <x v="1"/>
    <x v="9"/>
    <x v="4"/>
    <x v="0"/>
    <x v="1"/>
  </r>
  <r>
    <s v="T000014"/>
    <d v="2023-01-14T00:00:00"/>
    <x v="3"/>
    <x v="1"/>
    <x v="1"/>
    <x v="1"/>
    <s v="India"/>
    <x v="1"/>
    <x v="9"/>
    <s v="C00014"/>
    <n v="64"/>
    <s v="Other"/>
    <x v="6"/>
    <x v="1"/>
    <x v="2"/>
    <s v="Full Board"/>
    <n v="45245.1"/>
    <n v="2713.27"/>
    <x v="2"/>
    <s v="Cancelled"/>
    <x v="1"/>
    <x v="10"/>
    <x v="1"/>
    <x v="4"/>
    <x v="0"/>
  </r>
  <r>
    <s v="T000015"/>
    <d v="2023-01-15T00:00:00"/>
    <x v="0"/>
    <x v="0"/>
    <x v="3"/>
    <x v="1"/>
    <s v="India"/>
    <x v="5"/>
    <x v="2"/>
    <s v="C00015"/>
    <n v="45"/>
    <s v="Other"/>
    <x v="0"/>
    <x v="0"/>
    <x v="2"/>
    <s v="Full Board"/>
    <n v="15406.89"/>
    <n v="4683.53"/>
    <x v="0"/>
    <s v="Pending"/>
    <x v="2"/>
    <x v="11"/>
    <x v="0"/>
    <x v="3"/>
    <x v="0"/>
  </r>
  <r>
    <s v="T000016"/>
    <d v="2023-01-16T00:00:00"/>
    <x v="3"/>
    <x v="1"/>
    <x v="2"/>
    <x v="0"/>
    <s v="India"/>
    <x v="3"/>
    <x v="9"/>
    <s v="C00016"/>
    <n v="52"/>
    <s v="Female"/>
    <x v="1"/>
    <x v="3"/>
    <x v="0"/>
    <s v="Half Board"/>
    <n v="13534.14"/>
    <n v="980.7"/>
    <x v="2"/>
    <s v="Pending"/>
    <x v="1"/>
    <x v="12"/>
    <x v="1"/>
    <x v="0"/>
    <x v="1"/>
  </r>
  <r>
    <s v="T000017"/>
    <d v="2023-01-17T00:00:00"/>
    <x v="0"/>
    <x v="0"/>
    <x v="2"/>
    <x v="0"/>
    <s v="India"/>
    <x v="2"/>
    <x v="10"/>
    <s v="C00017"/>
    <n v="40"/>
    <s v="Other"/>
    <x v="4"/>
    <x v="0"/>
    <x v="3"/>
    <s v="Full Board"/>
    <n v="15265.51"/>
    <n v="4950.75"/>
    <x v="1"/>
    <s v="Confirmed"/>
    <x v="2"/>
    <x v="13"/>
    <x v="0"/>
    <x v="2"/>
    <x v="1"/>
  </r>
  <r>
    <s v="T000018"/>
    <d v="2023-01-18T00:00:00"/>
    <x v="1"/>
    <x v="1"/>
    <x v="0"/>
    <x v="0"/>
    <s v="India"/>
    <x v="0"/>
    <x v="0"/>
    <s v="C00018"/>
    <n v="63"/>
    <s v="Other"/>
    <x v="0"/>
    <x v="3"/>
    <x v="3"/>
    <s v="No Meals"/>
    <n v="46382.98"/>
    <n v="1489.6"/>
    <x v="3"/>
    <s v="Cancelled"/>
    <x v="0"/>
    <x v="14"/>
    <x v="1"/>
    <x v="4"/>
    <x v="0"/>
  </r>
  <r>
    <s v="T000019"/>
    <d v="2023-01-19T00:00:00"/>
    <x v="4"/>
    <x v="3"/>
    <x v="2"/>
    <x v="0"/>
    <s v="India"/>
    <x v="2"/>
    <x v="11"/>
    <s v="C00019"/>
    <n v="32"/>
    <s v="Male"/>
    <x v="1"/>
    <x v="0"/>
    <x v="1"/>
    <s v="Breakfast Only"/>
    <n v="36628.1"/>
    <n v="3212.12"/>
    <x v="1"/>
    <s v="Confirmed"/>
    <x v="0"/>
    <x v="1"/>
    <x v="1"/>
    <x v="0"/>
    <x v="0"/>
  </r>
  <r>
    <s v="T000020"/>
    <d v="2023-01-20T00:00:00"/>
    <x v="0"/>
    <x v="0"/>
    <x v="4"/>
    <x v="1"/>
    <s v="India"/>
    <x v="6"/>
    <x v="7"/>
    <s v="C00020"/>
    <n v="19"/>
    <s v="Male"/>
    <x v="4"/>
    <x v="1"/>
    <x v="3"/>
    <s v="Breakfast Only"/>
    <n v="39586.839999999997"/>
    <n v="2509.27"/>
    <x v="2"/>
    <s v="Confirmed"/>
    <x v="3"/>
    <x v="9"/>
    <x v="4"/>
    <x v="4"/>
    <x v="0"/>
  </r>
  <r>
    <s v="T000021"/>
    <d v="2023-01-21T00:00:00"/>
    <x v="3"/>
    <x v="1"/>
    <x v="1"/>
    <x v="1"/>
    <s v="India"/>
    <x v="1"/>
    <x v="4"/>
    <s v="C00021"/>
    <n v="68"/>
    <s v="Other"/>
    <x v="3"/>
    <x v="3"/>
    <x v="3"/>
    <s v="Breakfast Only"/>
    <n v="21966.639999999999"/>
    <n v="1797.88"/>
    <x v="1"/>
    <s v="Pending"/>
    <x v="2"/>
    <x v="15"/>
    <x v="0"/>
    <x v="3"/>
    <x v="1"/>
  </r>
  <r>
    <s v="T000022"/>
    <d v="2023-01-22T00:00:00"/>
    <x v="1"/>
    <x v="1"/>
    <x v="3"/>
    <x v="1"/>
    <s v="India"/>
    <x v="5"/>
    <x v="3"/>
    <s v="C00022"/>
    <n v="29"/>
    <s v="Female"/>
    <x v="5"/>
    <x v="3"/>
    <x v="1"/>
    <s v="Half Board"/>
    <n v="45912.97"/>
    <n v="696.55"/>
    <x v="3"/>
    <s v="Confirmed"/>
    <x v="0"/>
    <x v="16"/>
    <x v="4"/>
    <x v="4"/>
    <x v="1"/>
  </r>
  <r>
    <s v="T000023"/>
    <d v="2023-01-23T00:00:00"/>
    <x v="0"/>
    <x v="0"/>
    <x v="1"/>
    <x v="1"/>
    <s v="India"/>
    <x v="1"/>
    <x v="7"/>
    <s v="C00023"/>
    <n v="69"/>
    <s v="Other"/>
    <x v="5"/>
    <x v="0"/>
    <x v="1"/>
    <s v="Full Board"/>
    <n v="40523.360000000001"/>
    <n v="674.17"/>
    <x v="2"/>
    <s v="Cancelled"/>
    <x v="2"/>
    <x v="4"/>
    <x v="0"/>
    <x v="2"/>
    <x v="0"/>
  </r>
  <r>
    <s v="T000024"/>
    <d v="2023-01-24T00:00:00"/>
    <x v="4"/>
    <x v="3"/>
    <x v="0"/>
    <x v="0"/>
    <s v="India"/>
    <x v="0"/>
    <x v="0"/>
    <s v="C00024"/>
    <n v="53"/>
    <s v="Female"/>
    <x v="6"/>
    <x v="2"/>
    <x v="3"/>
    <s v="Full Board"/>
    <n v="38776.879999999997"/>
    <n v="3557.53"/>
    <x v="1"/>
    <s v="Cancelled"/>
    <x v="1"/>
    <x v="15"/>
    <x v="0"/>
    <x v="0"/>
    <x v="1"/>
  </r>
  <r>
    <s v="T000025"/>
    <d v="2023-01-25T00:00:00"/>
    <x v="4"/>
    <x v="3"/>
    <x v="3"/>
    <x v="1"/>
    <s v="India"/>
    <x v="5"/>
    <x v="9"/>
    <s v="C00025"/>
    <n v="20"/>
    <s v="Male"/>
    <x v="1"/>
    <x v="3"/>
    <x v="0"/>
    <s v="Full Board"/>
    <n v="48692.31"/>
    <n v="1888.21"/>
    <x v="1"/>
    <s v="Cancelled"/>
    <x v="2"/>
    <x v="17"/>
    <x v="1"/>
    <x v="2"/>
    <x v="1"/>
  </r>
  <r>
    <s v="T000026"/>
    <d v="2023-01-26T00:00:00"/>
    <x v="2"/>
    <x v="2"/>
    <x v="3"/>
    <x v="1"/>
    <s v="India"/>
    <x v="5"/>
    <x v="7"/>
    <s v="C00026"/>
    <n v="22"/>
    <s v="Female"/>
    <x v="4"/>
    <x v="0"/>
    <x v="1"/>
    <s v="Full Board"/>
    <n v="21478.86"/>
    <n v="4806.49"/>
    <x v="3"/>
    <s v="Confirmed"/>
    <x v="3"/>
    <x v="18"/>
    <x v="0"/>
    <x v="1"/>
    <x v="1"/>
  </r>
  <r>
    <s v="T000027"/>
    <d v="2023-01-27T00:00:00"/>
    <x v="2"/>
    <x v="2"/>
    <x v="4"/>
    <x v="1"/>
    <s v="India"/>
    <x v="6"/>
    <x v="6"/>
    <s v="C00027"/>
    <n v="20"/>
    <s v="Other"/>
    <x v="0"/>
    <x v="1"/>
    <x v="2"/>
    <s v="No Meals"/>
    <n v="32493.81"/>
    <n v="1628.24"/>
    <x v="2"/>
    <s v="Cancelled"/>
    <x v="3"/>
    <x v="8"/>
    <x v="0"/>
    <x v="4"/>
    <x v="0"/>
  </r>
  <r>
    <s v="T000028"/>
    <d v="2023-01-28T00:00:00"/>
    <x v="3"/>
    <x v="1"/>
    <x v="0"/>
    <x v="0"/>
    <s v="India"/>
    <x v="4"/>
    <x v="3"/>
    <s v="C00028"/>
    <n v="64"/>
    <s v="Other"/>
    <x v="4"/>
    <x v="0"/>
    <x v="1"/>
    <s v="Breakfast Only"/>
    <n v="45946.84"/>
    <n v="4917.62"/>
    <x v="0"/>
    <s v="Cancelled"/>
    <x v="0"/>
    <x v="17"/>
    <x v="1"/>
    <x v="4"/>
    <x v="0"/>
  </r>
  <r>
    <s v="T000029"/>
    <d v="2023-01-29T00:00:00"/>
    <x v="0"/>
    <x v="0"/>
    <x v="2"/>
    <x v="0"/>
    <s v="India"/>
    <x v="2"/>
    <x v="8"/>
    <s v="C00029"/>
    <n v="36"/>
    <s v="Other"/>
    <x v="0"/>
    <x v="0"/>
    <x v="2"/>
    <s v="No Meals"/>
    <n v="40590"/>
    <n v="1027.1199999999999"/>
    <x v="2"/>
    <s v="Confirmed"/>
    <x v="1"/>
    <x v="19"/>
    <x v="3"/>
    <x v="4"/>
    <x v="1"/>
  </r>
  <r>
    <s v="T000030"/>
    <d v="2023-01-30T00:00:00"/>
    <x v="0"/>
    <x v="0"/>
    <x v="4"/>
    <x v="1"/>
    <s v="India"/>
    <x v="6"/>
    <x v="10"/>
    <s v="C00030"/>
    <n v="19"/>
    <s v="Other"/>
    <x v="5"/>
    <x v="3"/>
    <x v="1"/>
    <s v="Half Board"/>
    <n v="30352.05"/>
    <n v="514.07000000000005"/>
    <x v="3"/>
    <s v="Confirmed"/>
    <x v="1"/>
    <x v="20"/>
    <x v="0"/>
    <x v="3"/>
    <x v="0"/>
  </r>
  <r>
    <s v="T000031"/>
    <d v="2023-01-31T00:00:00"/>
    <x v="2"/>
    <x v="2"/>
    <x v="4"/>
    <x v="1"/>
    <s v="India"/>
    <x v="6"/>
    <x v="8"/>
    <s v="C00031"/>
    <n v="61"/>
    <s v="Other"/>
    <x v="6"/>
    <x v="2"/>
    <x v="1"/>
    <s v="Breakfast Only"/>
    <n v="8429.6200000000008"/>
    <n v="1562.85"/>
    <x v="3"/>
    <s v="Confirmed"/>
    <x v="2"/>
    <x v="4"/>
    <x v="0"/>
    <x v="2"/>
    <x v="1"/>
  </r>
  <r>
    <s v="T000032"/>
    <d v="2023-02-01T00:00:00"/>
    <x v="0"/>
    <x v="0"/>
    <x v="1"/>
    <x v="1"/>
    <s v="India"/>
    <x v="1"/>
    <x v="9"/>
    <s v="C00032"/>
    <n v="54"/>
    <s v="Female"/>
    <x v="6"/>
    <x v="1"/>
    <x v="3"/>
    <s v="Breakfast Only"/>
    <n v="34372.550000000003"/>
    <n v="4427.92"/>
    <x v="3"/>
    <s v="Confirmed"/>
    <x v="1"/>
    <x v="21"/>
    <x v="0"/>
    <x v="1"/>
    <x v="1"/>
  </r>
  <r>
    <s v="T000033"/>
    <d v="2023-02-02T00:00:00"/>
    <x v="0"/>
    <x v="0"/>
    <x v="1"/>
    <x v="1"/>
    <s v="India"/>
    <x v="1"/>
    <x v="5"/>
    <s v="C00033"/>
    <n v="34"/>
    <s v="Other"/>
    <x v="4"/>
    <x v="3"/>
    <x v="3"/>
    <s v="No Meals"/>
    <n v="28695"/>
    <n v="2609.2600000000002"/>
    <x v="3"/>
    <s v="Pending"/>
    <x v="3"/>
    <x v="22"/>
    <x v="4"/>
    <x v="3"/>
    <x v="0"/>
  </r>
  <r>
    <s v="T000034"/>
    <d v="2023-02-03T00:00:00"/>
    <x v="4"/>
    <x v="3"/>
    <x v="1"/>
    <x v="1"/>
    <s v="India"/>
    <x v="1"/>
    <x v="2"/>
    <s v="C00034"/>
    <n v="31"/>
    <s v="Male"/>
    <x v="4"/>
    <x v="3"/>
    <x v="3"/>
    <s v="Half Board"/>
    <n v="13288.12"/>
    <n v="678.25"/>
    <x v="0"/>
    <s v="Confirmed"/>
    <x v="0"/>
    <x v="5"/>
    <x v="1"/>
    <x v="3"/>
    <x v="1"/>
  </r>
  <r>
    <s v="T000035"/>
    <d v="2023-02-04T00:00:00"/>
    <x v="2"/>
    <x v="2"/>
    <x v="4"/>
    <x v="1"/>
    <s v="India"/>
    <x v="6"/>
    <x v="9"/>
    <s v="C00035"/>
    <n v="45"/>
    <s v="Other"/>
    <x v="0"/>
    <x v="3"/>
    <x v="0"/>
    <s v="Half Board"/>
    <n v="44701.39"/>
    <n v="1012.5"/>
    <x v="2"/>
    <s v="Confirmed"/>
    <x v="0"/>
    <x v="11"/>
    <x v="0"/>
    <x v="0"/>
    <x v="1"/>
  </r>
  <r>
    <s v="T000036"/>
    <d v="2023-02-05T00:00:00"/>
    <x v="1"/>
    <x v="1"/>
    <x v="2"/>
    <x v="0"/>
    <s v="India"/>
    <x v="3"/>
    <x v="10"/>
    <s v="C00036"/>
    <n v="44"/>
    <s v="Female"/>
    <x v="0"/>
    <x v="1"/>
    <x v="3"/>
    <s v="Breakfast Only"/>
    <n v="20446.189999999999"/>
    <n v="1556.3"/>
    <x v="2"/>
    <s v="Cancelled"/>
    <x v="0"/>
    <x v="21"/>
    <x v="0"/>
    <x v="1"/>
    <x v="1"/>
  </r>
  <r>
    <s v="T000037"/>
    <d v="2023-02-06T00:00:00"/>
    <x v="2"/>
    <x v="2"/>
    <x v="3"/>
    <x v="1"/>
    <s v="India"/>
    <x v="5"/>
    <x v="3"/>
    <s v="C00037"/>
    <n v="27"/>
    <s v="Other"/>
    <x v="1"/>
    <x v="2"/>
    <x v="3"/>
    <s v="Full Board"/>
    <n v="22436.6"/>
    <n v="2950.83"/>
    <x v="1"/>
    <s v="Cancelled"/>
    <x v="1"/>
    <x v="23"/>
    <x v="1"/>
    <x v="4"/>
    <x v="1"/>
  </r>
  <r>
    <s v="T000038"/>
    <d v="2023-02-07T00:00:00"/>
    <x v="1"/>
    <x v="1"/>
    <x v="1"/>
    <x v="1"/>
    <s v="India"/>
    <x v="1"/>
    <x v="6"/>
    <s v="C00038"/>
    <n v="20"/>
    <s v="Other"/>
    <x v="5"/>
    <x v="1"/>
    <x v="1"/>
    <s v="Half Board"/>
    <n v="35258.07"/>
    <n v="1661.89"/>
    <x v="0"/>
    <s v="Confirmed"/>
    <x v="1"/>
    <x v="3"/>
    <x v="3"/>
    <x v="4"/>
    <x v="1"/>
  </r>
  <r>
    <s v="T000039"/>
    <d v="2023-02-08T00:00:00"/>
    <x v="4"/>
    <x v="3"/>
    <x v="2"/>
    <x v="0"/>
    <s v="India"/>
    <x v="3"/>
    <x v="0"/>
    <s v="C00039"/>
    <n v="53"/>
    <s v="Female"/>
    <x v="1"/>
    <x v="1"/>
    <x v="1"/>
    <s v="No Meals"/>
    <n v="26995.94"/>
    <n v="3735.27"/>
    <x v="0"/>
    <s v="Confirmed"/>
    <x v="3"/>
    <x v="24"/>
    <x v="0"/>
    <x v="0"/>
    <x v="1"/>
  </r>
  <r>
    <s v="T000040"/>
    <d v="2023-02-09T00:00:00"/>
    <x v="3"/>
    <x v="1"/>
    <x v="0"/>
    <x v="0"/>
    <s v="India"/>
    <x v="4"/>
    <x v="11"/>
    <s v="C00040"/>
    <n v="55"/>
    <s v="Other"/>
    <x v="1"/>
    <x v="2"/>
    <x v="0"/>
    <s v="Half Board"/>
    <n v="9017.65"/>
    <n v="3081.47"/>
    <x v="1"/>
    <s v="Confirmed"/>
    <x v="2"/>
    <x v="5"/>
    <x v="1"/>
    <x v="4"/>
    <x v="0"/>
  </r>
  <r>
    <s v="T000041"/>
    <d v="2023-02-10T00:00:00"/>
    <x v="0"/>
    <x v="0"/>
    <x v="1"/>
    <x v="1"/>
    <s v="India"/>
    <x v="1"/>
    <x v="8"/>
    <s v="C00041"/>
    <n v="42"/>
    <s v="Female"/>
    <x v="4"/>
    <x v="1"/>
    <x v="2"/>
    <s v="Breakfast Only"/>
    <n v="22434.87"/>
    <n v="4369.12"/>
    <x v="1"/>
    <s v="Cancelled"/>
    <x v="2"/>
    <x v="10"/>
    <x v="1"/>
    <x v="2"/>
    <x v="1"/>
  </r>
  <r>
    <s v="T000042"/>
    <d v="2023-02-11T00:00:00"/>
    <x v="4"/>
    <x v="3"/>
    <x v="3"/>
    <x v="1"/>
    <s v="India"/>
    <x v="5"/>
    <x v="9"/>
    <s v="C00042"/>
    <n v="39"/>
    <s v="Other"/>
    <x v="2"/>
    <x v="0"/>
    <x v="1"/>
    <s v="Full Board"/>
    <n v="9250.98"/>
    <n v="2504.81"/>
    <x v="2"/>
    <s v="Cancelled"/>
    <x v="0"/>
    <x v="25"/>
    <x v="2"/>
    <x v="4"/>
    <x v="0"/>
  </r>
  <r>
    <s v="T000043"/>
    <d v="2023-02-12T00:00:00"/>
    <x v="0"/>
    <x v="0"/>
    <x v="0"/>
    <x v="0"/>
    <s v="India"/>
    <x v="0"/>
    <x v="0"/>
    <s v="C00043"/>
    <n v="65"/>
    <s v="Male"/>
    <x v="2"/>
    <x v="1"/>
    <x v="1"/>
    <s v="Half Board"/>
    <n v="13583.77"/>
    <n v="1655.88"/>
    <x v="2"/>
    <s v="Confirmed"/>
    <x v="0"/>
    <x v="5"/>
    <x v="1"/>
    <x v="2"/>
    <x v="0"/>
  </r>
  <r>
    <s v="T000044"/>
    <d v="2023-02-13T00:00:00"/>
    <x v="3"/>
    <x v="1"/>
    <x v="0"/>
    <x v="0"/>
    <s v="India"/>
    <x v="0"/>
    <x v="6"/>
    <s v="C00044"/>
    <n v="56"/>
    <s v="Other"/>
    <x v="2"/>
    <x v="3"/>
    <x v="2"/>
    <s v="Breakfast Only"/>
    <n v="5322.85"/>
    <n v="4981.3599999999997"/>
    <x v="2"/>
    <s v="Cancelled"/>
    <x v="1"/>
    <x v="18"/>
    <x v="0"/>
    <x v="0"/>
    <x v="0"/>
  </r>
  <r>
    <s v="T000045"/>
    <d v="2023-02-14T00:00:00"/>
    <x v="3"/>
    <x v="1"/>
    <x v="3"/>
    <x v="1"/>
    <s v="India"/>
    <x v="5"/>
    <x v="8"/>
    <s v="C00045"/>
    <n v="64"/>
    <s v="Female"/>
    <x v="2"/>
    <x v="1"/>
    <x v="0"/>
    <s v="Half Board"/>
    <n v="13159.09"/>
    <n v="1778.17"/>
    <x v="0"/>
    <s v="Cancelled"/>
    <x v="0"/>
    <x v="1"/>
    <x v="1"/>
    <x v="0"/>
    <x v="0"/>
  </r>
  <r>
    <s v="T000046"/>
    <d v="2023-02-15T00:00:00"/>
    <x v="4"/>
    <x v="3"/>
    <x v="1"/>
    <x v="1"/>
    <s v="India"/>
    <x v="1"/>
    <x v="9"/>
    <s v="C00046"/>
    <n v="47"/>
    <s v="Male"/>
    <x v="1"/>
    <x v="3"/>
    <x v="1"/>
    <s v="Full Board"/>
    <n v="19870.13"/>
    <n v="2143.0100000000002"/>
    <x v="0"/>
    <s v="Confirmed"/>
    <x v="3"/>
    <x v="14"/>
    <x v="1"/>
    <x v="2"/>
    <x v="0"/>
  </r>
  <r>
    <s v="T000047"/>
    <d v="2023-02-16T00:00:00"/>
    <x v="3"/>
    <x v="1"/>
    <x v="4"/>
    <x v="1"/>
    <s v="India"/>
    <x v="6"/>
    <x v="10"/>
    <s v="C00047"/>
    <n v="38"/>
    <s v="Female"/>
    <x v="4"/>
    <x v="1"/>
    <x v="3"/>
    <s v="No Meals"/>
    <n v="29219.83"/>
    <n v="4045.64"/>
    <x v="1"/>
    <s v="Cancelled"/>
    <x v="3"/>
    <x v="1"/>
    <x v="1"/>
    <x v="4"/>
    <x v="1"/>
  </r>
  <r>
    <s v="T000048"/>
    <d v="2023-02-17T00:00:00"/>
    <x v="1"/>
    <x v="1"/>
    <x v="3"/>
    <x v="1"/>
    <s v="India"/>
    <x v="5"/>
    <x v="8"/>
    <s v="C00048"/>
    <n v="47"/>
    <s v="Other"/>
    <x v="2"/>
    <x v="3"/>
    <x v="0"/>
    <s v="Breakfast Only"/>
    <n v="46367.47"/>
    <n v="443.18"/>
    <x v="3"/>
    <s v="Confirmed"/>
    <x v="0"/>
    <x v="26"/>
    <x v="2"/>
    <x v="0"/>
    <x v="1"/>
  </r>
  <r>
    <s v="T000049"/>
    <d v="2023-02-18T00:00:00"/>
    <x v="3"/>
    <x v="1"/>
    <x v="3"/>
    <x v="1"/>
    <s v="India"/>
    <x v="5"/>
    <x v="9"/>
    <s v="C00049"/>
    <n v="45"/>
    <s v="Male"/>
    <x v="6"/>
    <x v="3"/>
    <x v="2"/>
    <s v="Breakfast Only"/>
    <n v="29314.71"/>
    <n v="1932.45"/>
    <x v="3"/>
    <s v="Pending"/>
    <x v="0"/>
    <x v="0"/>
    <x v="0"/>
    <x v="0"/>
    <x v="0"/>
  </r>
  <r>
    <s v="T000050"/>
    <d v="2023-02-19T00:00:00"/>
    <x v="0"/>
    <x v="0"/>
    <x v="3"/>
    <x v="1"/>
    <s v="India"/>
    <x v="5"/>
    <x v="3"/>
    <s v="C00050"/>
    <n v="48"/>
    <s v="Female"/>
    <x v="3"/>
    <x v="3"/>
    <x v="2"/>
    <s v="Full Board"/>
    <n v="36752.160000000003"/>
    <n v="428.55"/>
    <x v="3"/>
    <s v="Pending"/>
    <x v="0"/>
    <x v="5"/>
    <x v="1"/>
    <x v="2"/>
    <x v="1"/>
  </r>
  <r>
    <s v="T000051"/>
    <d v="2023-02-20T00:00:00"/>
    <x v="0"/>
    <x v="0"/>
    <x v="0"/>
    <x v="0"/>
    <s v="India"/>
    <x v="4"/>
    <x v="6"/>
    <s v="C00051"/>
    <n v="69"/>
    <s v="Male"/>
    <x v="6"/>
    <x v="2"/>
    <x v="3"/>
    <s v="Breakfast Only"/>
    <n v="21095.47"/>
    <n v="696.53"/>
    <x v="3"/>
    <s v="Pending"/>
    <x v="0"/>
    <x v="19"/>
    <x v="3"/>
    <x v="0"/>
    <x v="0"/>
  </r>
  <r>
    <s v="T000052"/>
    <d v="2023-02-21T00:00:00"/>
    <x v="0"/>
    <x v="0"/>
    <x v="2"/>
    <x v="0"/>
    <s v="India"/>
    <x v="3"/>
    <x v="10"/>
    <s v="C00052"/>
    <n v="43"/>
    <s v="Male"/>
    <x v="4"/>
    <x v="1"/>
    <x v="3"/>
    <s v="Full Board"/>
    <n v="38823.39"/>
    <n v="23.2"/>
    <x v="3"/>
    <s v="Cancelled"/>
    <x v="0"/>
    <x v="11"/>
    <x v="0"/>
    <x v="4"/>
    <x v="1"/>
  </r>
  <r>
    <s v="T000053"/>
    <d v="2023-02-22T00:00:00"/>
    <x v="0"/>
    <x v="0"/>
    <x v="4"/>
    <x v="1"/>
    <s v="India"/>
    <x v="6"/>
    <x v="0"/>
    <s v="C00053"/>
    <n v="60"/>
    <s v="Female"/>
    <x v="4"/>
    <x v="1"/>
    <x v="3"/>
    <s v="Breakfast Only"/>
    <n v="32921.089999999997"/>
    <n v="47.72"/>
    <x v="2"/>
    <s v="Pending"/>
    <x v="3"/>
    <x v="14"/>
    <x v="1"/>
    <x v="0"/>
    <x v="0"/>
  </r>
  <r>
    <s v="T000054"/>
    <d v="2023-02-23T00:00:00"/>
    <x v="1"/>
    <x v="1"/>
    <x v="1"/>
    <x v="1"/>
    <s v="India"/>
    <x v="1"/>
    <x v="0"/>
    <s v="C00054"/>
    <n v="39"/>
    <s v="Male"/>
    <x v="3"/>
    <x v="0"/>
    <x v="0"/>
    <s v="Full Board"/>
    <n v="25690.73"/>
    <n v="1901.44"/>
    <x v="1"/>
    <s v="Cancelled"/>
    <x v="2"/>
    <x v="18"/>
    <x v="0"/>
    <x v="2"/>
    <x v="0"/>
  </r>
  <r>
    <s v="T000055"/>
    <d v="2023-02-24T00:00:00"/>
    <x v="2"/>
    <x v="2"/>
    <x v="1"/>
    <x v="1"/>
    <s v="India"/>
    <x v="1"/>
    <x v="11"/>
    <s v="C00055"/>
    <n v="38"/>
    <s v="Female"/>
    <x v="0"/>
    <x v="0"/>
    <x v="2"/>
    <s v="Half Board"/>
    <n v="13719.6"/>
    <n v="4045.82"/>
    <x v="3"/>
    <s v="Confirmed"/>
    <x v="3"/>
    <x v="23"/>
    <x v="1"/>
    <x v="4"/>
    <x v="0"/>
  </r>
  <r>
    <s v="T000056"/>
    <d v="2023-02-25T00:00:00"/>
    <x v="4"/>
    <x v="3"/>
    <x v="2"/>
    <x v="0"/>
    <s v="India"/>
    <x v="3"/>
    <x v="7"/>
    <s v="C00056"/>
    <n v="18"/>
    <s v="Male"/>
    <x v="0"/>
    <x v="0"/>
    <x v="3"/>
    <s v="Half Board"/>
    <n v="18659.34"/>
    <n v="2935.02"/>
    <x v="3"/>
    <s v="Pending"/>
    <x v="3"/>
    <x v="8"/>
    <x v="0"/>
    <x v="1"/>
    <x v="1"/>
  </r>
  <r>
    <s v="T000057"/>
    <d v="2023-02-26T00:00:00"/>
    <x v="0"/>
    <x v="0"/>
    <x v="3"/>
    <x v="1"/>
    <s v="India"/>
    <x v="5"/>
    <x v="5"/>
    <s v="C00057"/>
    <n v="54"/>
    <s v="Male"/>
    <x v="0"/>
    <x v="1"/>
    <x v="3"/>
    <s v="Half Board"/>
    <n v="32942.57"/>
    <n v="3174.57"/>
    <x v="3"/>
    <s v="Cancelled"/>
    <x v="0"/>
    <x v="13"/>
    <x v="0"/>
    <x v="2"/>
    <x v="1"/>
  </r>
  <r>
    <s v="T000058"/>
    <d v="2023-02-27T00:00:00"/>
    <x v="3"/>
    <x v="1"/>
    <x v="4"/>
    <x v="1"/>
    <s v="India"/>
    <x v="6"/>
    <x v="3"/>
    <s v="C00058"/>
    <n v="30"/>
    <s v="Male"/>
    <x v="1"/>
    <x v="2"/>
    <x v="2"/>
    <s v="Breakfast Only"/>
    <n v="24172.53"/>
    <n v="2596.25"/>
    <x v="2"/>
    <s v="Pending"/>
    <x v="2"/>
    <x v="5"/>
    <x v="1"/>
    <x v="1"/>
    <x v="0"/>
  </r>
  <r>
    <s v="T000059"/>
    <d v="2023-02-28T00:00:00"/>
    <x v="0"/>
    <x v="0"/>
    <x v="1"/>
    <x v="1"/>
    <s v="India"/>
    <x v="1"/>
    <x v="10"/>
    <s v="C00059"/>
    <n v="38"/>
    <s v="Other"/>
    <x v="0"/>
    <x v="3"/>
    <x v="1"/>
    <s v="Full Board"/>
    <n v="45022.400000000001"/>
    <n v="4098.97"/>
    <x v="3"/>
    <s v="Cancelled"/>
    <x v="0"/>
    <x v="10"/>
    <x v="1"/>
    <x v="0"/>
    <x v="0"/>
  </r>
  <r>
    <s v="T000060"/>
    <d v="2023-03-01T00:00:00"/>
    <x v="3"/>
    <x v="1"/>
    <x v="1"/>
    <x v="1"/>
    <s v="India"/>
    <x v="1"/>
    <x v="8"/>
    <s v="C00060"/>
    <n v="63"/>
    <s v="Other"/>
    <x v="5"/>
    <x v="1"/>
    <x v="0"/>
    <s v="Full Board"/>
    <n v="15567.81"/>
    <n v="4401.8900000000003"/>
    <x v="1"/>
    <s v="Cancelled"/>
    <x v="3"/>
    <x v="13"/>
    <x v="0"/>
    <x v="4"/>
    <x v="1"/>
  </r>
  <r>
    <s v="T000061"/>
    <d v="2023-03-02T00:00:00"/>
    <x v="3"/>
    <x v="1"/>
    <x v="3"/>
    <x v="1"/>
    <s v="India"/>
    <x v="5"/>
    <x v="0"/>
    <s v="C00061"/>
    <n v="26"/>
    <s v="Female"/>
    <x v="1"/>
    <x v="2"/>
    <x v="1"/>
    <s v="No Meals"/>
    <n v="8288.27"/>
    <n v="4248.7"/>
    <x v="2"/>
    <s v="Confirmed"/>
    <x v="2"/>
    <x v="19"/>
    <x v="3"/>
    <x v="0"/>
    <x v="1"/>
  </r>
  <r>
    <s v="T000062"/>
    <d v="2023-03-03T00:00:00"/>
    <x v="0"/>
    <x v="0"/>
    <x v="2"/>
    <x v="0"/>
    <s v="India"/>
    <x v="2"/>
    <x v="2"/>
    <s v="C00062"/>
    <n v="34"/>
    <s v="Male"/>
    <x v="1"/>
    <x v="2"/>
    <x v="3"/>
    <s v="Half Board"/>
    <n v="31520.69"/>
    <n v="4060.66"/>
    <x v="2"/>
    <s v="Cancelled"/>
    <x v="1"/>
    <x v="10"/>
    <x v="1"/>
    <x v="4"/>
    <x v="0"/>
  </r>
  <r>
    <s v="T000063"/>
    <d v="2023-03-04T00:00:00"/>
    <x v="1"/>
    <x v="1"/>
    <x v="4"/>
    <x v="1"/>
    <s v="India"/>
    <x v="6"/>
    <x v="6"/>
    <s v="C00063"/>
    <n v="64"/>
    <s v="Female"/>
    <x v="0"/>
    <x v="1"/>
    <x v="0"/>
    <s v="No Meals"/>
    <n v="44872.29"/>
    <n v="913.57"/>
    <x v="0"/>
    <s v="Cancelled"/>
    <x v="0"/>
    <x v="5"/>
    <x v="1"/>
    <x v="3"/>
    <x v="0"/>
  </r>
  <r>
    <s v="T000064"/>
    <d v="2023-03-05T00:00:00"/>
    <x v="3"/>
    <x v="1"/>
    <x v="2"/>
    <x v="0"/>
    <s v="India"/>
    <x v="3"/>
    <x v="3"/>
    <s v="C00064"/>
    <n v="38"/>
    <s v="Other"/>
    <x v="0"/>
    <x v="3"/>
    <x v="1"/>
    <s v="Half Board"/>
    <n v="21413.26"/>
    <n v="2969.38"/>
    <x v="0"/>
    <s v="Pending"/>
    <x v="1"/>
    <x v="21"/>
    <x v="0"/>
    <x v="0"/>
    <x v="0"/>
  </r>
  <r>
    <s v="T000065"/>
    <d v="2023-03-06T00:00:00"/>
    <x v="3"/>
    <x v="1"/>
    <x v="2"/>
    <x v="0"/>
    <s v="India"/>
    <x v="2"/>
    <x v="10"/>
    <s v="C00065"/>
    <n v="48"/>
    <s v="Other"/>
    <x v="3"/>
    <x v="2"/>
    <x v="2"/>
    <s v="No Meals"/>
    <n v="34147.01"/>
    <n v="2910.82"/>
    <x v="2"/>
    <s v="Confirmed"/>
    <x v="1"/>
    <x v="11"/>
    <x v="0"/>
    <x v="0"/>
    <x v="1"/>
  </r>
  <r>
    <s v="T000066"/>
    <d v="2023-03-07T00:00:00"/>
    <x v="0"/>
    <x v="0"/>
    <x v="4"/>
    <x v="1"/>
    <s v="India"/>
    <x v="6"/>
    <x v="10"/>
    <s v="C00066"/>
    <n v="56"/>
    <s v="Other"/>
    <x v="2"/>
    <x v="1"/>
    <x v="3"/>
    <s v="Half Board"/>
    <n v="15413.57"/>
    <n v="2639.72"/>
    <x v="3"/>
    <s v="Cancelled"/>
    <x v="1"/>
    <x v="5"/>
    <x v="1"/>
    <x v="0"/>
    <x v="0"/>
  </r>
  <r>
    <s v="T000067"/>
    <d v="2023-03-08T00:00:00"/>
    <x v="3"/>
    <x v="1"/>
    <x v="4"/>
    <x v="1"/>
    <s v="India"/>
    <x v="6"/>
    <x v="8"/>
    <s v="C00067"/>
    <n v="39"/>
    <s v="Other"/>
    <x v="3"/>
    <x v="3"/>
    <x v="0"/>
    <s v="Full Board"/>
    <n v="30131.24"/>
    <n v="2404.06"/>
    <x v="3"/>
    <s v="Pending"/>
    <x v="1"/>
    <x v="24"/>
    <x v="0"/>
    <x v="2"/>
    <x v="1"/>
  </r>
  <r>
    <s v="T000068"/>
    <d v="2023-03-09T00:00:00"/>
    <x v="3"/>
    <x v="1"/>
    <x v="1"/>
    <x v="1"/>
    <s v="India"/>
    <x v="1"/>
    <x v="10"/>
    <s v="C00068"/>
    <n v="29"/>
    <s v="Female"/>
    <x v="1"/>
    <x v="0"/>
    <x v="0"/>
    <s v="Half Board"/>
    <n v="40405.64"/>
    <n v="445.85"/>
    <x v="3"/>
    <s v="Confirmed"/>
    <x v="2"/>
    <x v="24"/>
    <x v="0"/>
    <x v="4"/>
    <x v="1"/>
  </r>
  <r>
    <s v="T000069"/>
    <d v="2023-03-10T00:00:00"/>
    <x v="0"/>
    <x v="0"/>
    <x v="1"/>
    <x v="1"/>
    <s v="India"/>
    <x v="1"/>
    <x v="4"/>
    <s v="C00069"/>
    <n v="23"/>
    <s v="Male"/>
    <x v="3"/>
    <x v="2"/>
    <x v="0"/>
    <s v="Breakfast Only"/>
    <n v="44016.42"/>
    <n v="510.82"/>
    <x v="3"/>
    <s v="Cancelled"/>
    <x v="0"/>
    <x v="10"/>
    <x v="1"/>
    <x v="4"/>
    <x v="0"/>
  </r>
  <r>
    <s v="T000070"/>
    <d v="2023-03-11T00:00:00"/>
    <x v="0"/>
    <x v="0"/>
    <x v="4"/>
    <x v="1"/>
    <s v="India"/>
    <x v="6"/>
    <x v="3"/>
    <s v="C00070"/>
    <n v="33"/>
    <s v="Female"/>
    <x v="1"/>
    <x v="2"/>
    <x v="0"/>
    <s v="Half Board"/>
    <n v="9730.36"/>
    <n v="4511.41"/>
    <x v="0"/>
    <s v="Pending"/>
    <x v="2"/>
    <x v="27"/>
    <x v="0"/>
    <x v="4"/>
    <x v="1"/>
  </r>
  <r>
    <s v="T000071"/>
    <d v="2023-03-12T00:00:00"/>
    <x v="4"/>
    <x v="3"/>
    <x v="0"/>
    <x v="0"/>
    <s v="India"/>
    <x v="4"/>
    <x v="9"/>
    <s v="C00071"/>
    <n v="43"/>
    <s v="Male"/>
    <x v="4"/>
    <x v="1"/>
    <x v="3"/>
    <s v="Half Board"/>
    <n v="21036.85"/>
    <n v="3150.93"/>
    <x v="1"/>
    <s v="Confirmed"/>
    <x v="0"/>
    <x v="17"/>
    <x v="1"/>
    <x v="2"/>
    <x v="0"/>
  </r>
  <r>
    <s v="T000072"/>
    <d v="2023-03-13T00:00:00"/>
    <x v="1"/>
    <x v="1"/>
    <x v="1"/>
    <x v="1"/>
    <s v="India"/>
    <x v="1"/>
    <x v="0"/>
    <s v="C00072"/>
    <n v="22"/>
    <s v="Other"/>
    <x v="1"/>
    <x v="1"/>
    <x v="3"/>
    <s v="Full Board"/>
    <n v="33784"/>
    <n v="1311.59"/>
    <x v="2"/>
    <s v="Confirmed"/>
    <x v="0"/>
    <x v="28"/>
    <x v="3"/>
    <x v="4"/>
    <x v="0"/>
  </r>
  <r>
    <s v="T000073"/>
    <d v="2023-03-14T00:00:00"/>
    <x v="1"/>
    <x v="1"/>
    <x v="0"/>
    <x v="0"/>
    <s v="India"/>
    <x v="4"/>
    <x v="0"/>
    <s v="C00073"/>
    <n v="26"/>
    <s v="Male"/>
    <x v="1"/>
    <x v="3"/>
    <x v="2"/>
    <s v="Breakfast Only"/>
    <n v="6562.53"/>
    <n v="1396.5"/>
    <x v="3"/>
    <s v="Confirmed"/>
    <x v="0"/>
    <x v="22"/>
    <x v="4"/>
    <x v="0"/>
    <x v="1"/>
  </r>
  <r>
    <s v="T000074"/>
    <d v="2023-03-15T00:00:00"/>
    <x v="3"/>
    <x v="1"/>
    <x v="4"/>
    <x v="1"/>
    <s v="India"/>
    <x v="6"/>
    <x v="9"/>
    <s v="C00074"/>
    <n v="63"/>
    <s v="Other"/>
    <x v="3"/>
    <x v="0"/>
    <x v="2"/>
    <s v="Full Board"/>
    <n v="36077.68"/>
    <n v="3050.97"/>
    <x v="0"/>
    <s v="Confirmed"/>
    <x v="2"/>
    <x v="3"/>
    <x v="3"/>
    <x v="1"/>
    <x v="0"/>
  </r>
  <r>
    <s v="T000075"/>
    <d v="2023-03-16T00:00:00"/>
    <x v="1"/>
    <x v="1"/>
    <x v="1"/>
    <x v="1"/>
    <s v="India"/>
    <x v="1"/>
    <x v="3"/>
    <s v="C00075"/>
    <n v="57"/>
    <s v="Female"/>
    <x v="2"/>
    <x v="0"/>
    <x v="2"/>
    <s v="No Meals"/>
    <n v="28761.52"/>
    <n v="2034.67"/>
    <x v="1"/>
    <s v="Cancelled"/>
    <x v="3"/>
    <x v="13"/>
    <x v="0"/>
    <x v="3"/>
    <x v="1"/>
  </r>
  <r>
    <s v="T000076"/>
    <d v="2023-03-17T00:00:00"/>
    <x v="3"/>
    <x v="1"/>
    <x v="2"/>
    <x v="0"/>
    <s v="India"/>
    <x v="3"/>
    <x v="5"/>
    <s v="C00076"/>
    <n v="31"/>
    <s v="Male"/>
    <x v="4"/>
    <x v="1"/>
    <x v="1"/>
    <s v="No Meals"/>
    <n v="17985.48"/>
    <n v="2206.62"/>
    <x v="2"/>
    <s v="Cancelled"/>
    <x v="1"/>
    <x v="2"/>
    <x v="3"/>
    <x v="4"/>
    <x v="1"/>
  </r>
  <r>
    <s v="T000077"/>
    <d v="2023-03-18T00:00:00"/>
    <x v="4"/>
    <x v="3"/>
    <x v="4"/>
    <x v="1"/>
    <s v="India"/>
    <x v="6"/>
    <x v="2"/>
    <s v="C00077"/>
    <n v="61"/>
    <s v="Female"/>
    <x v="6"/>
    <x v="1"/>
    <x v="2"/>
    <s v="Breakfast Only"/>
    <n v="41659.449999999997"/>
    <n v="303.25"/>
    <x v="2"/>
    <s v="Confirmed"/>
    <x v="3"/>
    <x v="8"/>
    <x v="0"/>
    <x v="2"/>
    <x v="0"/>
  </r>
  <r>
    <s v="T000078"/>
    <d v="2023-03-19T00:00:00"/>
    <x v="0"/>
    <x v="0"/>
    <x v="3"/>
    <x v="1"/>
    <s v="India"/>
    <x v="5"/>
    <x v="3"/>
    <s v="C00078"/>
    <n v="59"/>
    <s v="Other"/>
    <x v="6"/>
    <x v="3"/>
    <x v="3"/>
    <s v="No Meals"/>
    <n v="18052.28"/>
    <n v="693.7"/>
    <x v="2"/>
    <s v="Confirmed"/>
    <x v="3"/>
    <x v="7"/>
    <x v="3"/>
    <x v="2"/>
    <x v="1"/>
  </r>
  <r>
    <s v="T000079"/>
    <d v="2023-03-20T00:00:00"/>
    <x v="0"/>
    <x v="0"/>
    <x v="0"/>
    <x v="0"/>
    <s v="India"/>
    <x v="0"/>
    <x v="1"/>
    <s v="C00079"/>
    <n v="47"/>
    <s v="Female"/>
    <x v="2"/>
    <x v="1"/>
    <x v="1"/>
    <s v="Breakfast Only"/>
    <n v="49613.68"/>
    <n v="1966.75"/>
    <x v="3"/>
    <s v="Cancelled"/>
    <x v="3"/>
    <x v="3"/>
    <x v="2"/>
    <x v="4"/>
    <x v="1"/>
  </r>
  <r>
    <s v="T000080"/>
    <d v="2023-03-21T00:00:00"/>
    <x v="0"/>
    <x v="0"/>
    <x v="4"/>
    <x v="1"/>
    <s v="India"/>
    <x v="6"/>
    <x v="10"/>
    <s v="C00080"/>
    <n v="69"/>
    <s v="Other"/>
    <x v="6"/>
    <x v="3"/>
    <x v="3"/>
    <s v="Half Board"/>
    <n v="41736.660000000003"/>
    <n v="3498.43"/>
    <x v="2"/>
    <s v="Pending"/>
    <x v="1"/>
    <x v="3"/>
    <x v="3"/>
    <x v="1"/>
    <x v="0"/>
  </r>
  <r>
    <s v="T000081"/>
    <d v="2023-03-22T00:00:00"/>
    <x v="1"/>
    <x v="1"/>
    <x v="4"/>
    <x v="1"/>
    <s v="India"/>
    <x v="6"/>
    <x v="7"/>
    <s v="C00081"/>
    <n v="69"/>
    <s v="Other"/>
    <x v="4"/>
    <x v="3"/>
    <x v="1"/>
    <s v="No Meals"/>
    <n v="36859.120000000003"/>
    <n v="240.13"/>
    <x v="3"/>
    <s v="Confirmed"/>
    <x v="3"/>
    <x v="29"/>
    <x v="1"/>
    <x v="4"/>
    <x v="1"/>
  </r>
  <r>
    <s v="T000082"/>
    <d v="2023-03-23T00:00:00"/>
    <x v="4"/>
    <x v="3"/>
    <x v="1"/>
    <x v="1"/>
    <s v="India"/>
    <x v="1"/>
    <x v="8"/>
    <s v="C00082"/>
    <n v="43"/>
    <s v="Other"/>
    <x v="0"/>
    <x v="0"/>
    <x v="2"/>
    <s v="Half Board"/>
    <n v="7760.64"/>
    <n v="1672.79"/>
    <x v="1"/>
    <s v="Cancelled"/>
    <x v="1"/>
    <x v="30"/>
    <x v="0"/>
    <x v="2"/>
    <x v="0"/>
  </r>
  <r>
    <s v="T000083"/>
    <d v="2023-03-24T00:00:00"/>
    <x v="1"/>
    <x v="1"/>
    <x v="1"/>
    <x v="1"/>
    <s v="India"/>
    <x v="1"/>
    <x v="4"/>
    <s v="C00083"/>
    <n v="62"/>
    <s v="Female"/>
    <x v="4"/>
    <x v="3"/>
    <x v="2"/>
    <s v="Full Board"/>
    <n v="45693.97"/>
    <n v="3475.36"/>
    <x v="0"/>
    <s v="Cancelled"/>
    <x v="1"/>
    <x v="13"/>
    <x v="0"/>
    <x v="3"/>
    <x v="0"/>
  </r>
  <r>
    <s v="T000084"/>
    <d v="2023-03-25T00:00:00"/>
    <x v="1"/>
    <x v="1"/>
    <x v="1"/>
    <x v="1"/>
    <s v="India"/>
    <x v="1"/>
    <x v="7"/>
    <s v="C00084"/>
    <n v="46"/>
    <s v="Female"/>
    <x v="3"/>
    <x v="0"/>
    <x v="2"/>
    <s v="No Meals"/>
    <n v="40552.49"/>
    <n v="3960.25"/>
    <x v="0"/>
    <s v="Pending"/>
    <x v="1"/>
    <x v="31"/>
    <x v="1"/>
    <x v="1"/>
    <x v="1"/>
  </r>
  <r>
    <s v="T000085"/>
    <d v="2023-03-26T00:00:00"/>
    <x v="4"/>
    <x v="3"/>
    <x v="3"/>
    <x v="1"/>
    <s v="India"/>
    <x v="5"/>
    <x v="9"/>
    <s v="C00085"/>
    <n v="36"/>
    <s v="Male"/>
    <x v="5"/>
    <x v="0"/>
    <x v="1"/>
    <s v="Full Board"/>
    <n v="15306.13"/>
    <n v="951.1"/>
    <x v="0"/>
    <s v="Cancelled"/>
    <x v="0"/>
    <x v="27"/>
    <x v="0"/>
    <x v="4"/>
    <x v="1"/>
  </r>
  <r>
    <s v="T000086"/>
    <d v="2023-03-27T00:00:00"/>
    <x v="4"/>
    <x v="3"/>
    <x v="1"/>
    <x v="1"/>
    <s v="India"/>
    <x v="1"/>
    <x v="8"/>
    <s v="C00086"/>
    <n v="64"/>
    <s v="Male"/>
    <x v="1"/>
    <x v="0"/>
    <x v="3"/>
    <s v="Full Board"/>
    <n v="22651.17"/>
    <n v="3657.44"/>
    <x v="2"/>
    <s v="Confirmed"/>
    <x v="0"/>
    <x v="18"/>
    <x v="0"/>
    <x v="3"/>
    <x v="0"/>
  </r>
  <r>
    <s v="T000087"/>
    <d v="2023-03-28T00:00:00"/>
    <x v="4"/>
    <x v="3"/>
    <x v="4"/>
    <x v="1"/>
    <s v="India"/>
    <x v="6"/>
    <x v="8"/>
    <s v="C00087"/>
    <n v="25"/>
    <s v="Female"/>
    <x v="1"/>
    <x v="1"/>
    <x v="0"/>
    <s v="Breakfast Only"/>
    <n v="17088.419999999998"/>
    <n v="4777.0600000000004"/>
    <x v="0"/>
    <s v="Cancelled"/>
    <x v="3"/>
    <x v="15"/>
    <x v="2"/>
    <x v="4"/>
    <x v="1"/>
  </r>
  <r>
    <s v="T000088"/>
    <d v="2023-03-29T00:00:00"/>
    <x v="4"/>
    <x v="3"/>
    <x v="1"/>
    <x v="1"/>
    <s v="India"/>
    <x v="1"/>
    <x v="2"/>
    <s v="C00088"/>
    <n v="40"/>
    <s v="Female"/>
    <x v="3"/>
    <x v="0"/>
    <x v="3"/>
    <s v="Full Board"/>
    <n v="49298.720000000001"/>
    <n v="4534.0600000000004"/>
    <x v="1"/>
    <s v="Confirmed"/>
    <x v="0"/>
    <x v="9"/>
    <x v="4"/>
    <x v="1"/>
    <x v="0"/>
  </r>
  <r>
    <s v="T000089"/>
    <d v="2023-03-30T00:00:00"/>
    <x v="0"/>
    <x v="0"/>
    <x v="2"/>
    <x v="0"/>
    <s v="India"/>
    <x v="2"/>
    <x v="8"/>
    <s v="C00089"/>
    <n v="59"/>
    <s v="Female"/>
    <x v="3"/>
    <x v="3"/>
    <x v="2"/>
    <s v="Breakfast Only"/>
    <n v="43438.84"/>
    <n v="3946.88"/>
    <x v="3"/>
    <s v="Cancelled"/>
    <x v="1"/>
    <x v="0"/>
    <x v="0"/>
    <x v="2"/>
    <x v="1"/>
  </r>
  <r>
    <s v="T000090"/>
    <d v="2023-03-31T00:00:00"/>
    <x v="2"/>
    <x v="2"/>
    <x v="1"/>
    <x v="1"/>
    <s v="India"/>
    <x v="1"/>
    <x v="0"/>
    <s v="C00090"/>
    <n v="52"/>
    <s v="Female"/>
    <x v="5"/>
    <x v="1"/>
    <x v="1"/>
    <s v="Breakfast Only"/>
    <n v="46860.14"/>
    <n v="3561.63"/>
    <x v="0"/>
    <s v="Confirmed"/>
    <x v="0"/>
    <x v="14"/>
    <x v="1"/>
    <x v="1"/>
    <x v="0"/>
  </r>
  <r>
    <s v="T000091"/>
    <d v="2023-04-01T00:00:00"/>
    <x v="2"/>
    <x v="2"/>
    <x v="3"/>
    <x v="1"/>
    <s v="India"/>
    <x v="5"/>
    <x v="4"/>
    <s v="C00091"/>
    <n v="48"/>
    <s v="Other"/>
    <x v="5"/>
    <x v="3"/>
    <x v="1"/>
    <s v="Breakfast Only"/>
    <n v="40494.839999999997"/>
    <n v="1175.69"/>
    <x v="3"/>
    <s v="Confirmed"/>
    <x v="1"/>
    <x v="32"/>
    <x v="4"/>
    <x v="0"/>
    <x v="0"/>
  </r>
  <r>
    <s v="T000092"/>
    <d v="2023-04-02T00:00:00"/>
    <x v="4"/>
    <x v="3"/>
    <x v="2"/>
    <x v="0"/>
    <s v="India"/>
    <x v="3"/>
    <x v="0"/>
    <s v="C00092"/>
    <n v="52"/>
    <s v="Other"/>
    <x v="1"/>
    <x v="1"/>
    <x v="2"/>
    <s v="Breakfast Only"/>
    <n v="25535.67"/>
    <n v="3169.52"/>
    <x v="3"/>
    <s v="Cancelled"/>
    <x v="2"/>
    <x v="33"/>
    <x v="4"/>
    <x v="4"/>
    <x v="1"/>
  </r>
  <r>
    <s v="T000093"/>
    <d v="2023-04-03T00:00:00"/>
    <x v="2"/>
    <x v="2"/>
    <x v="4"/>
    <x v="1"/>
    <s v="India"/>
    <x v="6"/>
    <x v="10"/>
    <s v="C00093"/>
    <n v="49"/>
    <s v="Other"/>
    <x v="5"/>
    <x v="3"/>
    <x v="1"/>
    <s v="Breakfast Only"/>
    <n v="14244.54"/>
    <n v="3216.37"/>
    <x v="0"/>
    <s v="Confirmed"/>
    <x v="0"/>
    <x v="26"/>
    <x v="0"/>
    <x v="3"/>
    <x v="1"/>
  </r>
  <r>
    <s v="T000094"/>
    <d v="2023-04-04T00:00:00"/>
    <x v="2"/>
    <x v="2"/>
    <x v="4"/>
    <x v="1"/>
    <s v="India"/>
    <x v="6"/>
    <x v="1"/>
    <s v="C00094"/>
    <n v="22"/>
    <s v="Female"/>
    <x v="5"/>
    <x v="2"/>
    <x v="2"/>
    <s v="Half Board"/>
    <n v="14363.61"/>
    <n v="2034.11"/>
    <x v="0"/>
    <s v="Cancelled"/>
    <x v="3"/>
    <x v="34"/>
    <x v="1"/>
    <x v="3"/>
    <x v="1"/>
  </r>
  <r>
    <s v="T000095"/>
    <d v="2023-04-05T00:00:00"/>
    <x v="4"/>
    <x v="3"/>
    <x v="0"/>
    <x v="0"/>
    <s v="India"/>
    <x v="4"/>
    <x v="11"/>
    <s v="C00095"/>
    <n v="33"/>
    <s v="Other"/>
    <x v="5"/>
    <x v="2"/>
    <x v="3"/>
    <s v="Breakfast Only"/>
    <n v="11825.73"/>
    <n v="2465.08"/>
    <x v="0"/>
    <s v="Cancelled"/>
    <x v="2"/>
    <x v="18"/>
    <x v="0"/>
    <x v="1"/>
    <x v="0"/>
  </r>
  <r>
    <s v="T000096"/>
    <d v="2023-04-06T00:00:00"/>
    <x v="2"/>
    <x v="2"/>
    <x v="2"/>
    <x v="0"/>
    <s v="India"/>
    <x v="3"/>
    <x v="2"/>
    <s v="C00096"/>
    <n v="34"/>
    <s v="Other"/>
    <x v="2"/>
    <x v="2"/>
    <x v="1"/>
    <s v="No Meals"/>
    <n v="29599.23"/>
    <n v="3470.14"/>
    <x v="2"/>
    <s v="Cancelled"/>
    <x v="2"/>
    <x v="5"/>
    <x v="1"/>
    <x v="1"/>
    <x v="0"/>
  </r>
  <r>
    <s v="T000097"/>
    <d v="2023-04-07T00:00:00"/>
    <x v="1"/>
    <x v="1"/>
    <x v="0"/>
    <x v="0"/>
    <s v="India"/>
    <x v="4"/>
    <x v="4"/>
    <s v="C00097"/>
    <n v="49"/>
    <s v="Male"/>
    <x v="0"/>
    <x v="3"/>
    <x v="0"/>
    <s v="Breakfast Only"/>
    <n v="46398.49"/>
    <n v="4760.51"/>
    <x v="0"/>
    <s v="Confirmed"/>
    <x v="0"/>
    <x v="32"/>
    <x v="4"/>
    <x v="1"/>
    <x v="1"/>
  </r>
  <r>
    <s v="T000098"/>
    <d v="2023-04-08T00:00:00"/>
    <x v="3"/>
    <x v="1"/>
    <x v="2"/>
    <x v="0"/>
    <s v="India"/>
    <x v="2"/>
    <x v="7"/>
    <s v="C00098"/>
    <n v="55"/>
    <s v="Male"/>
    <x v="5"/>
    <x v="1"/>
    <x v="1"/>
    <s v="Half Board"/>
    <n v="49630.91"/>
    <n v="1476.53"/>
    <x v="2"/>
    <s v="Cancelled"/>
    <x v="0"/>
    <x v="35"/>
    <x v="2"/>
    <x v="3"/>
    <x v="1"/>
  </r>
  <r>
    <s v="T000099"/>
    <d v="2023-04-09T00:00:00"/>
    <x v="3"/>
    <x v="1"/>
    <x v="2"/>
    <x v="0"/>
    <s v="India"/>
    <x v="3"/>
    <x v="6"/>
    <s v="C00099"/>
    <n v="49"/>
    <s v="Other"/>
    <x v="0"/>
    <x v="0"/>
    <x v="2"/>
    <s v="No Meals"/>
    <n v="17928.490000000002"/>
    <n v="1231.82"/>
    <x v="1"/>
    <s v="Pending"/>
    <x v="3"/>
    <x v="0"/>
    <x v="0"/>
    <x v="2"/>
    <x v="0"/>
  </r>
  <r>
    <s v="T000100"/>
    <d v="2023-04-10T00:00:00"/>
    <x v="4"/>
    <x v="3"/>
    <x v="3"/>
    <x v="1"/>
    <s v="India"/>
    <x v="5"/>
    <x v="10"/>
    <s v="C00100"/>
    <n v="69"/>
    <s v="Other"/>
    <x v="0"/>
    <x v="0"/>
    <x v="0"/>
    <s v="No Meals"/>
    <n v="36379.15"/>
    <n v="3009.03"/>
    <x v="3"/>
    <s v="Confirmed"/>
    <x v="2"/>
    <x v="32"/>
    <x v="4"/>
    <x v="3"/>
    <x v="1"/>
  </r>
  <r>
    <s v="T000101"/>
    <d v="2023-04-11T00:00:00"/>
    <x v="0"/>
    <x v="0"/>
    <x v="0"/>
    <x v="0"/>
    <s v="India"/>
    <x v="0"/>
    <x v="3"/>
    <s v="C00101"/>
    <n v="37"/>
    <s v="Other"/>
    <x v="3"/>
    <x v="3"/>
    <x v="2"/>
    <s v="Half Board"/>
    <n v="31869.41"/>
    <n v="654"/>
    <x v="1"/>
    <s v="Pending"/>
    <x v="1"/>
    <x v="28"/>
    <x v="3"/>
    <x v="2"/>
    <x v="1"/>
  </r>
  <r>
    <s v="T000102"/>
    <d v="2023-04-12T00:00:00"/>
    <x v="4"/>
    <x v="3"/>
    <x v="3"/>
    <x v="1"/>
    <s v="India"/>
    <x v="5"/>
    <x v="9"/>
    <s v="C00102"/>
    <n v="65"/>
    <s v="Female"/>
    <x v="5"/>
    <x v="3"/>
    <x v="1"/>
    <s v="No Meals"/>
    <n v="27002.13"/>
    <n v="2912.66"/>
    <x v="0"/>
    <s v="Pending"/>
    <x v="0"/>
    <x v="33"/>
    <x v="4"/>
    <x v="1"/>
    <x v="0"/>
  </r>
  <r>
    <s v="T000103"/>
    <d v="2023-04-13T00:00:00"/>
    <x v="0"/>
    <x v="0"/>
    <x v="2"/>
    <x v="0"/>
    <s v="India"/>
    <x v="3"/>
    <x v="1"/>
    <s v="C00103"/>
    <n v="19"/>
    <s v="Male"/>
    <x v="1"/>
    <x v="3"/>
    <x v="0"/>
    <s v="Half Board"/>
    <n v="34959.589999999997"/>
    <n v="444.26"/>
    <x v="3"/>
    <s v="Pending"/>
    <x v="2"/>
    <x v="36"/>
    <x v="4"/>
    <x v="0"/>
    <x v="1"/>
  </r>
  <r>
    <s v="T000104"/>
    <d v="2023-04-14T00:00:00"/>
    <x v="3"/>
    <x v="1"/>
    <x v="4"/>
    <x v="1"/>
    <s v="India"/>
    <x v="6"/>
    <x v="10"/>
    <s v="C00104"/>
    <n v="37"/>
    <s v="Male"/>
    <x v="2"/>
    <x v="3"/>
    <x v="0"/>
    <s v="Full Board"/>
    <n v="21711.34"/>
    <n v="2452.92"/>
    <x v="0"/>
    <s v="Pending"/>
    <x v="2"/>
    <x v="31"/>
    <x v="1"/>
    <x v="3"/>
    <x v="0"/>
  </r>
  <r>
    <s v="T000105"/>
    <d v="2023-04-15T00:00:00"/>
    <x v="4"/>
    <x v="3"/>
    <x v="2"/>
    <x v="0"/>
    <s v="India"/>
    <x v="3"/>
    <x v="3"/>
    <s v="C00105"/>
    <n v="64"/>
    <s v="Male"/>
    <x v="1"/>
    <x v="0"/>
    <x v="1"/>
    <s v="Full Board"/>
    <n v="47501.81"/>
    <n v="3102.07"/>
    <x v="0"/>
    <s v="Cancelled"/>
    <x v="1"/>
    <x v="34"/>
    <x v="1"/>
    <x v="1"/>
    <x v="0"/>
  </r>
  <r>
    <s v="T000106"/>
    <d v="2023-04-16T00:00:00"/>
    <x v="1"/>
    <x v="1"/>
    <x v="3"/>
    <x v="1"/>
    <s v="India"/>
    <x v="5"/>
    <x v="1"/>
    <s v="C00106"/>
    <n v="35"/>
    <s v="Other"/>
    <x v="5"/>
    <x v="1"/>
    <x v="0"/>
    <s v="Breakfast Only"/>
    <n v="36745.199999999997"/>
    <n v="350.55"/>
    <x v="3"/>
    <s v="Pending"/>
    <x v="2"/>
    <x v="11"/>
    <x v="0"/>
    <x v="3"/>
    <x v="1"/>
  </r>
  <r>
    <s v="T000107"/>
    <d v="2023-04-17T00:00:00"/>
    <x v="2"/>
    <x v="2"/>
    <x v="0"/>
    <x v="0"/>
    <s v="India"/>
    <x v="4"/>
    <x v="3"/>
    <s v="C00107"/>
    <n v="18"/>
    <s v="Female"/>
    <x v="1"/>
    <x v="0"/>
    <x v="3"/>
    <s v="Breakfast Only"/>
    <n v="38939.050000000003"/>
    <n v="1034.77"/>
    <x v="1"/>
    <s v="Confirmed"/>
    <x v="0"/>
    <x v="33"/>
    <x v="4"/>
    <x v="1"/>
    <x v="1"/>
  </r>
  <r>
    <s v="T000108"/>
    <d v="2023-04-18T00:00:00"/>
    <x v="0"/>
    <x v="0"/>
    <x v="0"/>
    <x v="0"/>
    <s v="India"/>
    <x v="4"/>
    <x v="4"/>
    <s v="C00108"/>
    <n v="46"/>
    <s v="Male"/>
    <x v="5"/>
    <x v="3"/>
    <x v="0"/>
    <s v="Breakfast Only"/>
    <n v="15908.99"/>
    <n v="1676.87"/>
    <x v="0"/>
    <s v="Pending"/>
    <x v="1"/>
    <x v="22"/>
    <x v="4"/>
    <x v="3"/>
    <x v="1"/>
  </r>
  <r>
    <s v="T000109"/>
    <d v="2023-04-19T00:00:00"/>
    <x v="2"/>
    <x v="2"/>
    <x v="3"/>
    <x v="1"/>
    <s v="India"/>
    <x v="5"/>
    <x v="2"/>
    <s v="C00109"/>
    <n v="46"/>
    <s v="Male"/>
    <x v="2"/>
    <x v="2"/>
    <x v="0"/>
    <s v="Breakfast Only"/>
    <n v="12586.19"/>
    <n v="1842.99"/>
    <x v="3"/>
    <s v="Pending"/>
    <x v="0"/>
    <x v="8"/>
    <x v="0"/>
    <x v="4"/>
    <x v="0"/>
  </r>
  <r>
    <s v="T000110"/>
    <d v="2023-04-20T00:00:00"/>
    <x v="2"/>
    <x v="2"/>
    <x v="0"/>
    <x v="0"/>
    <s v="India"/>
    <x v="4"/>
    <x v="6"/>
    <s v="C00110"/>
    <n v="36"/>
    <s v="Female"/>
    <x v="4"/>
    <x v="0"/>
    <x v="3"/>
    <s v="Half Board"/>
    <n v="22745.34"/>
    <n v="3380.52"/>
    <x v="1"/>
    <s v="Pending"/>
    <x v="3"/>
    <x v="10"/>
    <x v="1"/>
    <x v="3"/>
    <x v="0"/>
  </r>
  <r>
    <s v="T000111"/>
    <d v="2023-04-21T00:00:00"/>
    <x v="4"/>
    <x v="3"/>
    <x v="1"/>
    <x v="1"/>
    <s v="India"/>
    <x v="1"/>
    <x v="3"/>
    <s v="C00111"/>
    <n v="61"/>
    <s v="Other"/>
    <x v="2"/>
    <x v="2"/>
    <x v="2"/>
    <s v="Full Board"/>
    <n v="39500.26"/>
    <n v="2645.11"/>
    <x v="2"/>
    <s v="Cancelled"/>
    <x v="2"/>
    <x v="10"/>
    <x v="1"/>
    <x v="4"/>
    <x v="0"/>
  </r>
  <r>
    <s v="T000112"/>
    <d v="2023-04-22T00:00:00"/>
    <x v="2"/>
    <x v="2"/>
    <x v="4"/>
    <x v="1"/>
    <s v="India"/>
    <x v="6"/>
    <x v="1"/>
    <s v="C00112"/>
    <n v="57"/>
    <s v="Other"/>
    <x v="4"/>
    <x v="2"/>
    <x v="2"/>
    <s v="Half Board"/>
    <n v="47245.82"/>
    <n v="1910.54"/>
    <x v="1"/>
    <s v="Pending"/>
    <x v="0"/>
    <x v="6"/>
    <x v="3"/>
    <x v="2"/>
    <x v="1"/>
  </r>
  <r>
    <s v="T000113"/>
    <d v="2023-04-23T00:00:00"/>
    <x v="1"/>
    <x v="1"/>
    <x v="4"/>
    <x v="1"/>
    <s v="India"/>
    <x v="6"/>
    <x v="3"/>
    <s v="C00113"/>
    <n v="23"/>
    <s v="Male"/>
    <x v="6"/>
    <x v="3"/>
    <x v="3"/>
    <s v="No Meals"/>
    <n v="24229.84"/>
    <n v="2253.38"/>
    <x v="1"/>
    <s v="Pending"/>
    <x v="0"/>
    <x v="15"/>
    <x v="0"/>
    <x v="3"/>
    <x v="0"/>
  </r>
  <r>
    <s v="T000114"/>
    <d v="2023-04-24T00:00:00"/>
    <x v="2"/>
    <x v="2"/>
    <x v="4"/>
    <x v="1"/>
    <s v="India"/>
    <x v="6"/>
    <x v="6"/>
    <s v="C00114"/>
    <n v="61"/>
    <s v="Male"/>
    <x v="4"/>
    <x v="0"/>
    <x v="0"/>
    <s v="No Meals"/>
    <n v="39837.06"/>
    <n v="64.88"/>
    <x v="3"/>
    <s v="Pending"/>
    <x v="3"/>
    <x v="11"/>
    <x v="0"/>
    <x v="2"/>
    <x v="0"/>
  </r>
  <r>
    <s v="T000115"/>
    <d v="2023-04-25T00:00:00"/>
    <x v="4"/>
    <x v="3"/>
    <x v="0"/>
    <x v="0"/>
    <s v="India"/>
    <x v="4"/>
    <x v="7"/>
    <s v="C00115"/>
    <n v="56"/>
    <s v="Female"/>
    <x v="0"/>
    <x v="1"/>
    <x v="1"/>
    <s v="No Meals"/>
    <n v="26168.34"/>
    <n v="3852.63"/>
    <x v="1"/>
    <s v="Confirmed"/>
    <x v="2"/>
    <x v="18"/>
    <x v="0"/>
    <x v="0"/>
    <x v="0"/>
  </r>
  <r>
    <s v="T000116"/>
    <d v="2023-04-26T00:00:00"/>
    <x v="1"/>
    <x v="1"/>
    <x v="0"/>
    <x v="0"/>
    <s v="India"/>
    <x v="4"/>
    <x v="10"/>
    <s v="C00116"/>
    <n v="67"/>
    <s v="Male"/>
    <x v="0"/>
    <x v="0"/>
    <x v="3"/>
    <s v="No Meals"/>
    <n v="18285.27"/>
    <n v="205.02"/>
    <x v="2"/>
    <s v="Cancelled"/>
    <x v="0"/>
    <x v="37"/>
    <x v="2"/>
    <x v="4"/>
    <x v="1"/>
  </r>
  <r>
    <s v="T000117"/>
    <d v="2023-04-27T00:00:00"/>
    <x v="3"/>
    <x v="1"/>
    <x v="2"/>
    <x v="0"/>
    <s v="India"/>
    <x v="2"/>
    <x v="1"/>
    <s v="C00117"/>
    <n v="63"/>
    <s v="Female"/>
    <x v="2"/>
    <x v="1"/>
    <x v="1"/>
    <s v="No Meals"/>
    <n v="38266.93"/>
    <n v="4146.59"/>
    <x v="2"/>
    <s v="Cancelled"/>
    <x v="1"/>
    <x v="7"/>
    <x v="3"/>
    <x v="3"/>
    <x v="0"/>
  </r>
  <r>
    <s v="T000118"/>
    <d v="2023-04-28T00:00:00"/>
    <x v="2"/>
    <x v="2"/>
    <x v="2"/>
    <x v="0"/>
    <s v="India"/>
    <x v="2"/>
    <x v="7"/>
    <s v="C00118"/>
    <n v="25"/>
    <s v="Male"/>
    <x v="0"/>
    <x v="1"/>
    <x v="2"/>
    <s v="Full Board"/>
    <n v="40919.1"/>
    <n v="2704.98"/>
    <x v="0"/>
    <s v="Cancelled"/>
    <x v="0"/>
    <x v="20"/>
    <x v="0"/>
    <x v="2"/>
    <x v="1"/>
  </r>
  <r>
    <s v="T000119"/>
    <d v="2023-04-29T00:00:00"/>
    <x v="4"/>
    <x v="3"/>
    <x v="4"/>
    <x v="1"/>
    <s v="India"/>
    <x v="6"/>
    <x v="3"/>
    <s v="C00119"/>
    <n v="41"/>
    <s v="Male"/>
    <x v="0"/>
    <x v="3"/>
    <x v="3"/>
    <s v="Half Board"/>
    <n v="14127.84"/>
    <n v="2639.1"/>
    <x v="2"/>
    <s v="Confirmed"/>
    <x v="0"/>
    <x v="29"/>
    <x v="1"/>
    <x v="1"/>
    <x v="1"/>
  </r>
  <r>
    <s v="T000120"/>
    <d v="2023-04-30T00:00:00"/>
    <x v="3"/>
    <x v="1"/>
    <x v="1"/>
    <x v="1"/>
    <s v="India"/>
    <x v="1"/>
    <x v="3"/>
    <s v="C00120"/>
    <n v="37"/>
    <s v="Male"/>
    <x v="6"/>
    <x v="1"/>
    <x v="1"/>
    <s v="No Meals"/>
    <n v="18732.63"/>
    <n v="3522.89"/>
    <x v="0"/>
    <s v="Pending"/>
    <x v="0"/>
    <x v="2"/>
    <x v="3"/>
    <x v="2"/>
    <x v="0"/>
  </r>
  <r>
    <s v="T000121"/>
    <d v="2023-05-01T00:00:00"/>
    <x v="3"/>
    <x v="1"/>
    <x v="2"/>
    <x v="0"/>
    <s v="India"/>
    <x v="2"/>
    <x v="8"/>
    <s v="C00121"/>
    <n v="31"/>
    <s v="Other"/>
    <x v="0"/>
    <x v="0"/>
    <x v="0"/>
    <s v="Breakfast Only"/>
    <n v="27264.959999999999"/>
    <n v="4297.8"/>
    <x v="2"/>
    <s v="Confirmed"/>
    <x v="0"/>
    <x v="9"/>
    <x v="4"/>
    <x v="3"/>
    <x v="0"/>
  </r>
  <r>
    <s v="T000122"/>
    <d v="2023-05-02T00:00:00"/>
    <x v="0"/>
    <x v="0"/>
    <x v="2"/>
    <x v="0"/>
    <s v="India"/>
    <x v="2"/>
    <x v="1"/>
    <s v="C00122"/>
    <n v="22"/>
    <s v="Female"/>
    <x v="3"/>
    <x v="0"/>
    <x v="3"/>
    <s v="Full Board"/>
    <n v="13393.48"/>
    <n v="4713.2299999999996"/>
    <x v="1"/>
    <s v="Cancelled"/>
    <x v="2"/>
    <x v="13"/>
    <x v="0"/>
    <x v="0"/>
    <x v="0"/>
  </r>
  <r>
    <s v="T000123"/>
    <d v="2023-05-03T00:00:00"/>
    <x v="1"/>
    <x v="1"/>
    <x v="0"/>
    <x v="0"/>
    <s v="India"/>
    <x v="4"/>
    <x v="4"/>
    <s v="C00123"/>
    <n v="58"/>
    <s v="Female"/>
    <x v="3"/>
    <x v="2"/>
    <x v="1"/>
    <s v="Breakfast Only"/>
    <n v="46797.54"/>
    <n v="2716.85"/>
    <x v="0"/>
    <s v="Cancelled"/>
    <x v="0"/>
    <x v="24"/>
    <x v="0"/>
    <x v="4"/>
    <x v="1"/>
  </r>
  <r>
    <s v="T000124"/>
    <d v="2023-05-04T00:00:00"/>
    <x v="2"/>
    <x v="2"/>
    <x v="1"/>
    <x v="1"/>
    <s v="India"/>
    <x v="1"/>
    <x v="3"/>
    <s v="C00124"/>
    <n v="57"/>
    <s v="Other"/>
    <x v="3"/>
    <x v="1"/>
    <x v="3"/>
    <s v="Full Board"/>
    <n v="31610.03"/>
    <n v="753.29"/>
    <x v="2"/>
    <s v="Cancelled"/>
    <x v="3"/>
    <x v="29"/>
    <x v="1"/>
    <x v="1"/>
    <x v="1"/>
  </r>
  <r>
    <s v="T000125"/>
    <d v="2023-05-05T00:00:00"/>
    <x v="4"/>
    <x v="3"/>
    <x v="4"/>
    <x v="1"/>
    <s v="India"/>
    <x v="6"/>
    <x v="9"/>
    <s v="C00125"/>
    <n v="51"/>
    <s v="Other"/>
    <x v="4"/>
    <x v="3"/>
    <x v="3"/>
    <s v="Full Board"/>
    <n v="10454.15"/>
    <n v="4393.1499999999996"/>
    <x v="1"/>
    <s v="Confirmed"/>
    <x v="0"/>
    <x v="0"/>
    <x v="0"/>
    <x v="2"/>
    <x v="1"/>
  </r>
  <r>
    <s v="T000126"/>
    <d v="2023-05-06T00:00:00"/>
    <x v="0"/>
    <x v="0"/>
    <x v="2"/>
    <x v="0"/>
    <s v="India"/>
    <x v="2"/>
    <x v="0"/>
    <s v="C00126"/>
    <n v="33"/>
    <s v="Other"/>
    <x v="2"/>
    <x v="3"/>
    <x v="2"/>
    <s v="Breakfast Only"/>
    <n v="13281.34"/>
    <n v="203.36"/>
    <x v="1"/>
    <s v="Cancelled"/>
    <x v="1"/>
    <x v="34"/>
    <x v="1"/>
    <x v="3"/>
    <x v="1"/>
  </r>
  <r>
    <s v="T000127"/>
    <d v="2023-05-07T00:00:00"/>
    <x v="1"/>
    <x v="1"/>
    <x v="1"/>
    <x v="1"/>
    <s v="India"/>
    <x v="1"/>
    <x v="11"/>
    <s v="C00127"/>
    <n v="62"/>
    <s v="Female"/>
    <x v="2"/>
    <x v="0"/>
    <x v="2"/>
    <s v="Breakfast Only"/>
    <n v="47945.99"/>
    <n v="4036.69"/>
    <x v="0"/>
    <s v="Pending"/>
    <x v="1"/>
    <x v="15"/>
    <x v="0"/>
    <x v="3"/>
    <x v="0"/>
  </r>
  <r>
    <s v="T000128"/>
    <d v="2023-05-08T00:00:00"/>
    <x v="0"/>
    <x v="0"/>
    <x v="1"/>
    <x v="1"/>
    <s v="India"/>
    <x v="1"/>
    <x v="0"/>
    <s v="C00128"/>
    <n v="24"/>
    <s v="Male"/>
    <x v="1"/>
    <x v="1"/>
    <x v="0"/>
    <s v="No Meals"/>
    <n v="38217.589999999997"/>
    <n v="3402.11"/>
    <x v="3"/>
    <s v="Confirmed"/>
    <x v="0"/>
    <x v="24"/>
    <x v="0"/>
    <x v="4"/>
    <x v="0"/>
  </r>
  <r>
    <s v="T000129"/>
    <d v="2023-05-09T00:00:00"/>
    <x v="1"/>
    <x v="1"/>
    <x v="4"/>
    <x v="1"/>
    <s v="India"/>
    <x v="6"/>
    <x v="4"/>
    <s v="C00129"/>
    <n v="33"/>
    <s v="Other"/>
    <x v="6"/>
    <x v="3"/>
    <x v="2"/>
    <s v="Breakfast Only"/>
    <n v="38048.230000000003"/>
    <n v="4523.6400000000003"/>
    <x v="1"/>
    <s v="Pending"/>
    <x v="0"/>
    <x v="3"/>
    <x v="3"/>
    <x v="1"/>
    <x v="1"/>
  </r>
  <r>
    <s v="T000130"/>
    <d v="2023-05-10T00:00:00"/>
    <x v="1"/>
    <x v="1"/>
    <x v="1"/>
    <x v="1"/>
    <s v="India"/>
    <x v="1"/>
    <x v="10"/>
    <s v="C00130"/>
    <n v="24"/>
    <s v="Other"/>
    <x v="3"/>
    <x v="1"/>
    <x v="2"/>
    <s v="Half Board"/>
    <n v="8262.44"/>
    <n v="4487.32"/>
    <x v="1"/>
    <s v="Cancelled"/>
    <x v="3"/>
    <x v="23"/>
    <x v="1"/>
    <x v="2"/>
    <x v="1"/>
  </r>
  <r>
    <s v="T000131"/>
    <d v="2023-05-11T00:00:00"/>
    <x v="2"/>
    <x v="2"/>
    <x v="1"/>
    <x v="1"/>
    <s v="India"/>
    <x v="1"/>
    <x v="2"/>
    <s v="C00131"/>
    <n v="44"/>
    <s v="Other"/>
    <x v="3"/>
    <x v="1"/>
    <x v="2"/>
    <s v="Full Board"/>
    <n v="45288.45"/>
    <n v="265.77"/>
    <x v="3"/>
    <s v="Cancelled"/>
    <x v="3"/>
    <x v="34"/>
    <x v="1"/>
    <x v="2"/>
    <x v="1"/>
  </r>
  <r>
    <s v="T000132"/>
    <d v="2023-05-12T00:00:00"/>
    <x v="1"/>
    <x v="1"/>
    <x v="1"/>
    <x v="1"/>
    <s v="India"/>
    <x v="1"/>
    <x v="5"/>
    <s v="C00132"/>
    <n v="31"/>
    <s v="Male"/>
    <x v="0"/>
    <x v="2"/>
    <x v="1"/>
    <s v="Full Board"/>
    <n v="24968.09"/>
    <n v="3047.23"/>
    <x v="0"/>
    <s v="Confirmed"/>
    <x v="2"/>
    <x v="21"/>
    <x v="0"/>
    <x v="2"/>
    <x v="1"/>
  </r>
  <r>
    <s v="T000133"/>
    <d v="2023-05-13T00:00:00"/>
    <x v="0"/>
    <x v="0"/>
    <x v="2"/>
    <x v="0"/>
    <s v="India"/>
    <x v="3"/>
    <x v="9"/>
    <s v="C00133"/>
    <n v="31"/>
    <s v="Male"/>
    <x v="3"/>
    <x v="3"/>
    <x v="3"/>
    <s v="No Meals"/>
    <n v="34687.279999999999"/>
    <n v="623.36"/>
    <x v="2"/>
    <s v="Pending"/>
    <x v="2"/>
    <x v="26"/>
    <x v="0"/>
    <x v="4"/>
    <x v="1"/>
  </r>
  <r>
    <s v="T000134"/>
    <d v="2023-05-14T00:00:00"/>
    <x v="1"/>
    <x v="1"/>
    <x v="4"/>
    <x v="1"/>
    <s v="India"/>
    <x v="6"/>
    <x v="5"/>
    <s v="C00134"/>
    <n v="61"/>
    <s v="Other"/>
    <x v="0"/>
    <x v="2"/>
    <x v="2"/>
    <s v="Full Board"/>
    <n v="48186.01"/>
    <n v="392.34"/>
    <x v="2"/>
    <s v="Confirmed"/>
    <x v="1"/>
    <x v="24"/>
    <x v="0"/>
    <x v="4"/>
    <x v="1"/>
  </r>
  <r>
    <s v="T000135"/>
    <d v="2023-05-15T00:00:00"/>
    <x v="2"/>
    <x v="2"/>
    <x v="1"/>
    <x v="1"/>
    <s v="India"/>
    <x v="1"/>
    <x v="3"/>
    <s v="C00135"/>
    <n v="50"/>
    <s v="Male"/>
    <x v="0"/>
    <x v="3"/>
    <x v="1"/>
    <s v="Breakfast Only"/>
    <n v="9500.56"/>
    <n v="2241.39"/>
    <x v="1"/>
    <s v="Pending"/>
    <x v="0"/>
    <x v="25"/>
    <x v="3"/>
    <x v="1"/>
    <x v="1"/>
  </r>
  <r>
    <s v="T000136"/>
    <d v="2023-05-16T00:00:00"/>
    <x v="2"/>
    <x v="2"/>
    <x v="1"/>
    <x v="1"/>
    <s v="India"/>
    <x v="1"/>
    <x v="6"/>
    <s v="C00136"/>
    <n v="50"/>
    <s v="Other"/>
    <x v="1"/>
    <x v="1"/>
    <x v="3"/>
    <s v="Full Board"/>
    <n v="26702.44"/>
    <n v="487.99"/>
    <x v="3"/>
    <s v="Cancelled"/>
    <x v="0"/>
    <x v="10"/>
    <x v="1"/>
    <x v="2"/>
    <x v="1"/>
  </r>
  <r>
    <s v="T000137"/>
    <d v="2023-05-17T00:00:00"/>
    <x v="0"/>
    <x v="0"/>
    <x v="2"/>
    <x v="0"/>
    <s v="India"/>
    <x v="3"/>
    <x v="10"/>
    <s v="C00137"/>
    <n v="61"/>
    <s v="Male"/>
    <x v="4"/>
    <x v="3"/>
    <x v="2"/>
    <s v="Full Board"/>
    <n v="7232.57"/>
    <n v="3639.51"/>
    <x v="1"/>
    <s v="Confirmed"/>
    <x v="3"/>
    <x v="13"/>
    <x v="0"/>
    <x v="2"/>
    <x v="0"/>
  </r>
  <r>
    <s v="T000138"/>
    <d v="2023-05-18T00:00:00"/>
    <x v="3"/>
    <x v="1"/>
    <x v="4"/>
    <x v="1"/>
    <s v="India"/>
    <x v="6"/>
    <x v="7"/>
    <s v="C00138"/>
    <n v="37"/>
    <s v="Female"/>
    <x v="0"/>
    <x v="0"/>
    <x v="2"/>
    <s v="Breakfast Only"/>
    <n v="27479.54"/>
    <n v="4844.7"/>
    <x v="0"/>
    <s v="Confirmed"/>
    <x v="3"/>
    <x v="11"/>
    <x v="0"/>
    <x v="1"/>
    <x v="0"/>
  </r>
  <r>
    <s v="T000139"/>
    <d v="2023-05-19T00:00:00"/>
    <x v="3"/>
    <x v="1"/>
    <x v="0"/>
    <x v="0"/>
    <s v="India"/>
    <x v="4"/>
    <x v="3"/>
    <s v="C00139"/>
    <n v="64"/>
    <s v="Female"/>
    <x v="0"/>
    <x v="1"/>
    <x v="3"/>
    <s v="Breakfast Only"/>
    <n v="16351.67"/>
    <n v="2847.91"/>
    <x v="1"/>
    <s v="Pending"/>
    <x v="2"/>
    <x v="32"/>
    <x v="4"/>
    <x v="1"/>
    <x v="1"/>
  </r>
  <r>
    <s v="T000140"/>
    <d v="2023-05-20T00:00:00"/>
    <x v="1"/>
    <x v="1"/>
    <x v="2"/>
    <x v="0"/>
    <s v="India"/>
    <x v="2"/>
    <x v="5"/>
    <s v="C00140"/>
    <n v="53"/>
    <s v="Male"/>
    <x v="2"/>
    <x v="3"/>
    <x v="1"/>
    <s v="Full Board"/>
    <n v="45997.95"/>
    <n v="1175.8399999999999"/>
    <x v="2"/>
    <s v="Cancelled"/>
    <x v="2"/>
    <x v="30"/>
    <x v="0"/>
    <x v="1"/>
    <x v="0"/>
  </r>
  <r>
    <s v="T000141"/>
    <d v="2023-05-21T00:00:00"/>
    <x v="4"/>
    <x v="3"/>
    <x v="4"/>
    <x v="1"/>
    <s v="India"/>
    <x v="6"/>
    <x v="3"/>
    <s v="C00141"/>
    <n v="24"/>
    <s v="Female"/>
    <x v="1"/>
    <x v="2"/>
    <x v="1"/>
    <s v="Half Board"/>
    <n v="22932.16"/>
    <n v="4216.03"/>
    <x v="3"/>
    <s v="Cancelled"/>
    <x v="1"/>
    <x v="38"/>
    <x v="0"/>
    <x v="3"/>
    <x v="0"/>
  </r>
  <r>
    <s v="T000142"/>
    <d v="2023-05-22T00:00:00"/>
    <x v="1"/>
    <x v="1"/>
    <x v="1"/>
    <x v="1"/>
    <s v="India"/>
    <x v="1"/>
    <x v="11"/>
    <s v="C00142"/>
    <n v="49"/>
    <s v="Female"/>
    <x v="0"/>
    <x v="2"/>
    <x v="0"/>
    <s v="Breakfast Only"/>
    <n v="33524.26"/>
    <n v="4265.5200000000004"/>
    <x v="0"/>
    <s v="Pending"/>
    <x v="3"/>
    <x v="8"/>
    <x v="0"/>
    <x v="1"/>
    <x v="0"/>
  </r>
  <r>
    <s v="T000143"/>
    <d v="2023-05-23T00:00:00"/>
    <x v="0"/>
    <x v="0"/>
    <x v="4"/>
    <x v="1"/>
    <s v="India"/>
    <x v="6"/>
    <x v="8"/>
    <s v="C00143"/>
    <n v="65"/>
    <s v="Female"/>
    <x v="6"/>
    <x v="1"/>
    <x v="3"/>
    <s v="Half Board"/>
    <n v="43712.93"/>
    <n v="3663.93"/>
    <x v="1"/>
    <s v="Pending"/>
    <x v="0"/>
    <x v="27"/>
    <x v="0"/>
    <x v="0"/>
    <x v="1"/>
  </r>
  <r>
    <s v="T000144"/>
    <d v="2023-05-24T00:00:00"/>
    <x v="0"/>
    <x v="0"/>
    <x v="4"/>
    <x v="1"/>
    <s v="India"/>
    <x v="6"/>
    <x v="11"/>
    <s v="C00144"/>
    <n v="20"/>
    <s v="Other"/>
    <x v="4"/>
    <x v="2"/>
    <x v="0"/>
    <s v="Half Board"/>
    <n v="49266.13"/>
    <n v="3075.66"/>
    <x v="2"/>
    <s v="Pending"/>
    <x v="3"/>
    <x v="35"/>
    <x v="2"/>
    <x v="4"/>
    <x v="1"/>
  </r>
  <r>
    <s v="T000145"/>
    <d v="2023-05-25T00:00:00"/>
    <x v="0"/>
    <x v="0"/>
    <x v="4"/>
    <x v="1"/>
    <s v="India"/>
    <x v="6"/>
    <x v="10"/>
    <s v="C00145"/>
    <n v="56"/>
    <s v="Male"/>
    <x v="6"/>
    <x v="1"/>
    <x v="1"/>
    <s v="No Meals"/>
    <n v="27671.87"/>
    <n v="4338.96"/>
    <x v="1"/>
    <s v="Pending"/>
    <x v="3"/>
    <x v="0"/>
    <x v="0"/>
    <x v="1"/>
    <x v="1"/>
  </r>
  <r>
    <s v="T000146"/>
    <d v="2023-05-26T00:00:00"/>
    <x v="0"/>
    <x v="0"/>
    <x v="0"/>
    <x v="0"/>
    <s v="India"/>
    <x v="4"/>
    <x v="6"/>
    <s v="C00146"/>
    <n v="46"/>
    <s v="Male"/>
    <x v="3"/>
    <x v="1"/>
    <x v="2"/>
    <s v="Half Board"/>
    <n v="25509.1"/>
    <n v="816.46"/>
    <x v="2"/>
    <s v="Pending"/>
    <x v="3"/>
    <x v="25"/>
    <x v="2"/>
    <x v="3"/>
    <x v="0"/>
  </r>
  <r>
    <s v="T000147"/>
    <d v="2023-05-27T00:00:00"/>
    <x v="0"/>
    <x v="0"/>
    <x v="4"/>
    <x v="1"/>
    <s v="India"/>
    <x v="6"/>
    <x v="7"/>
    <s v="C00147"/>
    <n v="41"/>
    <s v="Male"/>
    <x v="4"/>
    <x v="1"/>
    <x v="0"/>
    <s v="No Meals"/>
    <n v="8408.2800000000007"/>
    <n v="4658"/>
    <x v="3"/>
    <s v="Cancelled"/>
    <x v="2"/>
    <x v="24"/>
    <x v="0"/>
    <x v="0"/>
    <x v="1"/>
  </r>
  <r>
    <s v="T000148"/>
    <d v="2023-05-28T00:00:00"/>
    <x v="2"/>
    <x v="2"/>
    <x v="0"/>
    <x v="0"/>
    <s v="India"/>
    <x v="0"/>
    <x v="11"/>
    <s v="C00148"/>
    <n v="39"/>
    <s v="Female"/>
    <x v="3"/>
    <x v="3"/>
    <x v="1"/>
    <s v="Half Board"/>
    <n v="5573.25"/>
    <n v="4736.0200000000004"/>
    <x v="0"/>
    <s v="Cancelled"/>
    <x v="0"/>
    <x v="22"/>
    <x v="4"/>
    <x v="3"/>
    <x v="0"/>
  </r>
  <r>
    <s v="T000149"/>
    <d v="2023-05-29T00:00:00"/>
    <x v="3"/>
    <x v="1"/>
    <x v="1"/>
    <x v="1"/>
    <s v="India"/>
    <x v="1"/>
    <x v="1"/>
    <s v="C00149"/>
    <n v="23"/>
    <s v="Other"/>
    <x v="2"/>
    <x v="1"/>
    <x v="1"/>
    <s v="No Meals"/>
    <n v="32396.09"/>
    <n v="4359.96"/>
    <x v="1"/>
    <s v="Confirmed"/>
    <x v="0"/>
    <x v="27"/>
    <x v="0"/>
    <x v="3"/>
    <x v="1"/>
  </r>
  <r>
    <s v="T000150"/>
    <d v="2023-05-30T00:00:00"/>
    <x v="0"/>
    <x v="0"/>
    <x v="0"/>
    <x v="0"/>
    <s v="India"/>
    <x v="4"/>
    <x v="7"/>
    <s v="C00150"/>
    <n v="65"/>
    <s v="Male"/>
    <x v="5"/>
    <x v="2"/>
    <x v="2"/>
    <s v="Breakfast Only"/>
    <n v="7945.9"/>
    <n v="1253.31"/>
    <x v="0"/>
    <s v="Cancelled"/>
    <x v="2"/>
    <x v="32"/>
    <x v="4"/>
    <x v="3"/>
    <x v="1"/>
  </r>
  <r>
    <s v="T000151"/>
    <d v="2023-05-31T00:00:00"/>
    <x v="4"/>
    <x v="3"/>
    <x v="1"/>
    <x v="1"/>
    <s v="India"/>
    <x v="1"/>
    <x v="6"/>
    <s v="C00151"/>
    <n v="41"/>
    <s v="Female"/>
    <x v="5"/>
    <x v="0"/>
    <x v="3"/>
    <s v="Full Board"/>
    <n v="22117.05"/>
    <n v="4290.8900000000003"/>
    <x v="3"/>
    <s v="Pending"/>
    <x v="2"/>
    <x v="38"/>
    <x v="0"/>
    <x v="3"/>
    <x v="0"/>
  </r>
  <r>
    <s v="T000152"/>
    <d v="2023-06-01T00:00:00"/>
    <x v="4"/>
    <x v="3"/>
    <x v="1"/>
    <x v="1"/>
    <s v="India"/>
    <x v="1"/>
    <x v="5"/>
    <s v="C00152"/>
    <n v="57"/>
    <s v="Other"/>
    <x v="5"/>
    <x v="3"/>
    <x v="1"/>
    <s v="Full Board"/>
    <n v="5162.29"/>
    <n v="2488.19"/>
    <x v="2"/>
    <s v="Cancelled"/>
    <x v="0"/>
    <x v="0"/>
    <x v="0"/>
    <x v="2"/>
    <x v="1"/>
  </r>
  <r>
    <s v="T000153"/>
    <d v="2023-06-02T00:00:00"/>
    <x v="4"/>
    <x v="3"/>
    <x v="0"/>
    <x v="0"/>
    <s v="India"/>
    <x v="0"/>
    <x v="11"/>
    <s v="C00153"/>
    <n v="40"/>
    <s v="Other"/>
    <x v="0"/>
    <x v="2"/>
    <x v="0"/>
    <s v="No Meals"/>
    <n v="32685.24"/>
    <n v="2974.65"/>
    <x v="3"/>
    <s v="Cancelled"/>
    <x v="1"/>
    <x v="29"/>
    <x v="1"/>
    <x v="4"/>
    <x v="0"/>
  </r>
  <r>
    <s v="T000154"/>
    <d v="2023-06-03T00:00:00"/>
    <x v="4"/>
    <x v="3"/>
    <x v="2"/>
    <x v="0"/>
    <s v="India"/>
    <x v="3"/>
    <x v="8"/>
    <s v="C00154"/>
    <n v="55"/>
    <s v="Male"/>
    <x v="1"/>
    <x v="1"/>
    <x v="2"/>
    <s v="Breakfast Only"/>
    <n v="24143.68"/>
    <n v="4203"/>
    <x v="3"/>
    <s v="Cancelled"/>
    <x v="3"/>
    <x v="7"/>
    <x v="3"/>
    <x v="2"/>
    <x v="1"/>
  </r>
  <r>
    <s v="T000155"/>
    <d v="2023-06-04T00:00:00"/>
    <x v="2"/>
    <x v="2"/>
    <x v="3"/>
    <x v="1"/>
    <s v="India"/>
    <x v="5"/>
    <x v="7"/>
    <s v="C00155"/>
    <n v="27"/>
    <s v="Male"/>
    <x v="6"/>
    <x v="1"/>
    <x v="3"/>
    <s v="No Meals"/>
    <n v="10715.93"/>
    <n v="147.91"/>
    <x v="0"/>
    <s v="Confirmed"/>
    <x v="0"/>
    <x v="20"/>
    <x v="0"/>
    <x v="0"/>
    <x v="1"/>
  </r>
  <r>
    <s v="T000156"/>
    <d v="2023-06-05T00:00:00"/>
    <x v="4"/>
    <x v="3"/>
    <x v="4"/>
    <x v="1"/>
    <s v="India"/>
    <x v="6"/>
    <x v="3"/>
    <s v="C00156"/>
    <n v="33"/>
    <s v="Female"/>
    <x v="3"/>
    <x v="0"/>
    <x v="3"/>
    <s v="No Meals"/>
    <n v="18336.54"/>
    <n v="1814.71"/>
    <x v="3"/>
    <s v="Confirmed"/>
    <x v="2"/>
    <x v="13"/>
    <x v="0"/>
    <x v="2"/>
    <x v="1"/>
  </r>
  <r>
    <s v="T000157"/>
    <d v="2023-06-06T00:00:00"/>
    <x v="0"/>
    <x v="0"/>
    <x v="3"/>
    <x v="1"/>
    <s v="India"/>
    <x v="5"/>
    <x v="8"/>
    <s v="C00157"/>
    <n v="28"/>
    <s v="Male"/>
    <x v="0"/>
    <x v="2"/>
    <x v="3"/>
    <s v="Breakfast Only"/>
    <n v="30634.73"/>
    <n v="4078.47"/>
    <x v="1"/>
    <s v="Pending"/>
    <x v="0"/>
    <x v="1"/>
    <x v="1"/>
    <x v="0"/>
    <x v="0"/>
  </r>
  <r>
    <s v="T000158"/>
    <d v="2023-06-07T00:00:00"/>
    <x v="1"/>
    <x v="1"/>
    <x v="4"/>
    <x v="1"/>
    <s v="India"/>
    <x v="6"/>
    <x v="3"/>
    <s v="C00158"/>
    <n v="49"/>
    <s v="Female"/>
    <x v="5"/>
    <x v="3"/>
    <x v="1"/>
    <s v="Half Board"/>
    <n v="34552.1"/>
    <n v="4069.77"/>
    <x v="2"/>
    <s v="Pending"/>
    <x v="3"/>
    <x v="33"/>
    <x v="4"/>
    <x v="1"/>
    <x v="1"/>
  </r>
  <r>
    <s v="T000159"/>
    <d v="2023-06-08T00:00:00"/>
    <x v="4"/>
    <x v="3"/>
    <x v="4"/>
    <x v="1"/>
    <s v="India"/>
    <x v="6"/>
    <x v="6"/>
    <s v="C00159"/>
    <n v="62"/>
    <s v="Other"/>
    <x v="6"/>
    <x v="2"/>
    <x v="3"/>
    <s v="Half Board"/>
    <n v="25805.11"/>
    <n v="4243.4399999999996"/>
    <x v="3"/>
    <s v="Confirmed"/>
    <x v="0"/>
    <x v="0"/>
    <x v="0"/>
    <x v="0"/>
    <x v="0"/>
  </r>
  <r>
    <s v="T000160"/>
    <d v="2023-06-09T00:00:00"/>
    <x v="2"/>
    <x v="2"/>
    <x v="1"/>
    <x v="1"/>
    <s v="India"/>
    <x v="1"/>
    <x v="11"/>
    <s v="C00160"/>
    <n v="23"/>
    <s v="Other"/>
    <x v="6"/>
    <x v="1"/>
    <x v="1"/>
    <s v="Breakfast Only"/>
    <n v="41178.160000000003"/>
    <n v="846.08"/>
    <x v="1"/>
    <s v="Cancelled"/>
    <x v="2"/>
    <x v="0"/>
    <x v="0"/>
    <x v="2"/>
    <x v="0"/>
  </r>
  <r>
    <s v="T000161"/>
    <d v="2023-06-10T00:00:00"/>
    <x v="2"/>
    <x v="2"/>
    <x v="4"/>
    <x v="1"/>
    <s v="India"/>
    <x v="6"/>
    <x v="9"/>
    <s v="C00161"/>
    <n v="41"/>
    <s v="Other"/>
    <x v="2"/>
    <x v="3"/>
    <x v="2"/>
    <s v="No Meals"/>
    <n v="10059.82"/>
    <n v="3529.43"/>
    <x v="2"/>
    <s v="Cancelled"/>
    <x v="1"/>
    <x v="33"/>
    <x v="4"/>
    <x v="2"/>
    <x v="0"/>
  </r>
  <r>
    <s v="T000162"/>
    <d v="2023-06-11T00:00:00"/>
    <x v="4"/>
    <x v="3"/>
    <x v="4"/>
    <x v="1"/>
    <s v="India"/>
    <x v="6"/>
    <x v="9"/>
    <s v="C00162"/>
    <n v="50"/>
    <s v="Other"/>
    <x v="2"/>
    <x v="1"/>
    <x v="2"/>
    <s v="Full Board"/>
    <n v="8804.56"/>
    <n v="732.52"/>
    <x v="0"/>
    <s v="Confirmed"/>
    <x v="2"/>
    <x v="16"/>
    <x v="4"/>
    <x v="0"/>
    <x v="1"/>
  </r>
  <r>
    <s v="T000163"/>
    <d v="2023-06-12T00:00:00"/>
    <x v="1"/>
    <x v="1"/>
    <x v="0"/>
    <x v="0"/>
    <s v="India"/>
    <x v="0"/>
    <x v="5"/>
    <s v="C00163"/>
    <n v="68"/>
    <s v="Male"/>
    <x v="5"/>
    <x v="1"/>
    <x v="3"/>
    <s v="No Meals"/>
    <n v="6990.99"/>
    <n v="3925.49"/>
    <x v="2"/>
    <s v="Pending"/>
    <x v="1"/>
    <x v="0"/>
    <x v="0"/>
    <x v="2"/>
    <x v="1"/>
  </r>
  <r>
    <s v="T000164"/>
    <d v="2023-06-13T00:00:00"/>
    <x v="4"/>
    <x v="3"/>
    <x v="3"/>
    <x v="1"/>
    <s v="India"/>
    <x v="5"/>
    <x v="8"/>
    <s v="C00164"/>
    <n v="29"/>
    <s v="Male"/>
    <x v="3"/>
    <x v="2"/>
    <x v="2"/>
    <s v="Half Board"/>
    <n v="29112.25"/>
    <n v="1225.6300000000001"/>
    <x v="0"/>
    <s v="Cancelled"/>
    <x v="3"/>
    <x v="32"/>
    <x v="4"/>
    <x v="0"/>
    <x v="1"/>
  </r>
  <r>
    <s v="T000165"/>
    <d v="2023-06-14T00:00:00"/>
    <x v="2"/>
    <x v="2"/>
    <x v="0"/>
    <x v="0"/>
    <s v="India"/>
    <x v="4"/>
    <x v="3"/>
    <s v="C00165"/>
    <n v="44"/>
    <s v="Female"/>
    <x v="5"/>
    <x v="0"/>
    <x v="0"/>
    <s v="Breakfast Only"/>
    <n v="36780.43"/>
    <n v="3689.09"/>
    <x v="2"/>
    <s v="Pending"/>
    <x v="2"/>
    <x v="0"/>
    <x v="0"/>
    <x v="3"/>
    <x v="1"/>
  </r>
  <r>
    <s v="T000166"/>
    <d v="2023-06-15T00:00:00"/>
    <x v="3"/>
    <x v="1"/>
    <x v="4"/>
    <x v="1"/>
    <s v="India"/>
    <x v="6"/>
    <x v="4"/>
    <s v="C00166"/>
    <n v="55"/>
    <s v="Female"/>
    <x v="5"/>
    <x v="1"/>
    <x v="0"/>
    <s v="Breakfast Only"/>
    <n v="10873.46"/>
    <n v="2275.0100000000002"/>
    <x v="3"/>
    <s v="Cancelled"/>
    <x v="0"/>
    <x v="23"/>
    <x v="1"/>
    <x v="4"/>
    <x v="1"/>
  </r>
  <r>
    <s v="T000167"/>
    <d v="2023-06-16T00:00:00"/>
    <x v="0"/>
    <x v="0"/>
    <x v="1"/>
    <x v="1"/>
    <s v="India"/>
    <x v="1"/>
    <x v="8"/>
    <s v="C00167"/>
    <n v="35"/>
    <s v="Female"/>
    <x v="0"/>
    <x v="2"/>
    <x v="1"/>
    <s v="Breakfast Only"/>
    <n v="33752.550000000003"/>
    <n v="4931.32"/>
    <x v="0"/>
    <s v="Pending"/>
    <x v="2"/>
    <x v="25"/>
    <x v="3"/>
    <x v="0"/>
    <x v="0"/>
  </r>
  <r>
    <s v="T000168"/>
    <d v="2023-06-17T00:00:00"/>
    <x v="2"/>
    <x v="2"/>
    <x v="0"/>
    <x v="0"/>
    <s v="India"/>
    <x v="4"/>
    <x v="1"/>
    <s v="C00168"/>
    <n v="62"/>
    <s v="Female"/>
    <x v="1"/>
    <x v="3"/>
    <x v="3"/>
    <s v="Half Board"/>
    <n v="26462.65"/>
    <n v="2899.47"/>
    <x v="0"/>
    <s v="Cancelled"/>
    <x v="2"/>
    <x v="6"/>
    <x v="3"/>
    <x v="3"/>
    <x v="0"/>
  </r>
  <r>
    <s v="T000169"/>
    <d v="2023-06-18T00:00:00"/>
    <x v="4"/>
    <x v="3"/>
    <x v="0"/>
    <x v="0"/>
    <s v="India"/>
    <x v="4"/>
    <x v="5"/>
    <s v="C00169"/>
    <n v="56"/>
    <s v="Female"/>
    <x v="5"/>
    <x v="0"/>
    <x v="1"/>
    <s v="No Meals"/>
    <n v="49430.5"/>
    <n v="3162.9"/>
    <x v="0"/>
    <s v="Pending"/>
    <x v="3"/>
    <x v="20"/>
    <x v="0"/>
    <x v="3"/>
    <x v="0"/>
  </r>
  <r>
    <s v="T000170"/>
    <d v="2023-06-19T00:00:00"/>
    <x v="0"/>
    <x v="0"/>
    <x v="2"/>
    <x v="0"/>
    <s v="India"/>
    <x v="2"/>
    <x v="0"/>
    <s v="C00170"/>
    <n v="30"/>
    <s v="Other"/>
    <x v="3"/>
    <x v="1"/>
    <x v="2"/>
    <s v="Breakfast Only"/>
    <n v="37286.31"/>
    <n v="1840.82"/>
    <x v="3"/>
    <s v="Pending"/>
    <x v="1"/>
    <x v="5"/>
    <x v="1"/>
    <x v="3"/>
    <x v="0"/>
  </r>
  <r>
    <s v="T000171"/>
    <d v="2023-06-20T00:00:00"/>
    <x v="4"/>
    <x v="3"/>
    <x v="4"/>
    <x v="1"/>
    <s v="India"/>
    <x v="6"/>
    <x v="0"/>
    <s v="C00171"/>
    <n v="57"/>
    <s v="Other"/>
    <x v="6"/>
    <x v="1"/>
    <x v="3"/>
    <s v="Full Board"/>
    <n v="34586.300000000003"/>
    <n v="3672.6"/>
    <x v="3"/>
    <s v="Pending"/>
    <x v="1"/>
    <x v="1"/>
    <x v="1"/>
    <x v="3"/>
    <x v="0"/>
  </r>
  <r>
    <s v="T000172"/>
    <d v="2023-06-21T00:00:00"/>
    <x v="4"/>
    <x v="3"/>
    <x v="1"/>
    <x v="1"/>
    <s v="India"/>
    <x v="1"/>
    <x v="3"/>
    <s v="C00172"/>
    <n v="47"/>
    <s v="Other"/>
    <x v="6"/>
    <x v="3"/>
    <x v="1"/>
    <s v="Breakfast Only"/>
    <n v="30670.240000000002"/>
    <n v="2474.4299999999998"/>
    <x v="2"/>
    <s v="Confirmed"/>
    <x v="0"/>
    <x v="6"/>
    <x v="2"/>
    <x v="0"/>
    <x v="0"/>
  </r>
  <r>
    <s v="T000173"/>
    <d v="2023-06-22T00:00:00"/>
    <x v="3"/>
    <x v="1"/>
    <x v="0"/>
    <x v="0"/>
    <s v="India"/>
    <x v="4"/>
    <x v="9"/>
    <s v="C00173"/>
    <n v="66"/>
    <s v="Female"/>
    <x v="4"/>
    <x v="2"/>
    <x v="3"/>
    <s v="No Meals"/>
    <n v="49881.48"/>
    <n v="90.33"/>
    <x v="2"/>
    <s v="Pending"/>
    <x v="2"/>
    <x v="36"/>
    <x v="4"/>
    <x v="2"/>
    <x v="1"/>
  </r>
  <r>
    <s v="T000174"/>
    <d v="2023-06-23T00:00:00"/>
    <x v="0"/>
    <x v="0"/>
    <x v="0"/>
    <x v="0"/>
    <s v="India"/>
    <x v="4"/>
    <x v="7"/>
    <s v="C00174"/>
    <n v="58"/>
    <s v="Other"/>
    <x v="5"/>
    <x v="1"/>
    <x v="3"/>
    <s v="Half Board"/>
    <n v="49120.66"/>
    <n v="3042.91"/>
    <x v="3"/>
    <s v="Confirmed"/>
    <x v="3"/>
    <x v="0"/>
    <x v="0"/>
    <x v="3"/>
    <x v="0"/>
  </r>
  <r>
    <s v="T000175"/>
    <d v="2023-06-24T00:00:00"/>
    <x v="0"/>
    <x v="0"/>
    <x v="1"/>
    <x v="1"/>
    <s v="India"/>
    <x v="1"/>
    <x v="1"/>
    <s v="C00175"/>
    <n v="69"/>
    <s v="Other"/>
    <x v="0"/>
    <x v="3"/>
    <x v="1"/>
    <s v="Full Board"/>
    <n v="29215.18"/>
    <n v="4152.3"/>
    <x v="3"/>
    <s v="Confirmed"/>
    <x v="1"/>
    <x v="25"/>
    <x v="3"/>
    <x v="1"/>
    <x v="0"/>
  </r>
  <r>
    <s v="T000176"/>
    <d v="2023-06-25T00:00:00"/>
    <x v="3"/>
    <x v="1"/>
    <x v="4"/>
    <x v="1"/>
    <s v="India"/>
    <x v="6"/>
    <x v="0"/>
    <s v="C00176"/>
    <n v="30"/>
    <s v="Other"/>
    <x v="4"/>
    <x v="1"/>
    <x v="3"/>
    <s v="Full Board"/>
    <n v="25483.25"/>
    <n v="1184.01"/>
    <x v="0"/>
    <s v="Pending"/>
    <x v="0"/>
    <x v="29"/>
    <x v="1"/>
    <x v="3"/>
    <x v="0"/>
  </r>
  <r>
    <s v="T000177"/>
    <d v="2023-06-26T00:00:00"/>
    <x v="2"/>
    <x v="2"/>
    <x v="2"/>
    <x v="0"/>
    <s v="India"/>
    <x v="2"/>
    <x v="3"/>
    <s v="C00177"/>
    <n v="51"/>
    <s v="Other"/>
    <x v="2"/>
    <x v="2"/>
    <x v="2"/>
    <s v="Breakfast Only"/>
    <n v="25795.17"/>
    <n v="1105.32"/>
    <x v="2"/>
    <s v="Confirmed"/>
    <x v="1"/>
    <x v="2"/>
    <x v="3"/>
    <x v="2"/>
    <x v="0"/>
  </r>
  <r>
    <s v="T000178"/>
    <d v="2023-06-27T00:00:00"/>
    <x v="4"/>
    <x v="3"/>
    <x v="0"/>
    <x v="0"/>
    <s v="India"/>
    <x v="0"/>
    <x v="3"/>
    <s v="C00178"/>
    <n v="53"/>
    <s v="Male"/>
    <x v="1"/>
    <x v="0"/>
    <x v="0"/>
    <s v="No Meals"/>
    <n v="24275.41"/>
    <n v="3044.43"/>
    <x v="2"/>
    <s v="Confirmed"/>
    <x v="0"/>
    <x v="23"/>
    <x v="1"/>
    <x v="2"/>
    <x v="1"/>
  </r>
  <r>
    <s v="T000179"/>
    <d v="2023-06-28T00:00:00"/>
    <x v="1"/>
    <x v="1"/>
    <x v="2"/>
    <x v="0"/>
    <s v="India"/>
    <x v="2"/>
    <x v="11"/>
    <s v="C00179"/>
    <n v="47"/>
    <s v="Female"/>
    <x v="3"/>
    <x v="2"/>
    <x v="0"/>
    <s v="Breakfast Only"/>
    <n v="28912.92"/>
    <n v="4089.9"/>
    <x v="0"/>
    <s v="Confirmed"/>
    <x v="1"/>
    <x v="8"/>
    <x v="2"/>
    <x v="4"/>
    <x v="0"/>
  </r>
  <r>
    <s v="T000180"/>
    <d v="2023-06-29T00:00:00"/>
    <x v="4"/>
    <x v="3"/>
    <x v="3"/>
    <x v="1"/>
    <s v="India"/>
    <x v="5"/>
    <x v="9"/>
    <s v="C00180"/>
    <n v="42"/>
    <s v="Female"/>
    <x v="5"/>
    <x v="2"/>
    <x v="3"/>
    <s v="Full Board"/>
    <n v="17311.29"/>
    <n v="1248.0999999999999"/>
    <x v="0"/>
    <s v="Cancelled"/>
    <x v="0"/>
    <x v="24"/>
    <x v="0"/>
    <x v="4"/>
    <x v="1"/>
  </r>
  <r>
    <s v="T000181"/>
    <d v="2023-06-30T00:00:00"/>
    <x v="4"/>
    <x v="3"/>
    <x v="4"/>
    <x v="1"/>
    <s v="India"/>
    <x v="6"/>
    <x v="8"/>
    <s v="C00181"/>
    <n v="19"/>
    <s v="Male"/>
    <x v="6"/>
    <x v="2"/>
    <x v="0"/>
    <s v="Breakfast Only"/>
    <n v="46705.5"/>
    <n v="4661.3100000000004"/>
    <x v="0"/>
    <s v="Pending"/>
    <x v="1"/>
    <x v="9"/>
    <x v="4"/>
    <x v="3"/>
    <x v="1"/>
  </r>
  <r>
    <s v="T000182"/>
    <d v="2023-07-01T00:00:00"/>
    <x v="2"/>
    <x v="2"/>
    <x v="3"/>
    <x v="1"/>
    <s v="India"/>
    <x v="5"/>
    <x v="7"/>
    <s v="C00182"/>
    <n v="53"/>
    <s v="Other"/>
    <x v="0"/>
    <x v="3"/>
    <x v="3"/>
    <s v="No Meals"/>
    <n v="27060.35"/>
    <n v="4636.9399999999996"/>
    <x v="1"/>
    <s v="Confirmed"/>
    <x v="1"/>
    <x v="20"/>
    <x v="0"/>
    <x v="3"/>
    <x v="0"/>
  </r>
  <r>
    <s v="T000183"/>
    <d v="2023-07-02T00:00:00"/>
    <x v="4"/>
    <x v="3"/>
    <x v="3"/>
    <x v="1"/>
    <s v="India"/>
    <x v="5"/>
    <x v="11"/>
    <s v="C00183"/>
    <n v="35"/>
    <s v="Other"/>
    <x v="6"/>
    <x v="1"/>
    <x v="1"/>
    <s v="Half Board"/>
    <n v="42890.35"/>
    <n v="1002.68"/>
    <x v="1"/>
    <s v="Pending"/>
    <x v="2"/>
    <x v="38"/>
    <x v="0"/>
    <x v="4"/>
    <x v="0"/>
  </r>
  <r>
    <s v="T000184"/>
    <d v="2023-07-03T00:00:00"/>
    <x v="3"/>
    <x v="1"/>
    <x v="3"/>
    <x v="1"/>
    <s v="India"/>
    <x v="5"/>
    <x v="0"/>
    <s v="C00184"/>
    <n v="22"/>
    <s v="Other"/>
    <x v="5"/>
    <x v="0"/>
    <x v="2"/>
    <s v="Full Board"/>
    <n v="26388.67"/>
    <n v="1318.92"/>
    <x v="3"/>
    <s v="Confirmed"/>
    <x v="0"/>
    <x v="7"/>
    <x v="2"/>
    <x v="3"/>
    <x v="1"/>
  </r>
  <r>
    <s v="T000185"/>
    <d v="2023-07-04T00:00:00"/>
    <x v="3"/>
    <x v="1"/>
    <x v="4"/>
    <x v="1"/>
    <s v="India"/>
    <x v="6"/>
    <x v="7"/>
    <s v="C00185"/>
    <n v="36"/>
    <s v="Female"/>
    <x v="2"/>
    <x v="3"/>
    <x v="0"/>
    <s v="No Meals"/>
    <n v="37323.06"/>
    <n v="3502.99"/>
    <x v="2"/>
    <s v="Pending"/>
    <x v="0"/>
    <x v="4"/>
    <x v="0"/>
    <x v="1"/>
    <x v="0"/>
  </r>
  <r>
    <s v="T000186"/>
    <d v="2023-07-05T00:00:00"/>
    <x v="0"/>
    <x v="0"/>
    <x v="4"/>
    <x v="1"/>
    <s v="India"/>
    <x v="6"/>
    <x v="5"/>
    <s v="C00186"/>
    <n v="59"/>
    <s v="Female"/>
    <x v="4"/>
    <x v="2"/>
    <x v="1"/>
    <s v="Breakfast Only"/>
    <n v="20159.689999999999"/>
    <n v="4758.67"/>
    <x v="0"/>
    <s v="Confirmed"/>
    <x v="2"/>
    <x v="0"/>
    <x v="0"/>
    <x v="0"/>
    <x v="0"/>
  </r>
  <r>
    <s v="T000187"/>
    <d v="2023-07-06T00:00:00"/>
    <x v="1"/>
    <x v="1"/>
    <x v="1"/>
    <x v="1"/>
    <s v="India"/>
    <x v="1"/>
    <x v="9"/>
    <s v="C00187"/>
    <n v="35"/>
    <s v="Female"/>
    <x v="5"/>
    <x v="0"/>
    <x v="2"/>
    <s v="Full Board"/>
    <n v="33116.31"/>
    <n v="3549.41"/>
    <x v="0"/>
    <s v="Cancelled"/>
    <x v="2"/>
    <x v="11"/>
    <x v="2"/>
    <x v="4"/>
    <x v="0"/>
  </r>
  <r>
    <s v="T000188"/>
    <d v="2023-07-07T00:00:00"/>
    <x v="4"/>
    <x v="3"/>
    <x v="2"/>
    <x v="0"/>
    <s v="India"/>
    <x v="3"/>
    <x v="0"/>
    <s v="C00188"/>
    <n v="49"/>
    <s v="Female"/>
    <x v="4"/>
    <x v="2"/>
    <x v="0"/>
    <s v="Breakfast Only"/>
    <n v="27426.720000000001"/>
    <n v="2224.5"/>
    <x v="2"/>
    <s v="Cancelled"/>
    <x v="1"/>
    <x v="7"/>
    <x v="2"/>
    <x v="4"/>
    <x v="1"/>
  </r>
  <r>
    <s v="T000189"/>
    <d v="2023-07-08T00:00:00"/>
    <x v="4"/>
    <x v="3"/>
    <x v="2"/>
    <x v="0"/>
    <s v="India"/>
    <x v="2"/>
    <x v="6"/>
    <s v="C00189"/>
    <n v="38"/>
    <s v="Female"/>
    <x v="3"/>
    <x v="2"/>
    <x v="0"/>
    <s v="Breakfast Only"/>
    <n v="21520.14"/>
    <n v="845.01"/>
    <x v="1"/>
    <s v="Cancelled"/>
    <x v="1"/>
    <x v="30"/>
    <x v="0"/>
    <x v="2"/>
    <x v="0"/>
  </r>
  <r>
    <s v="T000190"/>
    <d v="2023-07-09T00:00:00"/>
    <x v="2"/>
    <x v="2"/>
    <x v="1"/>
    <x v="1"/>
    <s v="India"/>
    <x v="1"/>
    <x v="3"/>
    <s v="C00190"/>
    <n v="27"/>
    <s v="Male"/>
    <x v="0"/>
    <x v="2"/>
    <x v="2"/>
    <s v="Half Board"/>
    <n v="44670.03"/>
    <n v="2305.0500000000002"/>
    <x v="2"/>
    <s v="Confirmed"/>
    <x v="1"/>
    <x v="34"/>
    <x v="1"/>
    <x v="3"/>
    <x v="1"/>
  </r>
  <r>
    <s v="T000191"/>
    <d v="2023-07-10T00:00:00"/>
    <x v="3"/>
    <x v="1"/>
    <x v="1"/>
    <x v="1"/>
    <s v="India"/>
    <x v="1"/>
    <x v="0"/>
    <s v="C00191"/>
    <n v="54"/>
    <s v="Female"/>
    <x v="2"/>
    <x v="0"/>
    <x v="1"/>
    <s v="Breakfast Only"/>
    <n v="10072.030000000001"/>
    <n v="3033.84"/>
    <x v="3"/>
    <s v="Pending"/>
    <x v="2"/>
    <x v="39"/>
    <x v="0"/>
    <x v="4"/>
    <x v="1"/>
  </r>
  <r>
    <s v="T000192"/>
    <d v="2023-07-11T00:00:00"/>
    <x v="1"/>
    <x v="1"/>
    <x v="3"/>
    <x v="1"/>
    <s v="India"/>
    <x v="5"/>
    <x v="4"/>
    <s v="C00192"/>
    <n v="66"/>
    <s v="Other"/>
    <x v="0"/>
    <x v="1"/>
    <x v="1"/>
    <s v="Breakfast Only"/>
    <n v="26911.54"/>
    <n v="1654.76"/>
    <x v="1"/>
    <s v="Confirmed"/>
    <x v="1"/>
    <x v="33"/>
    <x v="4"/>
    <x v="4"/>
    <x v="1"/>
  </r>
  <r>
    <s v="T000193"/>
    <d v="2023-07-12T00:00:00"/>
    <x v="0"/>
    <x v="0"/>
    <x v="1"/>
    <x v="1"/>
    <s v="India"/>
    <x v="1"/>
    <x v="10"/>
    <s v="C00193"/>
    <n v="39"/>
    <s v="Female"/>
    <x v="3"/>
    <x v="2"/>
    <x v="0"/>
    <s v="No Meals"/>
    <n v="13746.61"/>
    <n v="2551.29"/>
    <x v="2"/>
    <s v="Cancelled"/>
    <x v="2"/>
    <x v="23"/>
    <x v="1"/>
    <x v="1"/>
    <x v="0"/>
  </r>
  <r>
    <s v="T000194"/>
    <d v="2023-07-13T00:00:00"/>
    <x v="3"/>
    <x v="1"/>
    <x v="0"/>
    <x v="0"/>
    <s v="India"/>
    <x v="0"/>
    <x v="6"/>
    <s v="C00194"/>
    <n v="30"/>
    <s v="Male"/>
    <x v="2"/>
    <x v="1"/>
    <x v="2"/>
    <s v="Breakfast Only"/>
    <n v="43747.48"/>
    <n v="651.07000000000005"/>
    <x v="2"/>
    <s v="Confirmed"/>
    <x v="1"/>
    <x v="38"/>
    <x v="0"/>
    <x v="3"/>
    <x v="1"/>
  </r>
  <r>
    <s v="T000195"/>
    <d v="2023-07-14T00:00:00"/>
    <x v="0"/>
    <x v="0"/>
    <x v="2"/>
    <x v="0"/>
    <s v="India"/>
    <x v="2"/>
    <x v="10"/>
    <s v="C00195"/>
    <n v="34"/>
    <s v="Other"/>
    <x v="2"/>
    <x v="0"/>
    <x v="1"/>
    <s v="Half Board"/>
    <n v="16406.12"/>
    <n v="2260.94"/>
    <x v="3"/>
    <s v="Pending"/>
    <x v="2"/>
    <x v="28"/>
    <x v="3"/>
    <x v="0"/>
    <x v="0"/>
  </r>
  <r>
    <s v="T000196"/>
    <d v="2023-07-15T00:00:00"/>
    <x v="2"/>
    <x v="2"/>
    <x v="1"/>
    <x v="1"/>
    <s v="India"/>
    <x v="1"/>
    <x v="0"/>
    <s v="C00196"/>
    <n v="26"/>
    <s v="Male"/>
    <x v="4"/>
    <x v="0"/>
    <x v="2"/>
    <s v="Breakfast Only"/>
    <n v="33504.370000000003"/>
    <n v="453.88"/>
    <x v="2"/>
    <s v="Cancelled"/>
    <x v="0"/>
    <x v="23"/>
    <x v="1"/>
    <x v="1"/>
    <x v="1"/>
  </r>
  <r>
    <s v="T000197"/>
    <d v="2023-07-16T00:00:00"/>
    <x v="2"/>
    <x v="2"/>
    <x v="0"/>
    <x v="0"/>
    <s v="India"/>
    <x v="4"/>
    <x v="4"/>
    <s v="C00197"/>
    <n v="41"/>
    <s v="Other"/>
    <x v="4"/>
    <x v="2"/>
    <x v="2"/>
    <s v="Breakfast Only"/>
    <n v="12450.36"/>
    <n v="245.44"/>
    <x v="1"/>
    <s v="Confirmed"/>
    <x v="3"/>
    <x v="13"/>
    <x v="0"/>
    <x v="0"/>
    <x v="0"/>
  </r>
  <r>
    <s v="T000198"/>
    <d v="2023-07-17T00:00:00"/>
    <x v="4"/>
    <x v="3"/>
    <x v="0"/>
    <x v="0"/>
    <s v="India"/>
    <x v="4"/>
    <x v="0"/>
    <s v="C00198"/>
    <n v="61"/>
    <s v="Female"/>
    <x v="4"/>
    <x v="1"/>
    <x v="0"/>
    <s v="Breakfast Only"/>
    <n v="23221.119999999999"/>
    <n v="4286.2"/>
    <x v="0"/>
    <s v="Pending"/>
    <x v="1"/>
    <x v="33"/>
    <x v="4"/>
    <x v="2"/>
    <x v="0"/>
  </r>
  <r>
    <s v="T000199"/>
    <d v="2023-07-18T00:00:00"/>
    <x v="1"/>
    <x v="1"/>
    <x v="0"/>
    <x v="0"/>
    <s v="India"/>
    <x v="0"/>
    <x v="10"/>
    <s v="C00199"/>
    <n v="31"/>
    <s v="Male"/>
    <x v="6"/>
    <x v="1"/>
    <x v="2"/>
    <s v="Full Board"/>
    <n v="45471.07"/>
    <n v="1025.4100000000001"/>
    <x v="0"/>
    <s v="Cancelled"/>
    <x v="1"/>
    <x v="17"/>
    <x v="1"/>
    <x v="4"/>
    <x v="1"/>
  </r>
  <r>
    <s v="T000200"/>
    <d v="2023-07-19T00:00:00"/>
    <x v="0"/>
    <x v="0"/>
    <x v="0"/>
    <x v="0"/>
    <s v="India"/>
    <x v="4"/>
    <x v="11"/>
    <s v="C00200"/>
    <n v="63"/>
    <s v="Other"/>
    <x v="1"/>
    <x v="2"/>
    <x v="2"/>
    <s v="Half Board"/>
    <n v="12472.9"/>
    <n v="2875.78"/>
    <x v="0"/>
    <s v="Pending"/>
    <x v="2"/>
    <x v="40"/>
    <x v="3"/>
    <x v="1"/>
    <x v="1"/>
  </r>
  <r>
    <s v="T000201"/>
    <d v="2023-07-20T00:00:00"/>
    <x v="3"/>
    <x v="1"/>
    <x v="3"/>
    <x v="1"/>
    <s v="India"/>
    <x v="5"/>
    <x v="5"/>
    <s v="C00201"/>
    <n v="25"/>
    <s v="Female"/>
    <x v="5"/>
    <x v="3"/>
    <x v="3"/>
    <s v="Full Board"/>
    <n v="34843.81"/>
    <n v="744.91"/>
    <x v="1"/>
    <s v="Pending"/>
    <x v="0"/>
    <x v="7"/>
    <x v="2"/>
    <x v="0"/>
    <x v="1"/>
  </r>
  <r>
    <s v="T000202"/>
    <d v="2023-07-21T00:00:00"/>
    <x v="2"/>
    <x v="2"/>
    <x v="0"/>
    <x v="0"/>
    <s v="India"/>
    <x v="4"/>
    <x v="10"/>
    <s v="C00202"/>
    <n v="54"/>
    <s v="Other"/>
    <x v="4"/>
    <x v="3"/>
    <x v="2"/>
    <s v="Half Board"/>
    <n v="14202.97"/>
    <n v="1312.64"/>
    <x v="2"/>
    <s v="Cancelled"/>
    <x v="0"/>
    <x v="24"/>
    <x v="0"/>
    <x v="3"/>
    <x v="0"/>
  </r>
  <r>
    <s v="T000203"/>
    <d v="2023-07-22T00:00:00"/>
    <x v="4"/>
    <x v="3"/>
    <x v="3"/>
    <x v="1"/>
    <s v="India"/>
    <x v="5"/>
    <x v="5"/>
    <s v="C00203"/>
    <n v="36"/>
    <s v="Male"/>
    <x v="1"/>
    <x v="0"/>
    <x v="1"/>
    <s v="Half Board"/>
    <n v="23708.71"/>
    <n v="1806.7"/>
    <x v="2"/>
    <s v="Confirmed"/>
    <x v="1"/>
    <x v="29"/>
    <x v="1"/>
    <x v="2"/>
    <x v="0"/>
  </r>
  <r>
    <s v="T000204"/>
    <d v="2023-07-23T00:00:00"/>
    <x v="4"/>
    <x v="3"/>
    <x v="3"/>
    <x v="1"/>
    <s v="India"/>
    <x v="5"/>
    <x v="3"/>
    <s v="C00204"/>
    <n v="45"/>
    <s v="Male"/>
    <x v="1"/>
    <x v="0"/>
    <x v="0"/>
    <s v="No Meals"/>
    <n v="29327.759999999998"/>
    <n v="718.38"/>
    <x v="2"/>
    <s v="Confirmed"/>
    <x v="2"/>
    <x v="9"/>
    <x v="4"/>
    <x v="2"/>
    <x v="0"/>
  </r>
  <r>
    <s v="T000205"/>
    <d v="2023-07-24T00:00:00"/>
    <x v="0"/>
    <x v="0"/>
    <x v="0"/>
    <x v="0"/>
    <s v="India"/>
    <x v="4"/>
    <x v="5"/>
    <s v="C00205"/>
    <n v="63"/>
    <s v="Male"/>
    <x v="0"/>
    <x v="3"/>
    <x v="0"/>
    <s v="Full Board"/>
    <n v="30978.79"/>
    <n v="229.81"/>
    <x v="2"/>
    <s v="Confirmed"/>
    <x v="2"/>
    <x v="6"/>
    <x v="2"/>
    <x v="4"/>
    <x v="1"/>
  </r>
  <r>
    <s v="T000206"/>
    <d v="2023-07-25T00:00:00"/>
    <x v="2"/>
    <x v="2"/>
    <x v="2"/>
    <x v="0"/>
    <s v="India"/>
    <x v="3"/>
    <x v="11"/>
    <s v="C00206"/>
    <n v="58"/>
    <s v="Male"/>
    <x v="3"/>
    <x v="3"/>
    <x v="2"/>
    <s v="Half Board"/>
    <n v="32113.01"/>
    <n v="4385.8"/>
    <x v="0"/>
    <s v="Confirmed"/>
    <x v="3"/>
    <x v="34"/>
    <x v="1"/>
    <x v="4"/>
    <x v="0"/>
  </r>
  <r>
    <s v="T000207"/>
    <d v="2023-07-26T00:00:00"/>
    <x v="1"/>
    <x v="1"/>
    <x v="0"/>
    <x v="0"/>
    <s v="India"/>
    <x v="0"/>
    <x v="4"/>
    <s v="C00207"/>
    <n v="47"/>
    <s v="Female"/>
    <x v="6"/>
    <x v="3"/>
    <x v="2"/>
    <s v="Half Board"/>
    <n v="33805.910000000003"/>
    <n v="59.16"/>
    <x v="1"/>
    <s v="Pending"/>
    <x v="0"/>
    <x v="1"/>
    <x v="1"/>
    <x v="0"/>
    <x v="0"/>
  </r>
  <r>
    <s v="T000208"/>
    <d v="2023-07-27T00:00:00"/>
    <x v="2"/>
    <x v="2"/>
    <x v="0"/>
    <x v="0"/>
    <s v="India"/>
    <x v="4"/>
    <x v="5"/>
    <s v="C00208"/>
    <n v="24"/>
    <s v="Other"/>
    <x v="1"/>
    <x v="2"/>
    <x v="1"/>
    <s v="No Meals"/>
    <n v="17229.59"/>
    <n v="306.60000000000002"/>
    <x v="3"/>
    <s v="Confirmed"/>
    <x v="3"/>
    <x v="3"/>
    <x v="3"/>
    <x v="0"/>
    <x v="0"/>
  </r>
  <r>
    <s v="T000209"/>
    <d v="2023-07-28T00:00:00"/>
    <x v="0"/>
    <x v="0"/>
    <x v="0"/>
    <x v="0"/>
    <s v="India"/>
    <x v="0"/>
    <x v="7"/>
    <s v="C00209"/>
    <n v="43"/>
    <s v="Female"/>
    <x v="5"/>
    <x v="2"/>
    <x v="3"/>
    <s v="Full Board"/>
    <n v="23061.54"/>
    <n v="4025.36"/>
    <x v="1"/>
    <s v="Confirmed"/>
    <x v="0"/>
    <x v="30"/>
    <x v="0"/>
    <x v="2"/>
    <x v="1"/>
  </r>
  <r>
    <s v="T000210"/>
    <d v="2023-07-29T00:00:00"/>
    <x v="0"/>
    <x v="0"/>
    <x v="2"/>
    <x v="0"/>
    <s v="India"/>
    <x v="2"/>
    <x v="8"/>
    <s v="C00210"/>
    <n v="57"/>
    <s v="Male"/>
    <x v="6"/>
    <x v="2"/>
    <x v="0"/>
    <s v="Breakfast Only"/>
    <n v="6679.34"/>
    <n v="1410.04"/>
    <x v="2"/>
    <s v="Pending"/>
    <x v="1"/>
    <x v="26"/>
    <x v="0"/>
    <x v="0"/>
    <x v="1"/>
  </r>
  <r>
    <s v="T000211"/>
    <d v="2023-07-30T00:00:00"/>
    <x v="2"/>
    <x v="2"/>
    <x v="4"/>
    <x v="1"/>
    <s v="India"/>
    <x v="6"/>
    <x v="10"/>
    <s v="C00211"/>
    <n v="63"/>
    <s v="Other"/>
    <x v="0"/>
    <x v="2"/>
    <x v="3"/>
    <s v="No Meals"/>
    <n v="39594.06"/>
    <n v="3614.1"/>
    <x v="2"/>
    <s v="Pending"/>
    <x v="1"/>
    <x v="33"/>
    <x v="4"/>
    <x v="4"/>
    <x v="0"/>
  </r>
  <r>
    <s v="T000212"/>
    <d v="2023-07-31T00:00:00"/>
    <x v="0"/>
    <x v="0"/>
    <x v="4"/>
    <x v="1"/>
    <s v="India"/>
    <x v="6"/>
    <x v="4"/>
    <s v="C00212"/>
    <n v="63"/>
    <s v="Male"/>
    <x v="4"/>
    <x v="2"/>
    <x v="1"/>
    <s v="Half Board"/>
    <n v="42669.48"/>
    <n v="731.13"/>
    <x v="1"/>
    <s v="Cancelled"/>
    <x v="2"/>
    <x v="30"/>
    <x v="0"/>
    <x v="2"/>
    <x v="1"/>
  </r>
  <r>
    <s v="T000213"/>
    <d v="2023-08-01T00:00:00"/>
    <x v="2"/>
    <x v="2"/>
    <x v="3"/>
    <x v="1"/>
    <s v="India"/>
    <x v="5"/>
    <x v="1"/>
    <s v="C00213"/>
    <n v="28"/>
    <s v="Female"/>
    <x v="2"/>
    <x v="2"/>
    <x v="0"/>
    <s v="Full Board"/>
    <n v="13965.65"/>
    <n v="1186.4100000000001"/>
    <x v="1"/>
    <s v="Pending"/>
    <x v="2"/>
    <x v="32"/>
    <x v="4"/>
    <x v="2"/>
    <x v="1"/>
  </r>
  <r>
    <s v="T000214"/>
    <d v="2023-08-02T00:00:00"/>
    <x v="3"/>
    <x v="1"/>
    <x v="3"/>
    <x v="1"/>
    <s v="India"/>
    <x v="5"/>
    <x v="2"/>
    <s v="C00214"/>
    <n v="31"/>
    <s v="Female"/>
    <x v="1"/>
    <x v="0"/>
    <x v="1"/>
    <s v="Half Board"/>
    <n v="14064.98"/>
    <n v="2863.88"/>
    <x v="0"/>
    <s v="Cancelled"/>
    <x v="2"/>
    <x v="28"/>
    <x v="3"/>
    <x v="3"/>
    <x v="1"/>
  </r>
  <r>
    <s v="T000215"/>
    <d v="2023-08-03T00:00:00"/>
    <x v="2"/>
    <x v="2"/>
    <x v="2"/>
    <x v="0"/>
    <s v="India"/>
    <x v="3"/>
    <x v="3"/>
    <s v="C00215"/>
    <n v="38"/>
    <s v="Female"/>
    <x v="3"/>
    <x v="1"/>
    <x v="2"/>
    <s v="No Meals"/>
    <n v="6891.64"/>
    <n v="4943.18"/>
    <x v="2"/>
    <s v="Cancelled"/>
    <x v="0"/>
    <x v="34"/>
    <x v="1"/>
    <x v="3"/>
    <x v="1"/>
  </r>
  <r>
    <s v="T000216"/>
    <d v="2023-08-04T00:00:00"/>
    <x v="2"/>
    <x v="2"/>
    <x v="1"/>
    <x v="1"/>
    <s v="India"/>
    <x v="1"/>
    <x v="8"/>
    <s v="C00216"/>
    <n v="25"/>
    <s v="Other"/>
    <x v="2"/>
    <x v="0"/>
    <x v="1"/>
    <s v="No Meals"/>
    <n v="48667.27"/>
    <n v="367.22"/>
    <x v="1"/>
    <s v="Confirmed"/>
    <x v="2"/>
    <x v="40"/>
    <x v="3"/>
    <x v="0"/>
    <x v="1"/>
  </r>
  <r>
    <s v="T000217"/>
    <d v="2023-08-05T00:00:00"/>
    <x v="0"/>
    <x v="0"/>
    <x v="4"/>
    <x v="1"/>
    <s v="India"/>
    <x v="6"/>
    <x v="7"/>
    <s v="C00217"/>
    <n v="20"/>
    <s v="Other"/>
    <x v="0"/>
    <x v="1"/>
    <x v="2"/>
    <s v="Full Board"/>
    <n v="41323.4"/>
    <n v="2002.77"/>
    <x v="2"/>
    <s v="Confirmed"/>
    <x v="1"/>
    <x v="21"/>
    <x v="2"/>
    <x v="0"/>
    <x v="1"/>
  </r>
  <r>
    <s v="T000218"/>
    <d v="2023-08-06T00:00:00"/>
    <x v="0"/>
    <x v="0"/>
    <x v="3"/>
    <x v="1"/>
    <s v="India"/>
    <x v="5"/>
    <x v="9"/>
    <s v="C00218"/>
    <n v="45"/>
    <s v="Male"/>
    <x v="6"/>
    <x v="0"/>
    <x v="3"/>
    <s v="No Meals"/>
    <n v="21231.64"/>
    <n v="215.4"/>
    <x v="1"/>
    <s v="Confirmed"/>
    <x v="3"/>
    <x v="29"/>
    <x v="1"/>
    <x v="4"/>
    <x v="1"/>
  </r>
  <r>
    <s v="T000219"/>
    <d v="2023-08-07T00:00:00"/>
    <x v="4"/>
    <x v="3"/>
    <x v="4"/>
    <x v="1"/>
    <s v="India"/>
    <x v="6"/>
    <x v="11"/>
    <s v="C00219"/>
    <n v="46"/>
    <s v="Other"/>
    <x v="5"/>
    <x v="0"/>
    <x v="0"/>
    <s v="No Meals"/>
    <n v="26685.87"/>
    <n v="996.13"/>
    <x v="2"/>
    <s v="Pending"/>
    <x v="1"/>
    <x v="20"/>
    <x v="0"/>
    <x v="4"/>
    <x v="1"/>
  </r>
  <r>
    <s v="T000220"/>
    <d v="2023-08-08T00:00:00"/>
    <x v="4"/>
    <x v="3"/>
    <x v="2"/>
    <x v="0"/>
    <s v="India"/>
    <x v="2"/>
    <x v="0"/>
    <s v="C00220"/>
    <n v="40"/>
    <s v="Other"/>
    <x v="4"/>
    <x v="2"/>
    <x v="0"/>
    <s v="Breakfast Only"/>
    <n v="18138.509999999998"/>
    <n v="4537.3599999999997"/>
    <x v="1"/>
    <s v="Pending"/>
    <x v="1"/>
    <x v="11"/>
    <x v="0"/>
    <x v="3"/>
    <x v="1"/>
  </r>
  <r>
    <s v="T000221"/>
    <d v="2023-08-09T00:00:00"/>
    <x v="3"/>
    <x v="1"/>
    <x v="2"/>
    <x v="0"/>
    <s v="India"/>
    <x v="2"/>
    <x v="8"/>
    <s v="C00221"/>
    <n v="35"/>
    <s v="Female"/>
    <x v="6"/>
    <x v="2"/>
    <x v="3"/>
    <s v="Half Board"/>
    <n v="31875.98"/>
    <n v="482.3"/>
    <x v="2"/>
    <s v="Confirmed"/>
    <x v="1"/>
    <x v="15"/>
    <x v="0"/>
    <x v="2"/>
    <x v="0"/>
  </r>
  <r>
    <s v="T000222"/>
    <d v="2023-08-10T00:00:00"/>
    <x v="4"/>
    <x v="3"/>
    <x v="1"/>
    <x v="1"/>
    <s v="India"/>
    <x v="1"/>
    <x v="4"/>
    <s v="C00222"/>
    <n v="52"/>
    <s v="Male"/>
    <x v="3"/>
    <x v="1"/>
    <x v="2"/>
    <s v="Breakfast Only"/>
    <n v="37278.879999999997"/>
    <n v="4284.28"/>
    <x v="3"/>
    <s v="Confirmed"/>
    <x v="3"/>
    <x v="36"/>
    <x v="4"/>
    <x v="1"/>
    <x v="0"/>
  </r>
  <r>
    <s v="T000223"/>
    <d v="2023-08-11T00:00:00"/>
    <x v="2"/>
    <x v="2"/>
    <x v="1"/>
    <x v="1"/>
    <s v="India"/>
    <x v="1"/>
    <x v="4"/>
    <s v="C00223"/>
    <n v="30"/>
    <s v="Female"/>
    <x v="1"/>
    <x v="1"/>
    <x v="0"/>
    <s v="Breakfast Only"/>
    <n v="25131.58"/>
    <n v="889.02"/>
    <x v="0"/>
    <s v="Pending"/>
    <x v="1"/>
    <x v="7"/>
    <x v="3"/>
    <x v="1"/>
    <x v="1"/>
  </r>
  <r>
    <s v="T000224"/>
    <d v="2023-08-12T00:00:00"/>
    <x v="0"/>
    <x v="0"/>
    <x v="2"/>
    <x v="0"/>
    <s v="India"/>
    <x v="3"/>
    <x v="4"/>
    <s v="C00224"/>
    <n v="29"/>
    <s v="Male"/>
    <x v="3"/>
    <x v="2"/>
    <x v="1"/>
    <s v="Full Board"/>
    <n v="44311.74"/>
    <n v="4308.92"/>
    <x v="3"/>
    <s v="Cancelled"/>
    <x v="0"/>
    <x v="1"/>
    <x v="1"/>
    <x v="0"/>
    <x v="1"/>
  </r>
  <r>
    <s v="T000225"/>
    <d v="2023-08-13T00:00:00"/>
    <x v="4"/>
    <x v="3"/>
    <x v="3"/>
    <x v="1"/>
    <s v="India"/>
    <x v="5"/>
    <x v="3"/>
    <s v="C00225"/>
    <n v="64"/>
    <s v="Male"/>
    <x v="6"/>
    <x v="0"/>
    <x v="2"/>
    <s v="No Meals"/>
    <n v="28266.16"/>
    <n v="2690.11"/>
    <x v="0"/>
    <s v="Cancelled"/>
    <x v="0"/>
    <x v="6"/>
    <x v="2"/>
    <x v="1"/>
    <x v="1"/>
  </r>
  <r>
    <s v="T000226"/>
    <d v="2023-08-14T00:00:00"/>
    <x v="4"/>
    <x v="3"/>
    <x v="4"/>
    <x v="1"/>
    <s v="India"/>
    <x v="6"/>
    <x v="5"/>
    <s v="C00226"/>
    <n v="67"/>
    <s v="Other"/>
    <x v="6"/>
    <x v="1"/>
    <x v="0"/>
    <s v="Half Board"/>
    <n v="11491.4"/>
    <n v="4391.03"/>
    <x v="0"/>
    <s v="Confirmed"/>
    <x v="3"/>
    <x v="31"/>
    <x v="1"/>
    <x v="1"/>
    <x v="1"/>
  </r>
  <r>
    <s v="T000227"/>
    <d v="2023-08-15T00:00:00"/>
    <x v="3"/>
    <x v="1"/>
    <x v="0"/>
    <x v="0"/>
    <s v="India"/>
    <x v="0"/>
    <x v="10"/>
    <s v="C00227"/>
    <n v="22"/>
    <s v="Female"/>
    <x v="2"/>
    <x v="3"/>
    <x v="1"/>
    <s v="Half Board"/>
    <n v="33003.11"/>
    <n v="758.52"/>
    <x v="1"/>
    <s v="Confirmed"/>
    <x v="0"/>
    <x v="34"/>
    <x v="1"/>
    <x v="3"/>
    <x v="0"/>
  </r>
  <r>
    <s v="T000228"/>
    <d v="2023-08-16T00:00:00"/>
    <x v="3"/>
    <x v="1"/>
    <x v="1"/>
    <x v="1"/>
    <s v="India"/>
    <x v="1"/>
    <x v="9"/>
    <s v="C00228"/>
    <n v="56"/>
    <s v="Other"/>
    <x v="3"/>
    <x v="3"/>
    <x v="1"/>
    <s v="Half Board"/>
    <n v="25800.39"/>
    <n v="3810.18"/>
    <x v="3"/>
    <s v="Confirmed"/>
    <x v="2"/>
    <x v="1"/>
    <x v="1"/>
    <x v="2"/>
    <x v="1"/>
  </r>
  <r>
    <s v="T000229"/>
    <d v="2023-08-17T00:00:00"/>
    <x v="2"/>
    <x v="2"/>
    <x v="0"/>
    <x v="0"/>
    <s v="India"/>
    <x v="4"/>
    <x v="0"/>
    <s v="C00229"/>
    <n v="28"/>
    <s v="Other"/>
    <x v="3"/>
    <x v="3"/>
    <x v="0"/>
    <s v="No Meals"/>
    <n v="47105.23"/>
    <n v="3403.49"/>
    <x v="0"/>
    <s v="Cancelled"/>
    <x v="0"/>
    <x v="15"/>
    <x v="0"/>
    <x v="4"/>
    <x v="0"/>
  </r>
  <r>
    <s v="T000230"/>
    <d v="2023-08-18T00:00:00"/>
    <x v="0"/>
    <x v="0"/>
    <x v="3"/>
    <x v="1"/>
    <s v="India"/>
    <x v="5"/>
    <x v="4"/>
    <s v="C00230"/>
    <n v="28"/>
    <s v="Other"/>
    <x v="3"/>
    <x v="1"/>
    <x v="3"/>
    <s v="Half Board"/>
    <n v="22635.23"/>
    <n v="2714.67"/>
    <x v="2"/>
    <s v="Confirmed"/>
    <x v="1"/>
    <x v="1"/>
    <x v="1"/>
    <x v="3"/>
    <x v="0"/>
  </r>
  <r>
    <s v="T000231"/>
    <d v="2023-08-19T00:00:00"/>
    <x v="3"/>
    <x v="1"/>
    <x v="1"/>
    <x v="1"/>
    <s v="India"/>
    <x v="1"/>
    <x v="0"/>
    <s v="C00231"/>
    <n v="64"/>
    <s v="Male"/>
    <x v="4"/>
    <x v="2"/>
    <x v="3"/>
    <s v="Half Board"/>
    <n v="23128.959999999999"/>
    <n v="4052.94"/>
    <x v="1"/>
    <s v="Cancelled"/>
    <x v="0"/>
    <x v="39"/>
    <x v="0"/>
    <x v="4"/>
    <x v="0"/>
  </r>
  <r>
    <s v="T000232"/>
    <d v="2023-08-20T00:00:00"/>
    <x v="4"/>
    <x v="3"/>
    <x v="0"/>
    <x v="0"/>
    <s v="India"/>
    <x v="4"/>
    <x v="1"/>
    <s v="C00232"/>
    <n v="59"/>
    <s v="Female"/>
    <x v="5"/>
    <x v="2"/>
    <x v="0"/>
    <s v="No Meals"/>
    <n v="34284.800000000003"/>
    <n v="3241.38"/>
    <x v="1"/>
    <s v="Pending"/>
    <x v="2"/>
    <x v="0"/>
    <x v="0"/>
    <x v="3"/>
    <x v="0"/>
  </r>
  <r>
    <s v="T000233"/>
    <d v="2023-08-21T00:00:00"/>
    <x v="0"/>
    <x v="0"/>
    <x v="3"/>
    <x v="1"/>
    <s v="India"/>
    <x v="5"/>
    <x v="3"/>
    <s v="C00233"/>
    <n v="64"/>
    <s v="Female"/>
    <x v="6"/>
    <x v="2"/>
    <x v="1"/>
    <s v="Full Board"/>
    <n v="28714.38"/>
    <n v="4385.2299999999996"/>
    <x v="2"/>
    <s v="Pending"/>
    <x v="2"/>
    <x v="27"/>
    <x v="0"/>
    <x v="3"/>
    <x v="0"/>
  </r>
  <r>
    <s v="T000234"/>
    <d v="2023-08-22T00:00:00"/>
    <x v="0"/>
    <x v="0"/>
    <x v="4"/>
    <x v="1"/>
    <s v="India"/>
    <x v="6"/>
    <x v="6"/>
    <s v="C00234"/>
    <n v="48"/>
    <s v="Other"/>
    <x v="0"/>
    <x v="1"/>
    <x v="3"/>
    <s v="Half Board"/>
    <n v="21850.240000000002"/>
    <n v="1905.31"/>
    <x v="2"/>
    <s v="Pending"/>
    <x v="2"/>
    <x v="33"/>
    <x v="4"/>
    <x v="1"/>
    <x v="0"/>
  </r>
  <r>
    <s v="T000235"/>
    <d v="2023-08-23T00:00:00"/>
    <x v="4"/>
    <x v="3"/>
    <x v="3"/>
    <x v="1"/>
    <s v="India"/>
    <x v="5"/>
    <x v="4"/>
    <s v="C00235"/>
    <n v="48"/>
    <s v="Male"/>
    <x v="4"/>
    <x v="1"/>
    <x v="3"/>
    <s v="No Meals"/>
    <n v="49539.85"/>
    <n v="2949.62"/>
    <x v="0"/>
    <s v="Confirmed"/>
    <x v="1"/>
    <x v="22"/>
    <x v="4"/>
    <x v="4"/>
    <x v="1"/>
  </r>
  <r>
    <s v="T000236"/>
    <d v="2023-08-24T00:00:00"/>
    <x v="3"/>
    <x v="1"/>
    <x v="1"/>
    <x v="1"/>
    <s v="India"/>
    <x v="1"/>
    <x v="1"/>
    <s v="C00236"/>
    <n v="30"/>
    <s v="Female"/>
    <x v="4"/>
    <x v="3"/>
    <x v="3"/>
    <s v="Breakfast Only"/>
    <n v="18598.349999999999"/>
    <n v="4353"/>
    <x v="2"/>
    <s v="Pending"/>
    <x v="2"/>
    <x v="2"/>
    <x v="3"/>
    <x v="3"/>
    <x v="1"/>
  </r>
  <r>
    <s v="T000237"/>
    <d v="2023-08-25T00:00:00"/>
    <x v="4"/>
    <x v="3"/>
    <x v="2"/>
    <x v="0"/>
    <s v="India"/>
    <x v="2"/>
    <x v="9"/>
    <s v="C00237"/>
    <n v="31"/>
    <s v="Female"/>
    <x v="4"/>
    <x v="1"/>
    <x v="2"/>
    <s v="No Meals"/>
    <n v="17488.8"/>
    <n v="1074.07"/>
    <x v="1"/>
    <s v="Cancelled"/>
    <x v="1"/>
    <x v="8"/>
    <x v="2"/>
    <x v="1"/>
    <x v="0"/>
  </r>
  <r>
    <s v="T000238"/>
    <d v="2023-08-26T00:00:00"/>
    <x v="0"/>
    <x v="0"/>
    <x v="4"/>
    <x v="1"/>
    <s v="India"/>
    <x v="6"/>
    <x v="9"/>
    <s v="C00238"/>
    <n v="66"/>
    <s v="Other"/>
    <x v="2"/>
    <x v="3"/>
    <x v="3"/>
    <s v="Breakfast Only"/>
    <n v="43899.24"/>
    <n v="2428.71"/>
    <x v="2"/>
    <s v="Cancelled"/>
    <x v="2"/>
    <x v="35"/>
    <x v="3"/>
    <x v="0"/>
    <x v="1"/>
  </r>
  <r>
    <s v="T000239"/>
    <d v="2023-08-27T00:00:00"/>
    <x v="1"/>
    <x v="1"/>
    <x v="0"/>
    <x v="0"/>
    <s v="India"/>
    <x v="4"/>
    <x v="10"/>
    <s v="C00239"/>
    <n v="62"/>
    <s v="Male"/>
    <x v="5"/>
    <x v="3"/>
    <x v="0"/>
    <s v="No Meals"/>
    <n v="5151.78"/>
    <n v="4803.71"/>
    <x v="3"/>
    <s v="Cancelled"/>
    <x v="1"/>
    <x v="6"/>
    <x v="3"/>
    <x v="4"/>
    <x v="0"/>
  </r>
  <r>
    <s v="T000240"/>
    <d v="2023-08-28T00:00:00"/>
    <x v="1"/>
    <x v="1"/>
    <x v="1"/>
    <x v="1"/>
    <s v="India"/>
    <x v="1"/>
    <x v="7"/>
    <s v="C00240"/>
    <n v="59"/>
    <s v="Other"/>
    <x v="5"/>
    <x v="2"/>
    <x v="0"/>
    <s v="Half Board"/>
    <n v="14056.39"/>
    <n v="2368.0100000000002"/>
    <x v="1"/>
    <s v="Confirmed"/>
    <x v="1"/>
    <x v="40"/>
    <x v="3"/>
    <x v="3"/>
    <x v="1"/>
  </r>
  <r>
    <s v="T000241"/>
    <d v="2023-08-29T00:00:00"/>
    <x v="2"/>
    <x v="2"/>
    <x v="2"/>
    <x v="0"/>
    <s v="India"/>
    <x v="3"/>
    <x v="10"/>
    <s v="C00241"/>
    <n v="42"/>
    <s v="Female"/>
    <x v="0"/>
    <x v="1"/>
    <x v="2"/>
    <s v="Full Board"/>
    <n v="31570.1"/>
    <n v="1264.1500000000001"/>
    <x v="2"/>
    <s v="Confirmed"/>
    <x v="1"/>
    <x v="23"/>
    <x v="1"/>
    <x v="0"/>
    <x v="0"/>
  </r>
  <r>
    <s v="T000242"/>
    <d v="2023-08-30T00:00:00"/>
    <x v="4"/>
    <x v="3"/>
    <x v="3"/>
    <x v="1"/>
    <s v="India"/>
    <x v="5"/>
    <x v="5"/>
    <s v="C00242"/>
    <n v="50"/>
    <s v="Male"/>
    <x v="3"/>
    <x v="2"/>
    <x v="2"/>
    <s v="Full Board"/>
    <n v="12310.27"/>
    <n v="1755.38"/>
    <x v="1"/>
    <s v="Cancelled"/>
    <x v="0"/>
    <x v="20"/>
    <x v="0"/>
    <x v="1"/>
    <x v="0"/>
  </r>
  <r>
    <s v="T000243"/>
    <d v="2023-08-31T00:00:00"/>
    <x v="4"/>
    <x v="3"/>
    <x v="2"/>
    <x v="0"/>
    <s v="India"/>
    <x v="3"/>
    <x v="0"/>
    <s v="C00243"/>
    <n v="50"/>
    <s v="Other"/>
    <x v="2"/>
    <x v="2"/>
    <x v="0"/>
    <s v="Half Board"/>
    <n v="49361.18"/>
    <n v="4425.42"/>
    <x v="0"/>
    <s v="Cancelled"/>
    <x v="2"/>
    <x v="13"/>
    <x v="0"/>
    <x v="3"/>
    <x v="1"/>
  </r>
  <r>
    <s v="T000244"/>
    <d v="2023-09-01T00:00:00"/>
    <x v="2"/>
    <x v="2"/>
    <x v="1"/>
    <x v="1"/>
    <s v="India"/>
    <x v="1"/>
    <x v="11"/>
    <s v="C00244"/>
    <n v="32"/>
    <s v="Female"/>
    <x v="6"/>
    <x v="1"/>
    <x v="2"/>
    <s v="Breakfast Only"/>
    <n v="25888.799999999999"/>
    <n v="4774.42"/>
    <x v="3"/>
    <s v="Cancelled"/>
    <x v="1"/>
    <x v="39"/>
    <x v="0"/>
    <x v="1"/>
    <x v="0"/>
  </r>
  <r>
    <s v="T000245"/>
    <d v="2023-09-02T00:00:00"/>
    <x v="2"/>
    <x v="2"/>
    <x v="1"/>
    <x v="1"/>
    <s v="India"/>
    <x v="1"/>
    <x v="9"/>
    <s v="C00245"/>
    <n v="33"/>
    <s v="Other"/>
    <x v="1"/>
    <x v="1"/>
    <x v="3"/>
    <s v="No Meals"/>
    <n v="31881.38"/>
    <n v="4750.54"/>
    <x v="0"/>
    <s v="Cancelled"/>
    <x v="2"/>
    <x v="13"/>
    <x v="0"/>
    <x v="1"/>
    <x v="1"/>
  </r>
  <r>
    <s v="T000246"/>
    <d v="2023-09-03T00:00:00"/>
    <x v="2"/>
    <x v="2"/>
    <x v="2"/>
    <x v="0"/>
    <s v="India"/>
    <x v="3"/>
    <x v="11"/>
    <s v="C00246"/>
    <n v="61"/>
    <s v="Other"/>
    <x v="2"/>
    <x v="0"/>
    <x v="1"/>
    <s v="Half Board"/>
    <n v="12216.81"/>
    <n v="3494.71"/>
    <x v="3"/>
    <s v="Pending"/>
    <x v="0"/>
    <x v="6"/>
    <x v="3"/>
    <x v="1"/>
    <x v="0"/>
  </r>
  <r>
    <s v="T000247"/>
    <d v="2023-09-04T00:00:00"/>
    <x v="0"/>
    <x v="0"/>
    <x v="3"/>
    <x v="1"/>
    <s v="India"/>
    <x v="5"/>
    <x v="3"/>
    <s v="C00247"/>
    <n v="55"/>
    <s v="Other"/>
    <x v="1"/>
    <x v="3"/>
    <x v="1"/>
    <s v="No Meals"/>
    <n v="18022.009999999998"/>
    <n v="2548.0100000000002"/>
    <x v="2"/>
    <s v="Cancelled"/>
    <x v="3"/>
    <x v="40"/>
    <x v="3"/>
    <x v="4"/>
    <x v="1"/>
  </r>
  <r>
    <s v="T000248"/>
    <d v="2023-09-05T00:00:00"/>
    <x v="4"/>
    <x v="3"/>
    <x v="2"/>
    <x v="0"/>
    <s v="India"/>
    <x v="3"/>
    <x v="8"/>
    <s v="C00248"/>
    <n v="23"/>
    <s v="Male"/>
    <x v="6"/>
    <x v="0"/>
    <x v="1"/>
    <s v="Half Board"/>
    <n v="32658.12"/>
    <n v="913.44"/>
    <x v="1"/>
    <s v="Confirmed"/>
    <x v="2"/>
    <x v="31"/>
    <x v="1"/>
    <x v="0"/>
    <x v="1"/>
  </r>
  <r>
    <s v="T000249"/>
    <d v="2023-09-06T00:00:00"/>
    <x v="0"/>
    <x v="0"/>
    <x v="1"/>
    <x v="1"/>
    <s v="India"/>
    <x v="1"/>
    <x v="4"/>
    <s v="C00249"/>
    <n v="61"/>
    <s v="Female"/>
    <x v="0"/>
    <x v="3"/>
    <x v="0"/>
    <s v="Half Board"/>
    <n v="29729.9"/>
    <n v="616.11"/>
    <x v="2"/>
    <s v="Confirmed"/>
    <x v="2"/>
    <x v="20"/>
    <x v="0"/>
    <x v="0"/>
    <x v="1"/>
  </r>
  <r>
    <s v="T000250"/>
    <d v="2023-09-07T00:00:00"/>
    <x v="2"/>
    <x v="2"/>
    <x v="1"/>
    <x v="1"/>
    <s v="India"/>
    <x v="1"/>
    <x v="3"/>
    <s v="C00250"/>
    <n v="42"/>
    <s v="Female"/>
    <x v="5"/>
    <x v="3"/>
    <x v="2"/>
    <s v="No Meals"/>
    <n v="40296.379999999997"/>
    <n v="298.83"/>
    <x v="0"/>
    <s v="Confirmed"/>
    <x v="0"/>
    <x v="3"/>
    <x v="3"/>
    <x v="2"/>
    <x v="1"/>
  </r>
  <r>
    <s v="T000251"/>
    <d v="2023-09-08T00:00:00"/>
    <x v="4"/>
    <x v="3"/>
    <x v="0"/>
    <x v="0"/>
    <s v="India"/>
    <x v="0"/>
    <x v="2"/>
    <s v="C00251"/>
    <n v="32"/>
    <s v="Female"/>
    <x v="1"/>
    <x v="3"/>
    <x v="1"/>
    <s v="Full Board"/>
    <n v="17115.490000000002"/>
    <n v="88.57"/>
    <x v="1"/>
    <s v="Confirmed"/>
    <x v="1"/>
    <x v="34"/>
    <x v="1"/>
    <x v="3"/>
    <x v="1"/>
  </r>
  <r>
    <s v="T000252"/>
    <d v="2023-09-09T00:00:00"/>
    <x v="0"/>
    <x v="0"/>
    <x v="0"/>
    <x v="0"/>
    <s v="India"/>
    <x v="4"/>
    <x v="9"/>
    <s v="C00252"/>
    <n v="21"/>
    <s v="Female"/>
    <x v="4"/>
    <x v="2"/>
    <x v="3"/>
    <s v="Full Board"/>
    <n v="34409.4"/>
    <n v="4390.58"/>
    <x v="2"/>
    <s v="Confirmed"/>
    <x v="2"/>
    <x v="23"/>
    <x v="1"/>
    <x v="1"/>
    <x v="0"/>
  </r>
  <r>
    <s v="T000253"/>
    <d v="2023-09-10T00:00:00"/>
    <x v="0"/>
    <x v="0"/>
    <x v="4"/>
    <x v="1"/>
    <s v="India"/>
    <x v="6"/>
    <x v="1"/>
    <s v="C00253"/>
    <n v="21"/>
    <s v="Male"/>
    <x v="2"/>
    <x v="2"/>
    <x v="3"/>
    <s v="Breakfast Only"/>
    <n v="18093.900000000001"/>
    <n v="4045.43"/>
    <x v="2"/>
    <s v="Cancelled"/>
    <x v="3"/>
    <x v="25"/>
    <x v="3"/>
    <x v="3"/>
    <x v="0"/>
  </r>
  <r>
    <s v="T000254"/>
    <d v="2023-09-11T00:00:00"/>
    <x v="2"/>
    <x v="2"/>
    <x v="1"/>
    <x v="1"/>
    <s v="India"/>
    <x v="1"/>
    <x v="0"/>
    <s v="C00254"/>
    <n v="47"/>
    <s v="Other"/>
    <x v="1"/>
    <x v="1"/>
    <x v="3"/>
    <s v="No Meals"/>
    <n v="31403.87"/>
    <n v="2839.11"/>
    <x v="1"/>
    <s v="Cancelled"/>
    <x v="0"/>
    <x v="4"/>
    <x v="0"/>
    <x v="0"/>
    <x v="1"/>
  </r>
  <r>
    <s v="T000255"/>
    <d v="2023-09-12T00:00:00"/>
    <x v="4"/>
    <x v="3"/>
    <x v="0"/>
    <x v="0"/>
    <s v="India"/>
    <x v="4"/>
    <x v="11"/>
    <s v="C00255"/>
    <n v="51"/>
    <s v="Female"/>
    <x v="6"/>
    <x v="3"/>
    <x v="2"/>
    <s v="Breakfast Only"/>
    <n v="32226.39"/>
    <n v="4993.62"/>
    <x v="1"/>
    <s v="Pending"/>
    <x v="1"/>
    <x v="7"/>
    <x v="3"/>
    <x v="0"/>
    <x v="0"/>
  </r>
  <r>
    <s v="T000256"/>
    <d v="2023-09-13T00:00:00"/>
    <x v="2"/>
    <x v="2"/>
    <x v="2"/>
    <x v="0"/>
    <s v="India"/>
    <x v="2"/>
    <x v="10"/>
    <s v="C00256"/>
    <n v="44"/>
    <s v="Male"/>
    <x v="5"/>
    <x v="3"/>
    <x v="1"/>
    <s v="Half Board"/>
    <n v="10482.76"/>
    <n v="4765.26"/>
    <x v="0"/>
    <s v="Pending"/>
    <x v="2"/>
    <x v="25"/>
    <x v="2"/>
    <x v="1"/>
    <x v="0"/>
  </r>
  <r>
    <s v="T000257"/>
    <d v="2023-09-14T00:00:00"/>
    <x v="4"/>
    <x v="3"/>
    <x v="3"/>
    <x v="1"/>
    <s v="India"/>
    <x v="5"/>
    <x v="8"/>
    <s v="C00257"/>
    <n v="48"/>
    <s v="Other"/>
    <x v="4"/>
    <x v="3"/>
    <x v="3"/>
    <s v="Breakfast Only"/>
    <n v="29688.49"/>
    <n v="3275.54"/>
    <x v="3"/>
    <s v="Pending"/>
    <x v="2"/>
    <x v="16"/>
    <x v="4"/>
    <x v="4"/>
    <x v="1"/>
  </r>
  <r>
    <s v="T000258"/>
    <d v="2023-09-15T00:00:00"/>
    <x v="1"/>
    <x v="1"/>
    <x v="2"/>
    <x v="0"/>
    <s v="India"/>
    <x v="2"/>
    <x v="7"/>
    <s v="C00258"/>
    <n v="49"/>
    <s v="Male"/>
    <x v="1"/>
    <x v="2"/>
    <x v="2"/>
    <s v="Half Board"/>
    <n v="5537.22"/>
    <n v="2322.87"/>
    <x v="3"/>
    <s v="Cancelled"/>
    <x v="0"/>
    <x v="12"/>
    <x v="1"/>
    <x v="1"/>
    <x v="1"/>
  </r>
  <r>
    <s v="T000259"/>
    <d v="2023-09-16T00:00:00"/>
    <x v="3"/>
    <x v="1"/>
    <x v="3"/>
    <x v="1"/>
    <s v="India"/>
    <x v="5"/>
    <x v="3"/>
    <s v="C00259"/>
    <n v="61"/>
    <s v="Male"/>
    <x v="5"/>
    <x v="1"/>
    <x v="3"/>
    <s v="No Meals"/>
    <n v="27554.48"/>
    <n v="760.85"/>
    <x v="1"/>
    <s v="Pending"/>
    <x v="1"/>
    <x v="10"/>
    <x v="1"/>
    <x v="1"/>
    <x v="0"/>
  </r>
  <r>
    <s v="T000260"/>
    <d v="2023-09-17T00:00:00"/>
    <x v="3"/>
    <x v="1"/>
    <x v="0"/>
    <x v="0"/>
    <s v="India"/>
    <x v="4"/>
    <x v="7"/>
    <s v="C00260"/>
    <n v="56"/>
    <s v="Female"/>
    <x v="6"/>
    <x v="2"/>
    <x v="1"/>
    <s v="No Meals"/>
    <n v="36388.480000000003"/>
    <n v="2577.9699999999998"/>
    <x v="3"/>
    <s v="Cancelled"/>
    <x v="1"/>
    <x v="20"/>
    <x v="0"/>
    <x v="2"/>
    <x v="1"/>
  </r>
  <r>
    <s v="T000261"/>
    <d v="2023-09-18T00:00:00"/>
    <x v="3"/>
    <x v="1"/>
    <x v="4"/>
    <x v="1"/>
    <s v="India"/>
    <x v="6"/>
    <x v="6"/>
    <s v="C00261"/>
    <n v="69"/>
    <s v="Female"/>
    <x v="0"/>
    <x v="0"/>
    <x v="1"/>
    <s v="No Meals"/>
    <n v="8277.4699999999993"/>
    <n v="788.72"/>
    <x v="0"/>
    <s v="Confirmed"/>
    <x v="0"/>
    <x v="34"/>
    <x v="1"/>
    <x v="4"/>
    <x v="1"/>
  </r>
  <r>
    <s v="T000262"/>
    <d v="2023-09-19T00:00:00"/>
    <x v="2"/>
    <x v="2"/>
    <x v="2"/>
    <x v="0"/>
    <s v="India"/>
    <x v="2"/>
    <x v="2"/>
    <s v="C00262"/>
    <n v="26"/>
    <s v="Other"/>
    <x v="6"/>
    <x v="0"/>
    <x v="1"/>
    <s v="No Meals"/>
    <n v="47241.99"/>
    <n v="1992.26"/>
    <x v="3"/>
    <s v="Cancelled"/>
    <x v="2"/>
    <x v="18"/>
    <x v="0"/>
    <x v="3"/>
    <x v="1"/>
  </r>
  <r>
    <s v="T000263"/>
    <d v="2023-09-20T00:00:00"/>
    <x v="1"/>
    <x v="1"/>
    <x v="2"/>
    <x v="0"/>
    <s v="India"/>
    <x v="2"/>
    <x v="11"/>
    <s v="C00263"/>
    <n v="58"/>
    <s v="Other"/>
    <x v="0"/>
    <x v="0"/>
    <x v="1"/>
    <s v="Breakfast Only"/>
    <n v="25644"/>
    <n v="4713.24"/>
    <x v="1"/>
    <s v="Cancelled"/>
    <x v="2"/>
    <x v="19"/>
    <x v="3"/>
    <x v="4"/>
    <x v="0"/>
  </r>
  <r>
    <s v="T000264"/>
    <d v="2023-09-21T00:00:00"/>
    <x v="4"/>
    <x v="3"/>
    <x v="2"/>
    <x v="0"/>
    <s v="India"/>
    <x v="3"/>
    <x v="11"/>
    <s v="C00264"/>
    <n v="25"/>
    <s v="Female"/>
    <x v="5"/>
    <x v="1"/>
    <x v="1"/>
    <s v="Half Board"/>
    <n v="47228.73"/>
    <n v="1709.89"/>
    <x v="0"/>
    <s v="Confirmed"/>
    <x v="1"/>
    <x v="33"/>
    <x v="4"/>
    <x v="1"/>
    <x v="1"/>
  </r>
  <r>
    <s v="T000265"/>
    <d v="2023-09-22T00:00:00"/>
    <x v="0"/>
    <x v="0"/>
    <x v="3"/>
    <x v="1"/>
    <s v="India"/>
    <x v="5"/>
    <x v="4"/>
    <s v="C00265"/>
    <n v="31"/>
    <s v="Male"/>
    <x v="5"/>
    <x v="0"/>
    <x v="3"/>
    <s v="Full Board"/>
    <n v="9832.93"/>
    <n v="763.94"/>
    <x v="1"/>
    <s v="Confirmed"/>
    <x v="1"/>
    <x v="16"/>
    <x v="4"/>
    <x v="1"/>
    <x v="0"/>
  </r>
  <r>
    <s v="T000266"/>
    <d v="2023-09-23T00:00:00"/>
    <x v="4"/>
    <x v="3"/>
    <x v="0"/>
    <x v="0"/>
    <s v="India"/>
    <x v="4"/>
    <x v="1"/>
    <s v="C00266"/>
    <n v="50"/>
    <s v="Female"/>
    <x v="4"/>
    <x v="1"/>
    <x v="1"/>
    <s v="No Meals"/>
    <n v="47745.62"/>
    <n v="2911.98"/>
    <x v="0"/>
    <s v="Confirmed"/>
    <x v="3"/>
    <x v="4"/>
    <x v="0"/>
    <x v="1"/>
    <x v="1"/>
  </r>
  <r>
    <s v="T000267"/>
    <d v="2023-09-24T00:00:00"/>
    <x v="0"/>
    <x v="0"/>
    <x v="2"/>
    <x v="0"/>
    <s v="India"/>
    <x v="3"/>
    <x v="6"/>
    <s v="C00267"/>
    <n v="40"/>
    <s v="Other"/>
    <x v="6"/>
    <x v="2"/>
    <x v="3"/>
    <s v="No Meals"/>
    <n v="9913.8700000000008"/>
    <n v="3011.82"/>
    <x v="0"/>
    <s v="Pending"/>
    <x v="3"/>
    <x v="3"/>
    <x v="3"/>
    <x v="1"/>
    <x v="0"/>
  </r>
  <r>
    <s v="T000268"/>
    <d v="2023-09-25T00:00:00"/>
    <x v="4"/>
    <x v="3"/>
    <x v="2"/>
    <x v="0"/>
    <s v="India"/>
    <x v="2"/>
    <x v="1"/>
    <s v="C00268"/>
    <n v="38"/>
    <s v="Male"/>
    <x v="3"/>
    <x v="2"/>
    <x v="1"/>
    <s v="Half Board"/>
    <n v="25767.31"/>
    <n v="969.02"/>
    <x v="1"/>
    <s v="Pending"/>
    <x v="3"/>
    <x v="29"/>
    <x v="1"/>
    <x v="1"/>
    <x v="1"/>
  </r>
  <r>
    <s v="T000269"/>
    <d v="2023-09-26T00:00:00"/>
    <x v="1"/>
    <x v="1"/>
    <x v="4"/>
    <x v="1"/>
    <s v="India"/>
    <x v="6"/>
    <x v="5"/>
    <s v="C00269"/>
    <n v="29"/>
    <s v="Male"/>
    <x v="2"/>
    <x v="1"/>
    <x v="3"/>
    <s v="Full Board"/>
    <n v="47209.64"/>
    <n v="982.93"/>
    <x v="2"/>
    <s v="Pending"/>
    <x v="1"/>
    <x v="38"/>
    <x v="0"/>
    <x v="4"/>
    <x v="1"/>
  </r>
  <r>
    <s v="T000270"/>
    <d v="2023-09-27T00:00:00"/>
    <x v="0"/>
    <x v="0"/>
    <x v="4"/>
    <x v="1"/>
    <s v="India"/>
    <x v="6"/>
    <x v="10"/>
    <s v="C00270"/>
    <n v="19"/>
    <s v="Male"/>
    <x v="3"/>
    <x v="2"/>
    <x v="1"/>
    <s v="No Meals"/>
    <n v="15471.87"/>
    <n v="4947.75"/>
    <x v="1"/>
    <s v="Confirmed"/>
    <x v="1"/>
    <x v="32"/>
    <x v="4"/>
    <x v="1"/>
    <x v="1"/>
  </r>
  <r>
    <s v="T000271"/>
    <d v="2023-09-28T00:00:00"/>
    <x v="2"/>
    <x v="2"/>
    <x v="0"/>
    <x v="0"/>
    <s v="India"/>
    <x v="0"/>
    <x v="9"/>
    <s v="C00271"/>
    <n v="30"/>
    <s v="Female"/>
    <x v="3"/>
    <x v="2"/>
    <x v="3"/>
    <s v="Full Board"/>
    <n v="6565.32"/>
    <n v="1216.4100000000001"/>
    <x v="0"/>
    <s v="Pending"/>
    <x v="1"/>
    <x v="17"/>
    <x v="1"/>
    <x v="0"/>
    <x v="0"/>
  </r>
  <r>
    <s v="T000272"/>
    <d v="2023-09-29T00:00:00"/>
    <x v="4"/>
    <x v="3"/>
    <x v="0"/>
    <x v="0"/>
    <s v="India"/>
    <x v="0"/>
    <x v="9"/>
    <s v="C00272"/>
    <n v="21"/>
    <s v="Female"/>
    <x v="3"/>
    <x v="1"/>
    <x v="1"/>
    <s v="No Meals"/>
    <n v="40689.980000000003"/>
    <n v="4190.96"/>
    <x v="1"/>
    <s v="Confirmed"/>
    <x v="2"/>
    <x v="21"/>
    <x v="2"/>
    <x v="0"/>
    <x v="0"/>
  </r>
  <r>
    <s v="T000273"/>
    <d v="2023-09-30T00:00:00"/>
    <x v="4"/>
    <x v="3"/>
    <x v="1"/>
    <x v="1"/>
    <s v="India"/>
    <x v="1"/>
    <x v="11"/>
    <s v="C00273"/>
    <n v="37"/>
    <s v="Other"/>
    <x v="2"/>
    <x v="0"/>
    <x v="2"/>
    <s v="Breakfast Only"/>
    <n v="31814.76"/>
    <n v="2351.62"/>
    <x v="1"/>
    <s v="Confirmed"/>
    <x v="0"/>
    <x v="32"/>
    <x v="4"/>
    <x v="2"/>
    <x v="0"/>
  </r>
  <r>
    <s v="T000274"/>
    <d v="2023-10-01T00:00:00"/>
    <x v="0"/>
    <x v="0"/>
    <x v="4"/>
    <x v="1"/>
    <s v="India"/>
    <x v="6"/>
    <x v="3"/>
    <s v="C00274"/>
    <n v="67"/>
    <s v="Male"/>
    <x v="3"/>
    <x v="1"/>
    <x v="3"/>
    <s v="Breakfast Only"/>
    <n v="28126.45"/>
    <n v="2174.9499999999998"/>
    <x v="0"/>
    <s v="Confirmed"/>
    <x v="1"/>
    <x v="34"/>
    <x v="1"/>
    <x v="3"/>
    <x v="0"/>
  </r>
  <r>
    <s v="T000275"/>
    <d v="2023-10-02T00:00:00"/>
    <x v="2"/>
    <x v="2"/>
    <x v="1"/>
    <x v="1"/>
    <s v="India"/>
    <x v="1"/>
    <x v="0"/>
    <s v="C00275"/>
    <n v="68"/>
    <s v="Male"/>
    <x v="0"/>
    <x v="3"/>
    <x v="2"/>
    <s v="Full Board"/>
    <n v="6545.45"/>
    <n v="1474.81"/>
    <x v="3"/>
    <s v="Pending"/>
    <x v="2"/>
    <x v="36"/>
    <x v="4"/>
    <x v="0"/>
    <x v="1"/>
  </r>
  <r>
    <s v="T000276"/>
    <d v="2023-10-03T00:00:00"/>
    <x v="2"/>
    <x v="2"/>
    <x v="3"/>
    <x v="1"/>
    <s v="India"/>
    <x v="5"/>
    <x v="9"/>
    <s v="C00276"/>
    <n v="65"/>
    <s v="Female"/>
    <x v="6"/>
    <x v="2"/>
    <x v="3"/>
    <s v="Half Board"/>
    <n v="34395.410000000003"/>
    <n v="3869.13"/>
    <x v="0"/>
    <s v="Pending"/>
    <x v="1"/>
    <x v="31"/>
    <x v="1"/>
    <x v="2"/>
    <x v="1"/>
  </r>
  <r>
    <s v="T000277"/>
    <d v="2023-10-04T00:00:00"/>
    <x v="1"/>
    <x v="1"/>
    <x v="1"/>
    <x v="1"/>
    <s v="India"/>
    <x v="1"/>
    <x v="2"/>
    <s v="C00277"/>
    <n v="31"/>
    <s v="Other"/>
    <x v="5"/>
    <x v="1"/>
    <x v="3"/>
    <s v="Half Board"/>
    <n v="12723.05"/>
    <n v="4403.3"/>
    <x v="1"/>
    <s v="Confirmed"/>
    <x v="0"/>
    <x v="32"/>
    <x v="4"/>
    <x v="4"/>
    <x v="0"/>
  </r>
  <r>
    <s v="T000278"/>
    <d v="2023-10-05T00:00:00"/>
    <x v="2"/>
    <x v="2"/>
    <x v="2"/>
    <x v="0"/>
    <s v="India"/>
    <x v="3"/>
    <x v="6"/>
    <s v="C00278"/>
    <n v="47"/>
    <s v="Other"/>
    <x v="4"/>
    <x v="2"/>
    <x v="3"/>
    <s v="Breakfast Only"/>
    <n v="46903.85"/>
    <n v="1305.6400000000001"/>
    <x v="0"/>
    <s v="Pending"/>
    <x v="1"/>
    <x v="13"/>
    <x v="0"/>
    <x v="3"/>
    <x v="0"/>
  </r>
  <r>
    <s v="T000279"/>
    <d v="2023-10-06T00:00:00"/>
    <x v="2"/>
    <x v="2"/>
    <x v="1"/>
    <x v="1"/>
    <s v="India"/>
    <x v="1"/>
    <x v="2"/>
    <s v="C00279"/>
    <n v="46"/>
    <s v="Male"/>
    <x v="3"/>
    <x v="0"/>
    <x v="0"/>
    <s v="Half Board"/>
    <n v="35857.71"/>
    <n v="475.48"/>
    <x v="0"/>
    <s v="Cancelled"/>
    <x v="2"/>
    <x v="34"/>
    <x v="1"/>
    <x v="1"/>
    <x v="0"/>
  </r>
  <r>
    <s v="T000280"/>
    <d v="2023-10-07T00:00:00"/>
    <x v="2"/>
    <x v="2"/>
    <x v="0"/>
    <x v="0"/>
    <s v="India"/>
    <x v="4"/>
    <x v="2"/>
    <s v="C00280"/>
    <n v="25"/>
    <s v="Female"/>
    <x v="5"/>
    <x v="2"/>
    <x v="1"/>
    <s v="Half Board"/>
    <n v="36816.519999999997"/>
    <n v="684.6"/>
    <x v="3"/>
    <s v="Pending"/>
    <x v="1"/>
    <x v="14"/>
    <x v="1"/>
    <x v="1"/>
    <x v="0"/>
  </r>
  <r>
    <s v="T000281"/>
    <d v="2023-10-08T00:00:00"/>
    <x v="3"/>
    <x v="1"/>
    <x v="3"/>
    <x v="1"/>
    <s v="India"/>
    <x v="5"/>
    <x v="9"/>
    <s v="C00281"/>
    <n v="29"/>
    <s v="Male"/>
    <x v="3"/>
    <x v="1"/>
    <x v="2"/>
    <s v="Half Board"/>
    <n v="15466.11"/>
    <n v="3964.02"/>
    <x v="2"/>
    <s v="Confirmed"/>
    <x v="1"/>
    <x v="35"/>
    <x v="3"/>
    <x v="4"/>
    <x v="0"/>
  </r>
  <r>
    <s v="T000282"/>
    <d v="2023-10-09T00:00:00"/>
    <x v="1"/>
    <x v="1"/>
    <x v="2"/>
    <x v="0"/>
    <s v="India"/>
    <x v="3"/>
    <x v="3"/>
    <s v="C00282"/>
    <n v="58"/>
    <s v="Female"/>
    <x v="4"/>
    <x v="0"/>
    <x v="2"/>
    <s v="Full Board"/>
    <n v="44633.919999999998"/>
    <n v="2179.13"/>
    <x v="1"/>
    <s v="Confirmed"/>
    <x v="1"/>
    <x v="32"/>
    <x v="4"/>
    <x v="3"/>
    <x v="0"/>
  </r>
  <r>
    <s v="T000283"/>
    <d v="2023-10-10T00:00:00"/>
    <x v="4"/>
    <x v="3"/>
    <x v="1"/>
    <x v="1"/>
    <s v="India"/>
    <x v="1"/>
    <x v="10"/>
    <s v="C00283"/>
    <n v="55"/>
    <s v="Other"/>
    <x v="4"/>
    <x v="0"/>
    <x v="3"/>
    <s v="Full Board"/>
    <n v="29197.97"/>
    <n v="659.57"/>
    <x v="1"/>
    <s v="Confirmed"/>
    <x v="3"/>
    <x v="28"/>
    <x v="3"/>
    <x v="0"/>
    <x v="1"/>
  </r>
  <r>
    <s v="T000284"/>
    <d v="2023-10-11T00:00:00"/>
    <x v="0"/>
    <x v="0"/>
    <x v="3"/>
    <x v="1"/>
    <s v="India"/>
    <x v="5"/>
    <x v="8"/>
    <s v="C00284"/>
    <n v="43"/>
    <s v="Male"/>
    <x v="3"/>
    <x v="0"/>
    <x v="2"/>
    <s v="Half Board"/>
    <n v="43568.79"/>
    <n v="1701.44"/>
    <x v="3"/>
    <s v="Cancelled"/>
    <x v="1"/>
    <x v="9"/>
    <x v="4"/>
    <x v="3"/>
    <x v="0"/>
  </r>
  <r>
    <s v="T000285"/>
    <d v="2023-10-12T00:00:00"/>
    <x v="4"/>
    <x v="3"/>
    <x v="3"/>
    <x v="1"/>
    <s v="India"/>
    <x v="5"/>
    <x v="1"/>
    <s v="C00285"/>
    <n v="67"/>
    <s v="Male"/>
    <x v="0"/>
    <x v="3"/>
    <x v="2"/>
    <s v="Breakfast Only"/>
    <n v="17192.64"/>
    <n v="2571.1799999999998"/>
    <x v="0"/>
    <s v="Confirmed"/>
    <x v="2"/>
    <x v="7"/>
    <x v="3"/>
    <x v="2"/>
    <x v="0"/>
  </r>
  <r>
    <s v="T000286"/>
    <d v="2023-10-13T00:00:00"/>
    <x v="1"/>
    <x v="1"/>
    <x v="2"/>
    <x v="0"/>
    <s v="India"/>
    <x v="2"/>
    <x v="4"/>
    <s v="C00286"/>
    <n v="19"/>
    <s v="Male"/>
    <x v="5"/>
    <x v="1"/>
    <x v="2"/>
    <s v="Half Board"/>
    <n v="38995.78"/>
    <n v="4260.26"/>
    <x v="2"/>
    <s v="Confirmed"/>
    <x v="2"/>
    <x v="31"/>
    <x v="1"/>
    <x v="4"/>
    <x v="0"/>
  </r>
  <r>
    <s v="T000287"/>
    <d v="2023-10-14T00:00:00"/>
    <x v="0"/>
    <x v="0"/>
    <x v="1"/>
    <x v="1"/>
    <s v="India"/>
    <x v="1"/>
    <x v="4"/>
    <s v="C00287"/>
    <n v="57"/>
    <s v="Other"/>
    <x v="4"/>
    <x v="1"/>
    <x v="2"/>
    <s v="No Meals"/>
    <n v="30855.51"/>
    <n v="3208.72"/>
    <x v="1"/>
    <s v="Pending"/>
    <x v="2"/>
    <x v="2"/>
    <x v="3"/>
    <x v="0"/>
    <x v="1"/>
  </r>
  <r>
    <s v="T000288"/>
    <d v="2023-10-15T00:00:00"/>
    <x v="1"/>
    <x v="1"/>
    <x v="3"/>
    <x v="1"/>
    <s v="India"/>
    <x v="5"/>
    <x v="4"/>
    <s v="C00288"/>
    <n v="31"/>
    <s v="Male"/>
    <x v="6"/>
    <x v="0"/>
    <x v="0"/>
    <s v="Breakfast Only"/>
    <n v="7178.87"/>
    <n v="880.16"/>
    <x v="2"/>
    <s v="Cancelled"/>
    <x v="1"/>
    <x v="20"/>
    <x v="0"/>
    <x v="3"/>
    <x v="0"/>
  </r>
  <r>
    <s v="T000289"/>
    <d v="2023-10-16T00:00:00"/>
    <x v="2"/>
    <x v="2"/>
    <x v="3"/>
    <x v="1"/>
    <s v="India"/>
    <x v="5"/>
    <x v="2"/>
    <s v="C00289"/>
    <n v="23"/>
    <s v="Other"/>
    <x v="5"/>
    <x v="2"/>
    <x v="3"/>
    <s v="Full Board"/>
    <n v="23240.400000000001"/>
    <n v="793.51"/>
    <x v="2"/>
    <s v="Pending"/>
    <x v="0"/>
    <x v="4"/>
    <x v="0"/>
    <x v="3"/>
    <x v="1"/>
  </r>
  <r>
    <s v="T000290"/>
    <d v="2023-10-17T00:00:00"/>
    <x v="0"/>
    <x v="0"/>
    <x v="4"/>
    <x v="1"/>
    <s v="India"/>
    <x v="6"/>
    <x v="3"/>
    <s v="C00290"/>
    <n v="59"/>
    <s v="Female"/>
    <x v="6"/>
    <x v="0"/>
    <x v="2"/>
    <s v="No Meals"/>
    <n v="13275.97"/>
    <n v="2061.67"/>
    <x v="0"/>
    <s v="Confirmed"/>
    <x v="2"/>
    <x v="5"/>
    <x v="1"/>
    <x v="0"/>
    <x v="1"/>
  </r>
  <r>
    <s v="T000291"/>
    <d v="2023-10-18T00:00:00"/>
    <x v="2"/>
    <x v="2"/>
    <x v="3"/>
    <x v="1"/>
    <s v="India"/>
    <x v="5"/>
    <x v="6"/>
    <s v="C00291"/>
    <n v="57"/>
    <s v="Other"/>
    <x v="5"/>
    <x v="3"/>
    <x v="0"/>
    <s v="Half Board"/>
    <n v="21162.81"/>
    <n v="375.96"/>
    <x v="0"/>
    <s v="Confirmed"/>
    <x v="3"/>
    <x v="24"/>
    <x v="0"/>
    <x v="2"/>
    <x v="0"/>
  </r>
  <r>
    <s v="T000292"/>
    <d v="2023-10-19T00:00:00"/>
    <x v="4"/>
    <x v="3"/>
    <x v="4"/>
    <x v="1"/>
    <s v="India"/>
    <x v="6"/>
    <x v="4"/>
    <s v="C00292"/>
    <n v="48"/>
    <s v="Female"/>
    <x v="0"/>
    <x v="0"/>
    <x v="0"/>
    <s v="Half Board"/>
    <n v="22250.82"/>
    <n v="3777.89"/>
    <x v="0"/>
    <s v="Cancelled"/>
    <x v="0"/>
    <x v="3"/>
    <x v="3"/>
    <x v="2"/>
    <x v="1"/>
  </r>
  <r>
    <s v="T000293"/>
    <d v="2023-10-20T00:00:00"/>
    <x v="4"/>
    <x v="3"/>
    <x v="1"/>
    <x v="1"/>
    <s v="India"/>
    <x v="1"/>
    <x v="11"/>
    <s v="C00293"/>
    <n v="34"/>
    <s v="Other"/>
    <x v="2"/>
    <x v="1"/>
    <x v="3"/>
    <s v="Breakfast Only"/>
    <n v="26371.78"/>
    <n v="2007.27"/>
    <x v="1"/>
    <s v="Confirmed"/>
    <x v="2"/>
    <x v="29"/>
    <x v="1"/>
    <x v="3"/>
    <x v="0"/>
  </r>
  <r>
    <s v="T000294"/>
    <d v="2023-10-21T00:00:00"/>
    <x v="0"/>
    <x v="0"/>
    <x v="1"/>
    <x v="1"/>
    <s v="India"/>
    <x v="1"/>
    <x v="5"/>
    <s v="C00294"/>
    <n v="42"/>
    <s v="Other"/>
    <x v="1"/>
    <x v="0"/>
    <x v="1"/>
    <s v="Breakfast Only"/>
    <n v="32013.07"/>
    <n v="1715.12"/>
    <x v="2"/>
    <s v="Cancelled"/>
    <x v="1"/>
    <x v="28"/>
    <x v="3"/>
    <x v="1"/>
    <x v="1"/>
  </r>
  <r>
    <s v="T000295"/>
    <d v="2023-10-22T00:00:00"/>
    <x v="0"/>
    <x v="0"/>
    <x v="1"/>
    <x v="1"/>
    <s v="India"/>
    <x v="1"/>
    <x v="2"/>
    <s v="C00295"/>
    <n v="49"/>
    <s v="Male"/>
    <x v="0"/>
    <x v="2"/>
    <x v="1"/>
    <s v="Half Board"/>
    <n v="30693.99"/>
    <n v="2545.54"/>
    <x v="2"/>
    <s v="Pending"/>
    <x v="3"/>
    <x v="9"/>
    <x v="4"/>
    <x v="0"/>
    <x v="0"/>
  </r>
  <r>
    <s v="T000296"/>
    <d v="2023-10-23T00:00:00"/>
    <x v="1"/>
    <x v="1"/>
    <x v="0"/>
    <x v="0"/>
    <s v="India"/>
    <x v="4"/>
    <x v="3"/>
    <s v="C00296"/>
    <n v="29"/>
    <s v="Other"/>
    <x v="3"/>
    <x v="1"/>
    <x v="1"/>
    <s v="Half Board"/>
    <n v="6754.61"/>
    <n v="3544.78"/>
    <x v="1"/>
    <s v="Cancelled"/>
    <x v="2"/>
    <x v="31"/>
    <x v="1"/>
    <x v="2"/>
    <x v="0"/>
  </r>
  <r>
    <s v="T000297"/>
    <d v="2023-10-24T00:00:00"/>
    <x v="1"/>
    <x v="1"/>
    <x v="1"/>
    <x v="1"/>
    <s v="India"/>
    <x v="1"/>
    <x v="3"/>
    <s v="C00297"/>
    <n v="66"/>
    <s v="Male"/>
    <x v="1"/>
    <x v="2"/>
    <x v="2"/>
    <s v="Breakfast Only"/>
    <n v="38781.01"/>
    <n v="2846.73"/>
    <x v="3"/>
    <s v="Pending"/>
    <x v="3"/>
    <x v="6"/>
    <x v="3"/>
    <x v="2"/>
    <x v="1"/>
  </r>
  <r>
    <s v="T000298"/>
    <d v="2023-10-25T00:00:00"/>
    <x v="2"/>
    <x v="2"/>
    <x v="3"/>
    <x v="1"/>
    <s v="India"/>
    <x v="5"/>
    <x v="6"/>
    <s v="C00298"/>
    <n v="30"/>
    <s v="Female"/>
    <x v="3"/>
    <x v="0"/>
    <x v="3"/>
    <s v="No Meals"/>
    <n v="47713.27"/>
    <n v="4012.01"/>
    <x v="0"/>
    <s v="Confirmed"/>
    <x v="0"/>
    <x v="28"/>
    <x v="3"/>
    <x v="2"/>
    <x v="0"/>
  </r>
  <r>
    <s v="T000299"/>
    <d v="2023-10-26T00:00:00"/>
    <x v="0"/>
    <x v="0"/>
    <x v="2"/>
    <x v="0"/>
    <s v="India"/>
    <x v="2"/>
    <x v="1"/>
    <s v="C00299"/>
    <n v="36"/>
    <s v="Female"/>
    <x v="6"/>
    <x v="1"/>
    <x v="1"/>
    <s v="Full Board"/>
    <n v="20690.66"/>
    <n v="3146.81"/>
    <x v="1"/>
    <s v="Pending"/>
    <x v="2"/>
    <x v="12"/>
    <x v="1"/>
    <x v="4"/>
    <x v="0"/>
  </r>
  <r>
    <s v="T000300"/>
    <d v="2023-10-27T00:00:00"/>
    <x v="4"/>
    <x v="3"/>
    <x v="4"/>
    <x v="1"/>
    <s v="India"/>
    <x v="6"/>
    <x v="4"/>
    <s v="C00300"/>
    <n v="61"/>
    <s v="Male"/>
    <x v="4"/>
    <x v="3"/>
    <x v="2"/>
    <s v="Breakfast Only"/>
    <n v="13088.61"/>
    <n v="3939.85"/>
    <x v="0"/>
    <s v="Pending"/>
    <x v="1"/>
    <x v="19"/>
    <x v="3"/>
    <x v="1"/>
    <x v="1"/>
  </r>
  <r>
    <s v="T000301"/>
    <d v="2023-10-28T00:00:00"/>
    <x v="1"/>
    <x v="1"/>
    <x v="0"/>
    <x v="0"/>
    <s v="India"/>
    <x v="4"/>
    <x v="7"/>
    <s v="C00301"/>
    <n v="65"/>
    <s v="Female"/>
    <x v="5"/>
    <x v="1"/>
    <x v="3"/>
    <s v="No Meals"/>
    <n v="29300.07"/>
    <n v="3483.91"/>
    <x v="2"/>
    <s v="Pending"/>
    <x v="3"/>
    <x v="29"/>
    <x v="1"/>
    <x v="2"/>
    <x v="1"/>
  </r>
  <r>
    <s v="T000302"/>
    <d v="2023-10-29T00:00:00"/>
    <x v="1"/>
    <x v="1"/>
    <x v="1"/>
    <x v="1"/>
    <s v="India"/>
    <x v="1"/>
    <x v="8"/>
    <s v="C00302"/>
    <n v="42"/>
    <s v="Other"/>
    <x v="3"/>
    <x v="2"/>
    <x v="2"/>
    <s v="Half Board"/>
    <n v="36721.08"/>
    <n v="965.61"/>
    <x v="1"/>
    <s v="Cancelled"/>
    <x v="2"/>
    <x v="24"/>
    <x v="0"/>
    <x v="1"/>
    <x v="0"/>
  </r>
  <r>
    <s v="T000303"/>
    <d v="2023-10-30T00:00:00"/>
    <x v="4"/>
    <x v="3"/>
    <x v="1"/>
    <x v="1"/>
    <s v="India"/>
    <x v="1"/>
    <x v="2"/>
    <s v="C00303"/>
    <n v="48"/>
    <s v="Male"/>
    <x v="6"/>
    <x v="1"/>
    <x v="1"/>
    <s v="Full Board"/>
    <n v="35550.720000000001"/>
    <n v="261.77"/>
    <x v="3"/>
    <s v="Pending"/>
    <x v="0"/>
    <x v="5"/>
    <x v="1"/>
    <x v="3"/>
    <x v="1"/>
  </r>
  <r>
    <s v="T000304"/>
    <d v="2023-10-31T00:00:00"/>
    <x v="1"/>
    <x v="1"/>
    <x v="2"/>
    <x v="0"/>
    <s v="India"/>
    <x v="3"/>
    <x v="5"/>
    <s v="C00304"/>
    <n v="54"/>
    <s v="Male"/>
    <x v="0"/>
    <x v="3"/>
    <x v="1"/>
    <s v="No Meals"/>
    <n v="32544.93"/>
    <n v="4516.9799999999996"/>
    <x v="0"/>
    <s v="Cancelled"/>
    <x v="0"/>
    <x v="21"/>
    <x v="0"/>
    <x v="3"/>
    <x v="0"/>
  </r>
  <r>
    <s v="T000305"/>
    <d v="2023-11-01T00:00:00"/>
    <x v="2"/>
    <x v="2"/>
    <x v="2"/>
    <x v="0"/>
    <s v="India"/>
    <x v="2"/>
    <x v="3"/>
    <s v="C00305"/>
    <n v="42"/>
    <s v="Male"/>
    <x v="3"/>
    <x v="3"/>
    <x v="0"/>
    <s v="Full Board"/>
    <n v="11580.45"/>
    <n v="4728.28"/>
    <x v="2"/>
    <s v="Cancelled"/>
    <x v="2"/>
    <x v="26"/>
    <x v="0"/>
    <x v="4"/>
    <x v="1"/>
  </r>
  <r>
    <s v="T000306"/>
    <d v="2023-11-02T00:00:00"/>
    <x v="0"/>
    <x v="0"/>
    <x v="0"/>
    <x v="0"/>
    <s v="India"/>
    <x v="4"/>
    <x v="5"/>
    <s v="C00306"/>
    <n v="33"/>
    <s v="Female"/>
    <x v="6"/>
    <x v="3"/>
    <x v="0"/>
    <s v="Full Board"/>
    <n v="42657.120000000003"/>
    <n v="3634.66"/>
    <x v="2"/>
    <s v="Cancelled"/>
    <x v="0"/>
    <x v="13"/>
    <x v="0"/>
    <x v="1"/>
    <x v="1"/>
  </r>
  <r>
    <s v="T000307"/>
    <d v="2023-11-03T00:00:00"/>
    <x v="4"/>
    <x v="3"/>
    <x v="4"/>
    <x v="1"/>
    <s v="India"/>
    <x v="6"/>
    <x v="3"/>
    <s v="C00307"/>
    <n v="55"/>
    <s v="Female"/>
    <x v="4"/>
    <x v="3"/>
    <x v="3"/>
    <s v="Full Board"/>
    <n v="24152.97"/>
    <n v="3621.03"/>
    <x v="3"/>
    <s v="Confirmed"/>
    <x v="3"/>
    <x v="10"/>
    <x v="1"/>
    <x v="0"/>
    <x v="1"/>
  </r>
  <r>
    <s v="T000308"/>
    <d v="2023-11-04T00:00:00"/>
    <x v="0"/>
    <x v="0"/>
    <x v="1"/>
    <x v="1"/>
    <s v="India"/>
    <x v="1"/>
    <x v="10"/>
    <s v="C00308"/>
    <n v="60"/>
    <s v="Other"/>
    <x v="5"/>
    <x v="2"/>
    <x v="2"/>
    <s v="No Meals"/>
    <n v="14966.09"/>
    <n v="1350.74"/>
    <x v="3"/>
    <s v="Confirmed"/>
    <x v="3"/>
    <x v="7"/>
    <x v="3"/>
    <x v="4"/>
    <x v="0"/>
  </r>
  <r>
    <s v="T000309"/>
    <d v="2023-11-05T00:00:00"/>
    <x v="1"/>
    <x v="1"/>
    <x v="0"/>
    <x v="0"/>
    <s v="India"/>
    <x v="4"/>
    <x v="1"/>
    <s v="C00309"/>
    <n v="66"/>
    <s v="Other"/>
    <x v="3"/>
    <x v="1"/>
    <x v="2"/>
    <s v="No Meals"/>
    <n v="8881.98"/>
    <n v="2712.21"/>
    <x v="0"/>
    <s v="Confirmed"/>
    <x v="3"/>
    <x v="32"/>
    <x v="4"/>
    <x v="2"/>
    <x v="0"/>
  </r>
  <r>
    <s v="T000310"/>
    <d v="2023-11-06T00:00:00"/>
    <x v="1"/>
    <x v="1"/>
    <x v="3"/>
    <x v="1"/>
    <s v="India"/>
    <x v="5"/>
    <x v="11"/>
    <s v="C00310"/>
    <n v="40"/>
    <s v="Male"/>
    <x v="2"/>
    <x v="0"/>
    <x v="1"/>
    <s v="Half Board"/>
    <n v="23752.36"/>
    <n v="4961.2"/>
    <x v="2"/>
    <s v="Cancelled"/>
    <x v="3"/>
    <x v="11"/>
    <x v="0"/>
    <x v="3"/>
    <x v="0"/>
  </r>
  <r>
    <s v="T000311"/>
    <d v="2023-11-07T00:00:00"/>
    <x v="4"/>
    <x v="3"/>
    <x v="3"/>
    <x v="1"/>
    <s v="India"/>
    <x v="5"/>
    <x v="10"/>
    <s v="C00311"/>
    <n v="31"/>
    <s v="Other"/>
    <x v="6"/>
    <x v="3"/>
    <x v="1"/>
    <s v="Full Board"/>
    <n v="32808.79"/>
    <n v="4280.72"/>
    <x v="3"/>
    <s v="Confirmed"/>
    <x v="0"/>
    <x v="0"/>
    <x v="0"/>
    <x v="3"/>
    <x v="0"/>
  </r>
  <r>
    <s v="T000312"/>
    <d v="2023-11-08T00:00:00"/>
    <x v="2"/>
    <x v="2"/>
    <x v="0"/>
    <x v="0"/>
    <s v="India"/>
    <x v="4"/>
    <x v="0"/>
    <s v="C00312"/>
    <n v="23"/>
    <s v="Female"/>
    <x v="3"/>
    <x v="0"/>
    <x v="3"/>
    <s v="Breakfast Only"/>
    <n v="34942"/>
    <n v="1521.97"/>
    <x v="1"/>
    <s v="Pending"/>
    <x v="2"/>
    <x v="5"/>
    <x v="1"/>
    <x v="0"/>
    <x v="0"/>
  </r>
  <r>
    <s v="T000313"/>
    <d v="2023-11-09T00:00:00"/>
    <x v="3"/>
    <x v="1"/>
    <x v="1"/>
    <x v="1"/>
    <s v="India"/>
    <x v="1"/>
    <x v="4"/>
    <s v="C00313"/>
    <n v="42"/>
    <s v="Other"/>
    <x v="4"/>
    <x v="0"/>
    <x v="0"/>
    <s v="Breakfast Only"/>
    <n v="48323.16"/>
    <n v="1505.23"/>
    <x v="3"/>
    <s v="Cancelled"/>
    <x v="0"/>
    <x v="32"/>
    <x v="4"/>
    <x v="4"/>
    <x v="1"/>
  </r>
  <r>
    <s v="T000314"/>
    <d v="2023-11-10T00:00:00"/>
    <x v="4"/>
    <x v="3"/>
    <x v="0"/>
    <x v="0"/>
    <s v="India"/>
    <x v="0"/>
    <x v="0"/>
    <s v="C00314"/>
    <n v="40"/>
    <s v="Female"/>
    <x v="5"/>
    <x v="1"/>
    <x v="1"/>
    <s v="Breakfast Only"/>
    <n v="11891.66"/>
    <n v="2417.89"/>
    <x v="1"/>
    <s v="Confirmed"/>
    <x v="0"/>
    <x v="5"/>
    <x v="1"/>
    <x v="1"/>
    <x v="0"/>
  </r>
  <r>
    <s v="T000315"/>
    <d v="2023-11-11T00:00:00"/>
    <x v="3"/>
    <x v="1"/>
    <x v="1"/>
    <x v="1"/>
    <s v="India"/>
    <x v="1"/>
    <x v="8"/>
    <s v="C00315"/>
    <n v="60"/>
    <s v="Other"/>
    <x v="3"/>
    <x v="0"/>
    <x v="2"/>
    <s v="No Meals"/>
    <n v="49359.81"/>
    <n v="2022.99"/>
    <x v="2"/>
    <s v="Cancelled"/>
    <x v="2"/>
    <x v="17"/>
    <x v="1"/>
    <x v="3"/>
    <x v="1"/>
  </r>
  <r>
    <s v="T000316"/>
    <d v="2023-11-12T00:00:00"/>
    <x v="3"/>
    <x v="1"/>
    <x v="2"/>
    <x v="0"/>
    <s v="India"/>
    <x v="2"/>
    <x v="7"/>
    <s v="C00316"/>
    <n v="29"/>
    <s v="Female"/>
    <x v="3"/>
    <x v="0"/>
    <x v="1"/>
    <s v="Half Board"/>
    <n v="34460.410000000003"/>
    <n v="1855.77"/>
    <x v="0"/>
    <s v="Confirmed"/>
    <x v="2"/>
    <x v="18"/>
    <x v="0"/>
    <x v="2"/>
    <x v="1"/>
  </r>
  <r>
    <s v="T000317"/>
    <d v="2023-11-13T00:00:00"/>
    <x v="2"/>
    <x v="2"/>
    <x v="0"/>
    <x v="0"/>
    <s v="India"/>
    <x v="4"/>
    <x v="11"/>
    <s v="C00317"/>
    <n v="30"/>
    <s v="Female"/>
    <x v="5"/>
    <x v="2"/>
    <x v="0"/>
    <s v="No Meals"/>
    <n v="25440.31"/>
    <n v="3134.86"/>
    <x v="2"/>
    <s v="Pending"/>
    <x v="1"/>
    <x v="37"/>
    <x v="3"/>
    <x v="0"/>
    <x v="1"/>
  </r>
  <r>
    <s v="T000318"/>
    <d v="2023-11-14T00:00:00"/>
    <x v="3"/>
    <x v="1"/>
    <x v="1"/>
    <x v="1"/>
    <s v="India"/>
    <x v="1"/>
    <x v="10"/>
    <s v="C00318"/>
    <n v="53"/>
    <s v="Other"/>
    <x v="2"/>
    <x v="0"/>
    <x v="2"/>
    <s v="Full Board"/>
    <n v="44968.74"/>
    <n v="57.46"/>
    <x v="2"/>
    <s v="Cancelled"/>
    <x v="3"/>
    <x v="4"/>
    <x v="0"/>
    <x v="0"/>
    <x v="0"/>
  </r>
  <r>
    <s v="T000319"/>
    <d v="2023-11-15T00:00:00"/>
    <x v="3"/>
    <x v="1"/>
    <x v="0"/>
    <x v="0"/>
    <s v="India"/>
    <x v="4"/>
    <x v="5"/>
    <s v="C00319"/>
    <n v="56"/>
    <s v="Other"/>
    <x v="6"/>
    <x v="1"/>
    <x v="0"/>
    <s v="Breakfast Only"/>
    <n v="36251.589999999997"/>
    <n v="3816.7"/>
    <x v="2"/>
    <s v="Confirmed"/>
    <x v="2"/>
    <x v="12"/>
    <x v="1"/>
    <x v="0"/>
    <x v="1"/>
  </r>
  <r>
    <s v="T000320"/>
    <d v="2023-11-16T00:00:00"/>
    <x v="2"/>
    <x v="2"/>
    <x v="0"/>
    <x v="0"/>
    <s v="India"/>
    <x v="4"/>
    <x v="5"/>
    <s v="C00320"/>
    <n v="51"/>
    <s v="Female"/>
    <x v="1"/>
    <x v="0"/>
    <x v="3"/>
    <s v="No Meals"/>
    <n v="20692.27"/>
    <n v="3700.26"/>
    <x v="2"/>
    <s v="Confirmed"/>
    <x v="0"/>
    <x v="35"/>
    <x v="2"/>
    <x v="2"/>
    <x v="0"/>
  </r>
  <r>
    <s v="T000321"/>
    <d v="2023-11-17T00:00:00"/>
    <x v="3"/>
    <x v="1"/>
    <x v="1"/>
    <x v="1"/>
    <s v="India"/>
    <x v="1"/>
    <x v="8"/>
    <s v="C00321"/>
    <n v="23"/>
    <s v="Male"/>
    <x v="5"/>
    <x v="1"/>
    <x v="3"/>
    <s v="Breakfast Only"/>
    <n v="44783.86"/>
    <n v="4151.63"/>
    <x v="0"/>
    <s v="Pending"/>
    <x v="3"/>
    <x v="28"/>
    <x v="2"/>
    <x v="0"/>
    <x v="0"/>
  </r>
  <r>
    <s v="T000322"/>
    <d v="2023-11-18T00:00:00"/>
    <x v="3"/>
    <x v="1"/>
    <x v="1"/>
    <x v="1"/>
    <s v="India"/>
    <x v="1"/>
    <x v="3"/>
    <s v="C00322"/>
    <n v="55"/>
    <s v="Other"/>
    <x v="3"/>
    <x v="3"/>
    <x v="0"/>
    <s v="No Meals"/>
    <n v="34997.699999999997"/>
    <n v="4207.25"/>
    <x v="3"/>
    <s v="Pending"/>
    <x v="3"/>
    <x v="2"/>
    <x v="3"/>
    <x v="1"/>
    <x v="0"/>
  </r>
  <r>
    <s v="T000323"/>
    <d v="2023-11-19T00:00:00"/>
    <x v="3"/>
    <x v="1"/>
    <x v="4"/>
    <x v="1"/>
    <s v="India"/>
    <x v="6"/>
    <x v="5"/>
    <s v="C00323"/>
    <n v="67"/>
    <s v="Female"/>
    <x v="1"/>
    <x v="0"/>
    <x v="2"/>
    <s v="Breakfast Only"/>
    <n v="36447.68"/>
    <n v="2832"/>
    <x v="0"/>
    <s v="Confirmed"/>
    <x v="0"/>
    <x v="1"/>
    <x v="1"/>
    <x v="1"/>
    <x v="0"/>
  </r>
  <r>
    <s v="T000324"/>
    <d v="2023-11-20T00:00:00"/>
    <x v="4"/>
    <x v="3"/>
    <x v="0"/>
    <x v="0"/>
    <s v="India"/>
    <x v="4"/>
    <x v="4"/>
    <s v="C00324"/>
    <n v="69"/>
    <s v="Other"/>
    <x v="0"/>
    <x v="0"/>
    <x v="0"/>
    <s v="Full Board"/>
    <n v="45337.54"/>
    <n v="3900.37"/>
    <x v="0"/>
    <s v="Confirmed"/>
    <x v="2"/>
    <x v="19"/>
    <x v="3"/>
    <x v="4"/>
    <x v="1"/>
  </r>
  <r>
    <s v="T000325"/>
    <d v="2023-11-21T00:00:00"/>
    <x v="4"/>
    <x v="3"/>
    <x v="3"/>
    <x v="1"/>
    <s v="India"/>
    <x v="5"/>
    <x v="7"/>
    <s v="C00325"/>
    <n v="57"/>
    <s v="Other"/>
    <x v="3"/>
    <x v="0"/>
    <x v="1"/>
    <s v="Breakfast Only"/>
    <n v="25178.73"/>
    <n v="2461.98"/>
    <x v="0"/>
    <s v="Cancelled"/>
    <x v="3"/>
    <x v="18"/>
    <x v="0"/>
    <x v="4"/>
    <x v="0"/>
  </r>
  <r>
    <s v="T000326"/>
    <d v="2023-11-22T00:00:00"/>
    <x v="4"/>
    <x v="3"/>
    <x v="0"/>
    <x v="0"/>
    <s v="India"/>
    <x v="4"/>
    <x v="1"/>
    <s v="C00326"/>
    <n v="25"/>
    <s v="Other"/>
    <x v="1"/>
    <x v="3"/>
    <x v="1"/>
    <s v="Full Board"/>
    <n v="34560.68"/>
    <n v="4757.6499999999996"/>
    <x v="0"/>
    <s v="Cancelled"/>
    <x v="3"/>
    <x v="21"/>
    <x v="0"/>
    <x v="1"/>
    <x v="1"/>
  </r>
  <r>
    <s v="T000327"/>
    <d v="2023-11-23T00:00:00"/>
    <x v="2"/>
    <x v="2"/>
    <x v="0"/>
    <x v="0"/>
    <s v="India"/>
    <x v="4"/>
    <x v="4"/>
    <s v="C00327"/>
    <n v="25"/>
    <s v="Other"/>
    <x v="0"/>
    <x v="2"/>
    <x v="0"/>
    <s v="Full Board"/>
    <n v="38511.01"/>
    <n v="953.49"/>
    <x v="3"/>
    <s v="Confirmed"/>
    <x v="3"/>
    <x v="11"/>
    <x v="0"/>
    <x v="2"/>
    <x v="1"/>
  </r>
  <r>
    <s v="T000328"/>
    <d v="2023-11-24T00:00:00"/>
    <x v="1"/>
    <x v="1"/>
    <x v="1"/>
    <x v="1"/>
    <s v="India"/>
    <x v="1"/>
    <x v="7"/>
    <s v="C00328"/>
    <n v="57"/>
    <s v="Other"/>
    <x v="2"/>
    <x v="0"/>
    <x v="1"/>
    <s v="No Meals"/>
    <n v="25427.3"/>
    <n v="4578.09"/>
    <x v="2"/>
    <s v="Pending"/>
    <x v="3"/>
    <x v="24"/>
    <x v="0"/>
    <x v="4"/>
    <x v="0"/>
  </r>
  <r>
    <s v="T000329"/>
    <d v="2023-11-25T00:00:00"/>
    <x v="3"/>
    <x v="1"/>
    <x v="0"/>
    <x v="0"/>
    <s v="India"/>
    <x v="0"/>
    <x v="2"/>
    <s v="C00329"/>
    <n v="50"/>
    <s v="Male"/>
    <x v="6"/>
    <x v="1"/>
    <x v="0"/>
    <s v="No Meals"/>
    <n v="8755.35"/>
    <n v="1292.6500000000001"/>
    <x v="3"/>
    <s v="Cancelled"/>
    <x v="3"/>
    <x v="0"/>
    <x v="0"/>
    <x v="0"/>
    <x v="1"/>
  </r>
  <r>
    <s v="T000330"/>
    <d v="2023-11-26T00:00:00"/>
    <x v="3"/>
    <x v="1"/>
    <x v="0"/>
    <x v="0"/>
    <s v="India"/>
    <x v="0"/>
    <x v="8"/>
    <s v="C00330"/>
    <n v="51"/>
    <s v="Male"/>
    <x v="3"/>
    <x v="2"/>
    <x v="1"/>
    <s v="No Meals"/>
    <n v="39714.79"/>
    <n v="513.62"/>
    <x v="3"/>
    <s v="Confirmed"/>
    <x v="0"/>
    <x v="31"/>
    <x v="1"/>
    <x v="1"/>
    <x v="1"/>
  </r>
  <r>
    <s v="T000331"/>
    <d v="2023-11-27T00:00:00"/>
    <x v="2"/>
    <x v="2"/>
    <x v="3"/>
    <x v="1"/>
    <s v="India"/>
    <x v="5"/>
    <x v="4"/>
    <s v="C00331"/>
    <n v="61"/>
    <s v="Male"/>
    <x v="6"/>
    <x v="2"/>
    <x v="0"/>
    <s v="Full Board"/>
    <n v="7151.74"/>
    <n v="2195.52"/>
    <x v="2"/>
    <s v="Pending"/>
    <x v="2"/>
    <x v="38"/>
    <x v="0"/>
    <x v="3"/>
    <x v="1"/>
  </r>
  <r>
    <s v="T000332"/>
    <d v="2023-11-28T00:00:00"/>
    <x v="3"/>
    <x v="1"/>
    <x v="1"/>
    <x v="1"/>
    <s v="India"/>
    <x v="1"/>
    <x v="1"/>
    <s v="C00332"/>
    <n v="32"/>
    <s v="Female"/>
    <x v="0"/>
    <x v="2"/>
    <x v="1"/>
    <s v="Half Board"/>
    <n v="37306.15"/>
    <n v="3074.59"/>
    <x v="3"/>
    <s v="Pending"/>
    <x v="2"/>
    <x v="18"/>
    <x v="0"/>
    <x v="2"/>
    <x v="0"/>
  </r>
  <r>
    <s v="T000333"/>
    <d v="2023-11-29T00:00:00"/>
    <x v="4"/>
    <x v="3"/>
    <x v="0"/>
    <x v="0"/>
    <s v="India"/>
    <x v="4"/>
    <x v="1"/>
    <s v="C00333"/>
    <n v="53"/>
    <s v="Male"/>
    <x v="6"/>
    <x v="0"/>
    <x v="2"/>
    <s v="Half Board"/>
    <n v="45989.38"/>
    <n v="1154.95"/>
    <x v="0"/>
    <s v="Confirmed"/>
    <x v="3"/>
    <x v="40"/>
    <x v="3"/>
    <x v="2"/>
    <x v="1"/>
  </r>
  <r>
    <s v="T000334"/>
    <d v="2023-11-30T00:00:00"/>
    <x v="1"/>
    <x v="1"/>
    <x v="2"/>
    <x v="0"/>
    <s v="India"/>
    <x v="2"/>
    <x v="2"/>
    <s v="C00334"/>
    <n v="52"/>
    <s v="Male"/>
    <x v="6"/>
    <x v="3"/>
    <x v="2"/>
    <s v="Full Board"/>
    <n v="20613.599999999999"/>
    <n v="2778.98"/>
    <x v="0"/>
    <s v="Confirmed"/>
    <x v="3"/>
    <x v="23"/>
    <x v="1"/>
    <x v="1"/>
    <x v="0"/>
  </r>
  <r>
    <s v="T000335"/>
    <d v="2023-12-01T00:00:00"/>
    <x v="0"/>
    <x v="0"/>
    <x v="4"/>
    <x v="1"/>
    <s v="India"/>
    <x v="6"/>
    <x v="9"/>
    <s v="C00335"/>
    <n v="63"/>
    <s v="Female"/>
    <x v="5"/>
    <x v="3"/>
    <x v="1"/>
    <s v="Full Board"/>
    <n v="9592.7800000000007"/>
    <n v="4039.47"/>
    <x v="2"/>
    <s v="Cancelled"/>
    <x v="3"/>
    <x v="9"/>
    <x v="4"/>
    <x v="3"/>
    <x v="0"/>
  </r>
  <r>
    <s v="T000336"/>
    <d v="2023-12-02T00:00:00"/>
    <x v="3"/>
    <x v="1"/>
    <x v="3"/>
    <x v="1"/>
    <s v="India"/>
    <x v="5"/>
    <x v="6"/>
    <s v="C00336"/>
    <n v="39"/>
    <s v="Male"/>
    <x v="4"/>
    <x v="0"/>
    <x v="0"/>
    <s v="No Meals"/>
    <n v="15478.88"/>
    <n v="1285.42"/>
    <x v="2"/>
    <s v="Confirmed"/>
    <x v="0"/>
    <x v="24"/>
    <x v="0"/>
    <x v="2"/>
    <x v="0"/>
  </r>
  <r>
    <s v="T000337"/>
    <d v="2023-12-03T00:00:00"/>
    <x v="4"/>
    <x v="3"/>
    <x v="0"/>
    <x v="0"/>
    <s v="India"/>
    <x v="4"/>
    <x v="3"/>
    <s v="C00337"/>
    <n v="40"/>
    <s v="Other"/>
    <x v="0"/>
    <x v="1"/>
    <x v="1"/>
    <s v="No Meals"/>
    <n v="30302.67"/>
    <n v="2901.61"/>
    <x v="2"/>
    <s v="Cancelled"/>
    <x v="0"/>
    <x v="39"/>
    <x v="0"/>
    <x v="4"/>
    <x v="0"/>
  </r>
  <r>
    <s v="T000338"/>
    <d v="2023-12-04T00:00:00"/>
    <x v="0"/>
    <x v="0"/>
    <x v="2"/>
    <x v="0"/>
    <s v="India"/>
    <x v="3"/>
    <x v="8"/>
    <s v="C00338"/>
    <n v="57"/>
    <s v="Male"/>
    <x v="6"/>
    <x v="1"/>
    <x v="3"/>
    <s v="No Meals"/>
    <n v="47419.69"/>
    <n v="1696.56"/>
    <x v="0"/>
    <s v="Pending"/>
    <x v="1"/>
    <x v="12"/>
    <x v="1"/>
    <x v="3"/>
    <x v="1"/>
  </r>
  <r>
    <s v="T000339"/>
    <d v="2023-12-05T00:00:00"/>
    <x v="1"/>
    <x v="1"/>
    <x v="0"/>
    <x v="0"/>
    <s v="India"/>
    <x v="4"/>
    <x v="2"/>
    <s v="C00339"/>
    <n v="62"/>
    <s v="Male"/>
    <x v="1"/>
    <x v="1"/>
    <x v="3"/>
    <s v="Half Board"/>
    <n v="28052.720000000001"/>
    <n v="2648.84"/>
    <x v="2"/>
    <s v="Cancelled"/>
    <x v="3"/>
    <x v="28"/>
    <x v="2"/>
    <x v="0"/>
    <x v="1"/>
  </r>
  <r>
    <s v="T000340"/>
    <d v="2023-12-06T00:00:00"/>
    <x v="0"/>
    <x v="0"/>
    <x v="0"/>
    <x v="0"/>
    <s v="India"/>
    <x v="0"/>
    <x v="4"/>
    <s v="C00340"/>
    <n v="68"/>
    <s v="Male"/>
    <x v="0"/>
    <x v="0"/>
    <x v="0"/>
    <s v="Half Board"/>
    <n v="10073.18"/>
    <n v="3334.6"/>
    <x v="3"/>
    <s v="Confirmed"/>
    <x v="1"/>
    <x v="35"/>
    <x v="2"/>
    <x v="4"/>
    <x v="1"/>
  </r>
  <r>
    <s v="T000341"/>
    <d v="2023-12-07T00:00:00"/>
    <x v="4"/>
    <x v="3"/>
    <x v="1"/>
    <x v="1"/>
    <s v="India"/>
    <x v="1"/>
    <x v="11"/>
    <s v="C00341"/>
    <n v="39"/>
    <s v="Other"/>
    <x v="4"/>
    <x v="3"/>
    <x v="1"/>
    <s v="Full Board"/>
    <n v="33250.239999999998"/>
    <n v="1752.11"/>
    <x v="3"/>
    <s v="Cancelled"/>
    <x v="1"/>
    <x v="9"/>
    <x v="4"/>
    <x v="3"/>
    <x v="0"/>
  </r>
  <r>
    <s v="T000342"/>
    <d v="2023-12-08T00:00:00"/>
    <x v="0"/>
    <x v="0"/>
    <x v="1"/>
    <x v="1"/>
    <s v="India"/>
    <x v="1"/>
    <x v="11"/>
    <s v="C00342"/>
    <n v="22"/>
    <s v="Other"/>
    <x v="3"/>
    <x v="0"/>
    <x v="1"/>
    <s v="Half Board"/>
    <n v="37978.019999999997"/>
    <n v="4972.41"/>
    <x v="1"/>
    <s v="Pending"/>
    <x v="1"/>
    <x v="27"/>
    <x v="0"/>
    <x v="1"/>
    <x v="1"/>
  </r>
  <r>
    <s v="T000343"/>
    <d v="2023-12-09T00:00:00"/>
    <x v="2"/>
    <x v="2"/>
    <x v="1"/>
    <x v="1"/>
    <s v="India"/>
    <x v="1"/>
    <x v="8"/>
    <s v="C00343"/>
    <n v="48"/>
    <s v="Other"/>
    <x v="2"/>
    <x v="3"/>
    <x v="2"/>
    <s v="No Meals"/>
    <n v="22697.77"/>
    <n v="2818.88"/>
    <x v="1"/>
    <s v="Pending"/>
    <x v="2"/>
    <x v="0"/>
    <x v="0"/>
    <x v="2"/>
    <x v="0"/>
  </r>
  <r>
    <s v="T000344"/>
    <d v="2023-12-10T00:00:00"/>
    <x v="0"/>
    <x v="0"/>
    <x v="2"/>
    <x v="0"/>
    <s v="India"/>
    <x v="2"/>
    <x v="6"/>
    <s v="C00344"/>
    <n v="30"/>
    <s v="Other"/>
    <x v="6"/>
    <x v="2"/>
    <x v="0"/>
    <s v="No Meals"/>
    <n v="37468.129999999997"/>
    <n v="4122.3100000000004"/>
    <x v="2"/>
    <s v="Confirmed"/>
    <x v="1"/>
    <x v="37"/>
    <x v="2"/>
    <x v="4"/>
    <x v="1"/>
  </r>
  <r>
    <s v="T000345"/>
    <d v="2023-12-11T00:00:00"/>
    <x v="3"/>
    <x v="1"/>
    <x v="0"/>
    <x v="0"/>
    <s v="India"/>
    <x v="0"/>
    <x v="4"/>
    <s v="C00345"/>
    <n v="45"/>
    <s v="Female"/>
    <x v="1"/>
    <x v="0"/>
    <x v="3"/>
    <s v="No Meals"/>
    <n v="19617.03"/>
    <n v="3625.68"/>
    <x v="1"/>
    <s v="Cancelled"/>
    <x v="3"/>
    <x v="35"/>
    <x v="2"/>
    <x v="1"/>
    <x v="0"/>
  </r>
  <r>
    <s v="T000346"/>
    <d v="2023-12-12T00:00:00"/>
    <x v="3"/>
    <x v="1"/>
    <x v="4"/>
    <x v="1"/>
    <s v="India"/>
    <x v="6"/>
    <x v="10"/>
    <s v="C00346"/>
    <n v="37"/>
    <s v="Other"/>
    <x v="4"/>
    <x v="3"/>
    <x v="3"/>
    <s v="No Meals"/>
    <n v="40509.06"/>
    <n v="4264.03"/>
    <x v="0"/>
    <s v="Confirmed"/>
    <x v="0"/>
    <x v="9"/>
    <x v="4"/>
    <x v="3"/>
    <x v="0"/>
  </r>
  <r>
    <s v="T000347"/>
    <d v="2023-12-13T00:00:00"/>
    <x v="2"/>
    <x v="2"/>
    <x v="3"/>
    <x v="1"/>
    <s v="India"/>
    <x v="5"/>
    <x v="10"/>
    <s v="C00347"/>
    <n v="50"/>
    <s v="Other"/>
    <x v="0"/>
    <x v="2"/>
    <x v="0"/>
    <s v="No Meals"/>
    <n v="20348.25"/>
    <n v="869"/>
    <x v="0"/>
    <s v="Confirmed"/>
    <x v="3"/>
    <x v="1"/>
    <x v="1"/>
    <x v="0"/>
    <x v="0"/>
  </r>
  <r>
    <s v="T000348"/>
    <d v="2023-12-14T00:00:00"/>
    <x v="4"/>
    <x v="3"/>
    <x v="1"/>
    <x v="1"/>
    <s v="India"/>
    <x v="1"/>
    <x v="3"/>
    <s v="C00348"/>
    <n v="33"/>
    <s v="Other"/>
    <x v="2"/>
    <x v="2"/>
    <x v="3"/>
    <s v="Breakfast Only"/>
    <n v="16524.82"/>
    <n v="1112.77"/>
    <x v="3"/>
    <s v="Pending"/>
    <x v="0"/>
    <x v="35"/>
    <x v="3"/>
    <x v="2"/>
    <x v="0"/>
  </r>
  <r>
    <s v="T000349"/>
    <d v="2023-12-15T00:00:00"/>
    <x v="3"/>
    <x v="1"/>
    <x v="1"/>
    <x v="1"/>
    <s v="India"/>
    <x v="1"/>
    <x v="4"/>
    <s v="C00349"/>
    <n v="46"/>
    <s v="Other"/>
    <x v="2"/>
    <x v="0"/>
    <x v="0"/>
    <s v="Full Board"/>
    <n v="44563.16"/>
    <n v="2437.06"/>
    <x v="3"/>
    <s v="Cancelled"/>
    <x v="2"/>
    <x v="23"/>
    <x v="1"/>
    <x v="2"/>
    <x v="1"/>
  </r>
  <r>
    <s v="T000350"/>
    <d v="2023-12-16T00:00:00"/>
    <x v="1"/>
    <x v="1"/>
    <x v="0"/>
    <x v="0"/>
    <s v="India"/>
    <x v="4"/>
    <x v="1"/>
    <s v="C00350"/>
    <n v="40"/>
    <s v="Female"/>
    <x v="6"/>
    <x v="3"/>
    <x v="3"/>
    <s v="Full Board"/>
    <n v="29681.3"/>
    <n v="4261.6400000000003"/>
    <x v="1"/>
    <s v="Confirmed"/>
    <x v="2"/>
    <x v="18"/>
    <x v="0"/>
    <x v="4"/>
    <x v="0"/>
  </r>
  <r>
    <s v="T000351"/>
    <d v="2023-12-17T00:00:00"/>
    <x v="3"/>
    <x v="1"/>
    <x v="0"/>
    <x v="0"/>
    <s v="India"/>
    <x v="0"/>
    <x v="5"/>
    <s v="C00351"/>
    <n v="41"/>
    <s v="Male"/>
    <x v="4"/>
    <x v="2"/>
    <x v="3"/>
    <s v="Half Board"/>
    <n v="17832.03"/>
    <n v="988.03"/>
    <x v="1"/>
    <s v="Pending"/>
    <x v="3"/>
    <x v="34"/>
    <x v="1"/>
    <x v="1"/>
    <x v="1"/>
  </r>
  <r>
    <s v="T000352"/>
    <d v="2023-12-18T00:00:00"/>
    <x v="3"/>
    <x v="1"/>
    <x v="2"/>
    <x v="0"/>
    <s v="India"/>
    <x v="3"/>
    <x v="11"/>
    <s v="C00352"/>
    <n v="51"/>
    <s v="Male"/>
    <x v="4"/>
    <x v="0"/>
    <x v="0"/>
    <s v="No Meals"/>
    <n v="47078.91"/>
    <n v="4855.33"/>
    <x v="0"/>
    <s v="Confirmed"/>
    <x v="2"/>
    <x v="28"/>
    <x v="3"/>
    <x v="3"/>
    <x v="1"/>
  </r>
  <r>
    <s v="T000353"/>
    <d v="2023-12-19T00:00:00"/>
    <x v="4"/>
    <x v="3"/>
    <x v="2"/>
    <x v="0"/>
    <s v="India"/>
    <x v="2"/>
    <x v="6"/>
    <s v="C00353"/>
    <n v="24"/>
    <s v="Other"/>
    <x v="1"/>
    <x v="2"/>
    <x v="0"/>
    <s v="Breakfast Only"/>
    <n v="36088.300000000003"/>
    <n v="638.01"/>
    <x v="3"/>
    <s v="Cancelled"/>
    <x v="0"/>
    <x v="15"/>
    <x v="0"/>
    <x v="3"/>
    <x v="1"/>
  </r>
  <r>
    <s v="T000354"/>
    <d v="2023-12-20T00:00:00"/>
    <x v="0"/>
    <x v="0"/>
    <x v="1"/>
    <x v="1"/>
    <s v="India"/>
    <x v="1"/>
    <x v="4"/>
    <s v="C00354"/>
    <n v="55"/>
    <s v="Other"/>
    <x v="3"/>
    <x v="1"/>
    <x v="3"/>
    <s v="No Meals"/>
    <n v="14931.52"/>
    <n v="875.39"/>
    <x v="1"/>
    <s v="Confirmed"/>
    <x v="2"/>
    <x v="12"/>
    <x v="1"/>
    <x v="1"/>
    <x v="0"/>
  </r>
  <r>
    <s v="T000355"/>
    <d v="2023-12-21T00:00:00"/>
    <x v="3"/>
    <x v="1"/>
    <x v="0"/>
    <x v="0"/>
    <s v="India"/>
    <x v="4"/>
    <x v="4"/>
    <s v="C00355"/>
    <n v="54"/>
    <s v="Other"/>
    <x v="3"/>
    <x v="0"/>
    <x v="3"/>
    <s v="No Meals"/>
    <n v="32658.91"/>
    <n v="836.17"/>
    <x v="0"/>
    <s v="Cancelled"/>
    <x v="1"/>
    <x v="27"/>
    <x v="0"/>
    <x v="2"/>
    <x v="0"/>
  </r>
  <r>
    <s v="T000356"/>
    <d v="2023-12-22T00:00:00"/>
    <x v="2"/>
    <x v="2"/>
    <x v="4"/>
    <x v="1"/>
    <s v="India"/>
    <x v="6"/>
    <x v="5"/>
    <s v="C00356"/>
    <n v="21"/>
    <s v="Male"/>
    <x v="5"/>
    <x v="2"/>
    <x v="2"/>
    <s v="Half Board"/>
    <n v="44166.15"/>
    <n v="2930.03"/>
    <x v="3"/>
    <s v="Pending"/>
    <x v="1"/>
    <x v="38"/>
    <x v="0"/>
    <x v="1"/>
    <x v="0"/>
  </r>
  <r>
    <s v="T000357"/>
    <d v="2023-12-23T00:00:00"/>
    <x v="0"/>
    <x v="0"/>
    <x v="3"/>
    <x v="1"/>
    <s v="India"/>
    <x v="5"/>
    <x v="5"/>
    <s v="C00357"/>
    <n v="51"/>
    <s v="Male"/>
    <x v="3"/>
    <x v="0"/>
    <x v="1"/>
    <s v="Breakfast Only"/>
    <n v="36326.89"/>
    <n v="4587.71"/>
    <x v="0"/>
    <s v="Pending"/>
    <x v="2"/>
    <x v="0"/>
    <x v="0"/>
    <x v="3"/>
    <x v="1"/>
  </r>
  <r>
    <s v="T000358"/>
    <d v="2023-12-24T00:00:00"/>
    <x v="1"/>
    <x v="1"/>
    <x v="0"/>
    <x v="0"/>
    <s v="India"/>
    <x v="4"/>
    <x v="7"/>
    <s v="C00358"/>
    <n v="59"/>
    <s v="Other"/>
    <x v="5"/>
    <x v="0"/>
    <x v="0"/>
    <s v="Breakfast Only"/>
    <n v="16014.16"/>
    <n v="1275.56"/>
    <x v="0"/>
    <s v="Confirmed"/>
    <x v="3"/>
    <x v="12"/>
    <x v="1"/>
    <x v="1"/>
    <x v="0"/>
  </r>
  <r>
    <s v="T000359"/>
    <d v="2023-12-25T00:00:00"/>
    <x v="4"/>
    <x v="3"/>
    <x v="0"/>
    <x v="0"/>
    <s v="India"/>
    <x v="0"/>
    <x v="2"/>
    <s v="C00359"/>
    <n v="39"/>
    <s v="Male"/>
    <x v="2"/>
    <x v="3"/>
    <x v="0"/>
    <s v="Full Board"/>
    <n v="34198.17"/>
    <n v="2765.18"/>
    <x v="3"/>
    <s v="Pending"/>
    <x v="1"/>
    <x v="27"/>
    <x v="0"/>
    <x v="2"/>
    <x v="0"/>
  </r>
  <r>
    <s v="T000360"/>
    <d v="2023-12-26T00:00:00"/>
    <x v="1"/>
    <x v="1"/>
    <x v="2"/>
    <x v="0"/>
    <s v="India"/>
    <x v="3"/>
    <x v="9"/>
    <s v="C00360"/>
    <n v="22"/>
    <s v="Female"/>
    <x v="2"/>
    <x v="3"/>
    <x v="1"/>
    <s v="No Meals"/>
    <n v="32862.17"/>
    <n v="878.86"/>
    <x v="0"/>
    <s v="Confirmed"/>
    <x v="0"/>
    <x v="19"/>
    <x v="3"/>
    <x v="4"/>
    <x v="1"/>
  </r>
  <r>
    <s v="T000361"/>
    <d v="2023-12-27T00:00:00"/>
    <x v="0"/>
    <x v="0"/>
    <x v="3"/>
    <x v="1"/>
    <s v="India"/>
    <x v="5"/>
    <x v="3"/>
    <s v="C00361"/>
    <n v="67"/>
    <s v="Other"/>
    <x v="0"/>
    <x v="2"/>
    <x v="2"/>
    <s v="Breakfast Only"/>
    <n v="41937.96"/>
    <n v="3155.68"/>
    <x v="1"/>
    <s v="Confirmed"/>
    <x v="3"/>
    <x v="13"/>
    <x v="0"/>
    <x v="2"/>
    <x v="0"/>
  </r>
  <r>
    <s v="T000362"/>
    <d v="2023-12-28T00:00:00"/>
    <x v="0"/>
    <x v="0"/>
    <x v="1"/>
    <x v="1"/>
    <s v="India"/>
    <x v="1"/>
    <x v="11"/>
    <s v="C00362"/>
    <n v="59"/>
    <s v="Other"/>
    <x v="2"/>
    <x v="0"/>
    <x v="3"/>
    <s v="Full Board"/>
    <n v="13015.97"/>
    <n v="616.23"/>
    <x v="0"/>
    <s v="Cancelled"/>
    <x v="2"/>
    <x v="27"/>
    <x v="0"/>
    <x v="0"/>
    <x v="1"/>
  </r>
  <r>
    <s v="T000363"/>
    <d v="2023-12-29T00:00:00"/>
    <x v="0"/>
    <x v="0"/>
    <x v="0"/>
    <x v="0"/>
    <s v="India"/>
    <x v="4"/>
    <x v="5"/>
    <s v="C00363"/>
    <n v="40"/>
    <s v="Female"/>
    <x v="2"/>
    <x v="0"/>
    <x v="3"/>
    <s v="Breakfast Only"/>
    <n v="36483.56"/>
    <n v="2456.5500000000002"/>
    <x v="1"/>
    <s v="Confirmed"/>
    <x v="3"/>
    <x v="33"/>
    <x v="4"/>
    <x v="0"/>
    <x v="1"/>
  </r>
  <r>
    <s v="T000364"/>
    <d v="2023-12-30T00:00:00"/>
    <x v="1"/>
    <x v="1"/>
    <x v="1"/>
    <x v="1"/>
    <s v="India"/>
    <x v="1"/>
    <x v="10"/>
    <s v="C00364"/>
    <n v="32"/>
    <s v="Female"/>
    <x v="4"/>
    <x v="1"/>
    <x v="2"/>
    <s v="No Meals"/>
    <n v="6231.68"/>
    <n v="3275.91"/>
    <x v="2"/>
    <s v="Cancelled"/>
    <x v="3"/>
    <x v="12"/>
    <x v="1"/>
    <x v="1"/>
    <x v="1"/>
  </r>
  <r>
    <s v="T000365"/>
    <d v="2023-12-31T00:00:00"/>
    <x v="0"/>
    <x v="0"/>
    <x v="0"/>
    <x v="0"/>
    <s v="India"/>
    <x v="0"/>
    <x v="8"/>
    <s v="C00365"/>
    <n v="48"/>
    <s v="Male"/>
    <x v="0"/>
    <x v="0"/>
    <x v="2"/>
    <s v="Full Board"/>
    <n v="36327.89"/>
    <n v="2895.64"/>
    <x v="2"/>
    <s v="Confirmed"/>
    <x v="3"/>
    <x v="6"/>
    <x v="3"/>
    <x v="2"/>
    <x v="0"/>
  </r>
  <r>
    <s v="T000366"/>
    <d v="2024-01-01T00:00:00"/>
    <x v="1"/>
    <x v="1"/>
    <x v="1"/>
    <x v="1"/>
    <s v="India"/>
    <x v="1"/>
    <x v="10"/>
    <s v="C00366"/>
    <n v="26"/>
    <s v="Female"/>
    <x v="4"/>
    <x v="3"/>
    <x v="1"/>
    <s v="Breakfast Only"/>
    <n v="48219.68"/>
    <n v="700"/>
    <x v="2"/>
    <s v="Cancelled"/>
    <x v="3"/>
    <x v="18"/>
    <x v="0"/>
    <x v="2"/>
    <x v="0"/>
  </r>
  <r>
    <s v="T000367"/>
    <d v="2024-01-02T00:00:00"/>
    <x v="0"/>
    <x v="0"/>
    <x v="3"/>
    <x v="1"/>
    <s v="India"/>
    <x v="5"/>
    <x v="7"/>
    <s v="C00367"/>
    <n v="60"/>
    <s v="Other"/>
    <x v="1"/>
    <x v="0"/>
    <x v="1"/>
    <s v="Half Board"/>
    <n v="12847.47"/>
    <n v="806.87"/>
    <x v="0"/>
    <s v="Pending"/>
    <x v="2"/>
    <x v="33"/>
    <x v="4"/>
    <x v="3"/>
    <x v="1"/>
  </r>
  <r>
    <s v="T000368"/>
    <d v="2024-01-03T00:00:00"/>
    <x v="2"/>
    <x v="2"/>
    <x v="2"/>
    <x v="0"/>
    <s v="India"/>
    <x v="3"/>
    <x v="7"/>
    <s v="C00368"/>
    <n v="42"/>
    <s v="Male"/>
    <x v="5"/>
    <x v="3"/>
    <x v="3"/>
    <s v="Breakfast Only"/>
    <n v="19008.490000000002"/>
    <n v="3356.96"/>
    <x v="2"/>
    <s v="Confirmed"/>
    <x v="2"/>
    <x v="38"/>
    <x v="0"/>
    <x v="4"/>
    <x v="1"/>
  </r>
  <r>
    <s v="T000369"/>
    <d v="2024-01-04T00:00:00"/>
    <x v="0"/>
    <x v="0"/>
    <x v="3"/>
    <x v="1"/>
    <s v="India"/>
    <x v="5"/>
    <x v="5"/>
    <s v="C00369"/>
    <n v="42"/>
    <s v="Female"/>
    <x v="5"/>
    <x v="1"/>
    <x v="2"/>
    <s v="No Meals"/>
    <n v="31229.22"/>
    <n v="4044.55"/>
    <x v="2"/>
    <s v="Cancelled"/>
    <x v="1"/>
    <x v="35"/>
    <x v="3"/>
    <x v="2"/>
    <x v="0"/>
  </r>
  <r>
    <s v="T000370"/>
    <d v="2024-01-05T00:00:00"/>
    <x v="1"/>
    <x v="1"/>
    <x v="4"/>
    <x v="1"/>
    <s v="India"/>
    <x v="6"/>
    <x v="7"/>
    <s v="C00370"/>
    <n v="66"/>
    <s v="Male"/>
    <x v="1"/>
    <x v="2"/>
    <x v="2"/>
    <s v="Half Board"/>
    <n v="37957.78"/>
    <n v="4540.37"/>
    <x v="0"/>
    <s v="Confirmed"/>
    <x v="1"/>
    <x v="23"/>
    <x v="1"/>
    <x v="1"/>
    <x v="0"/>
  </r>
  <r>
    <s v="T000371"/>
    <d v="2024-01-06T00:00:00"/>
    <x v="3"/>
    <x v="1"/>
    <x v="2"/>
    <x v="0"/>
    <s v="India"/>
    <x v="2"/>
    <x v="2"/>
    <s v="C00371"/>
    <n v="38"/>
    <s v="Male"/>
    <x v="5"/>
    <x v="3"/>
    <x v="3"/>
    <s v="Breakfast Only"/>
    <n v="20496.71"/>
    <n v="4068.06"/>
    <x v="3"/>
    <s v="Cancelled"/>
    <x v="0"/>
    <x v="9"/>
    <x v="4"/>
    <x v="3"/>
    <x v="1"/>
  </r>
  <r>
    <s v="T000372"/>
    <d v="2024-01-07T00:00:00"/>
    <x v="0"/>
    <x v="0"/>
    <x v="3"/>
    <x v="1"/>
    <s v="India"/>
    <x v="5"/>
    <x v="1"/>
    <s v="C00372"/>
    <n v="26"/>
    <s v="Male"/>
    <x v="0"/>
    <x v="2"/>
    <x v="3"/>
    <s v="Breakfast Only"/>
    <n v="34891.65"/>
    <n v="4869.62"/>
    <x v="0"/>
    <s v="Cancelled"/>
    <x v="0"/>
    <x v="13"/>
    <x v="0"/>
    <x v="3"/>
    <x v="1"/>
  </r>
  <r>
    <s v="T000373"/>
    <d v="2024-01-08T00:00:00"/>
    <x v="3"/>
    <x v="1"/>
    <x v="4"/>
    <x v="1"/>
    <s v="India"/>
    <x v="6"/>
    <x v="0"/>
    <s v="C00373"/>
    <n v="65"/>
    <s v="Male"/>
    <x v="0"/>
    <x v="2"/>
    <x v="3"/>
    <s v="Full Board"/>
    <n v="45467.55"/>
    <n v="2041.26"/>
    <x v="1"/>
    <s v="Confirmed"/>
    <x v="1"/>
    <x v="21"/>
    <x v="0"/>
    <x v="1"/>
    <x v="1"/>
  </r>
  <r>
    <s v="T000374"/>
    <d v="2024-01-09T00:00:00"/>
    <x v="2"/>
    <x v="2"/>
    <x v="0"/>
    <x v="0"/>
    <s v="India"/>
    <x v="4"/>
    <x v="4"/>
    <s v="C00374"/>
    <n v="55"/>
    <s v="Female"/>
    <x v="2"/>
    <x v="2"/>
    <x v="3"/>
    <s v="No Meals"/>
    <n v="37695.15"/>
    <n v="1655.83"/>
    <x v="0"/>
    <s v="Confirmed"/>
    <x v="1"/>
    <x v="14"/>
    <x v="1"/>
    <x v="1"/>
    <x v="0"/>
  </r>
  <r>
    <s v="T000375"/>
    <d v="2024-01-10T00:00:00"/>
    <x v="4"/>
    <x v="3"/>
    <x v="0"/>
    <x v="0"/>
    <s v="India"/>
    <x v="4"/>
    <x v="4"/>
    <s v="C00375"/>
    <n v="39"/>
    <s v="Other"/>
    <x v="5"/>
    <x v="2"/>
    <x v="3"/>
    <s v="Breakfast Only"/>
    <n v="36996.019999999997"/>
    <n v="140.91999999999999"/>
    <x v="3"/>
    <s v="Pending"/>
    <x v="3"/>
    <x v="33"/>
    <x v="4"/>
    <x v="2"/>
    <x v="1"/>
  </r>
  <r>
    <s v="T000376"/>
    <d v="2024-01-11T00:00:00"/>
    <x v="2"/>
    <x v="2"/>
    <x v="1"/>
    <x v="1"/>
    <s v="India"/>
    <x v="1"/>
    <x v="5"/>
    <s v="C00376"/>
    <n v="60"/>
    <s v="Other"/>
    <x v="1"/>
    <x v="3"/>
    <x v="1"/>
    <s v="Breakfast Only"/>
    <n v="22188.68"/>
    <n v="2249.48"/>
    <x v="2"/>
    <s v="Pending"/>
    <x v="1"/>
    <x v="2"/>
    <x v="3"/>
    <x v="2"/>
    <x v="0"/>
  </r>
  <r>
    <s v="T000377"/>
    <d v="2024-01-12T00:00:00"/>
    <x v="0"/>
    <x v="0"/>
    <x v="2"/>
    <x v="0"/>
    <s v="India"/>
    <x v="2"/>
    <x v="7"/>
    <s v="C00377"/>
    <n v="40"/>
    <s v="Female"/>
    <x v="6"/>
    <x v="1"/>
    <x v="3"/>
    <s v="Breakfast Only"/>
    <n v="46014.32"/>
    <n v="3256.86"/>
    <x v="0"/>
    <s v="Pending"/>
    <x v="0"/>
    <x v="12"/>
    <x v="1"/>
    <x v="3"/>
    <x v="1"/>
  </r>
  <r>
    <s v="T000378"/>
    <d v="2024-01-13T00:00:00"/>
    <x v="3"/>
    <x v="1"/>
    <x v="0"/>
    <x v="0"/>
    <s v="India"/>
    <x v="4"/>
    <x v="8"/>
    <s v="C00378"/>
    <n v="66"/>
    <s v="Other"/>
    <x v="3"/>
    <x v="0"/>
    <x v="2"/>
    <s v="No Meals"/>
    <n v="17479.53"/>
    <n v="4077.04"/>
    <x v="2"/>
    <s v="Confirmed"/>
    <x v="1"/>
    <x v="14"/>
    <x v="1"/>
    <x v="3"/>
    <x v="0"/>
  </r>
  <r>
    <s v="T000379"/>
    <d v="2024-01-14T00:00:00"/>
    <x v="3"/>
    <x v="1"/>
    <x v="2"/>
    <x v="0"/>
    <s v="India"/>
    <x v="2"/>
    <x v="1"/>
    <s v="C00379"/>
    <n v="21"/>
    <s v="Male"/>
    <x v="2"/>
    <x v="3"/>
    <x v="0"/>
    <s v="Half Board"/>
    <n v="14237.62"/>
    <n v="1337.28"/>
    <x v="1"/>
    <s v="Pending"/>
    <x v="3"/>
    <x v="38"/>
    <x v="0"/>
    <x v="4"/>
    <x v="1"/>
  </r>
  <r>
    <s v="T000380"/>
    <d v="2024-01-15T00:00:00"/>
    <x v="1"/>
    <x v="1"/>
    <x v="0"/>
    <x v="0"/>
    <s v="India"/>
    <x v="4"/>
    <x v="3"/>
    <s v="C00380"/>
    <n v="46"/>
    <s v="Male"/>
    <x v="3"/>
    <x v="1"/>
    <x v="1"/>
    <s v="No Meals"/>
    <n v="21390.080000000002"/>
    <n v="2567.96"/>
    <x v="3"/>
    <s v="Cancelled"/>
    <x v="0"/>
    <x v="29"/>
    <x v="1"/>
    <x v="3"/>
    <x v="0"/>
  </r>
  <r>
    <s v="T000381"/>
    <d v="2024-01-16T00:00:00"/>
    <x v="3"/>
    <x v="1"/>
    <x v="1"/>
    <x v="1"/>
    <s v="India"/>
    <x v="1"/>
    <x v="7"/>
    <s v="C00381"/>
    <n v="32"/>
    <s v="Male"/>
    <x v="1"/>
    <x v="0"/>
    <x v="2"/>
    <s v="Full Board"/>
    <n v="34257.03"/>
    <n v="3310.05"/>
    <x v="2"/>
    <s v="Confirmed"/>
    <x v="2"/>
    <x v="20"/>
    <x v="0"/>
    <x v="1"/>
    <x v="0"/>
  </r>
  <r>
    <s v="T000382"/>
    <d v="2024-01-17T00:00:00"/>
    <x v="1"/>
    <x v="1"/>
    <x v="3"/>
    <x v="1"/>
    <s v="India"/>
    <x v="5"/>
    <x v="1"/>
    <s v="C00382"/>
    <n v="18"/>
    <s v="Female"/>
    <x v="5"/>
    <x v="2"/>
    <x v="0"/>
    <s v="Full Board"/>
    <n v="43775.51"/>
    <n v="2758.01"/>
    <x v="2"/>
    <s v="Cancelled"/>
    <x v="1"/>
    <x v="22"/>
    <x v="4"/>
    <x v="1"/>
    <x v="0"/>
  </r>
  <r>
    <s v="T000383"/>
    <d v="2024-01-18T00:00:00"/>
    <x v="4"/>
    <x v="3"/>
    <x v="1"/>
    <x v="1"/>
    <s v="India"/>
    <x v="1"/>
    <x v="9"/>
    <s v="C00383"/>
    <n v="47"/>
    <s v="Male"/>
    <x v="5"/>
    <x v="0"/>
    <x v="1"/>
    <s v="No Meals"/>
    <n v="10943.55"/>
    <n v="1370.1"/>
    <x v="2"/>
    <s v="Cancelled"/>
    <x v="2"/>
    <x v="28"/>
    <x v="3"/>
    <x v="4"/>
    <x v="0"/>
  </r>
  <r>
    <s v="T000384"/>
    <d v="2024-01-19T00:00:00"/>
    <x v="0"/>
    <x v="0"/>
    <x v="4"/>
    <x v="1"/>
    <s v="India"/>
    <x v="6"/>
    <x v="3"/>
    <s v="C00384"/>
    <n v="46"/>
    <s v="Male"/>
    <x v="3"/>
    <x v="0"/>
    <x v="3"/>
    <s v="Breakfast Only"/>
    <n v="41621.1"/>
    <n v="3981.41"/>
    <x v="2"/>
    <s v="Cancelled"/>
    <x v="0"/>
    <x v="9"/>
    <x v="4"/>
    <x v="0"/>
    <x v="0"/>
  </r>
  <r>
    <s v="T000385"/>
    <d v="2024-01-20T00:00:00"/>
    <x v="1"/>
    <x v="1"/>
    <x v="0"/>
    <x v="0"/>
    <s v="India"/>
    <x v="4"/>
    <x v="4"/>
    <s v="C00385"/>
    <n v="37"/>
    <s v="Female"/>
    <x v="6"/>
    <x v="1"/>
    <x v="1"/>
    <s v="Breakfast Only"/>
    <n v="41577.050000000003"/>
    <n v="866.81"/>
    <x v="0"/>
    <s v="Confirmed"/>
    <x v="1"/>
    <x v="30"/>
    <x v="0"/>
    <x v="0"/>
    <x v="0"/>
  </r>
  <r>
    <s v="T000386"/>
    <d v="2024-01-21T00:00:00"/>
    <x v="4"/>
    <x v="3"/>
    <x v="4"/>
    <x v="1"/>
    <s v="India"/>
    <x v="6"/>
    <x v="9"/>
    <s v="C00386"/>
    <n v="50"/>
    <s v="Male"/>
    <x v="5"/>
    <x v="0"/>
    <x v="3"/>
    <s v="Half Board"/>
    <n v="31411.37"/>
    <n v="4524.8999999999996"/>
    <x v="3"/>
    <s v="Confirmed"/>
    <x v="2"/>
    <x v="35"/>
    <x v="3"/>
    <x v="1"/>
    <x v="1"/>
  </r>
  <r>
    <s v="T000387"/>
    <d v="2024-01-22T00:00:00"/>
    <x v="3"/>
    <x v="1"/>
    <x v="4"/>
    <x v="1"/>
    <s v="India"/>
    <x v="6"/>
    <x v="5"/>
    <s v="C00387"/>
    <n v="58"/>
    <s v="Male"/>
    <x v="6"/>
    <x v="2"/>
    <x v="3"/>
    <s v="No Meals"/>
    <n v="39229.160000000003"/>
    <n v="4762.9799999999996"/>
    <x v="3"/>
    <s v="Pending"/>
    <x v="1"/>
    <x v="4"/>
    <x v="0"/>
    <x v="0"/>
    <x v="1"/>
  </r>
  <r>
    <s v="T000388"/>
    <d v="2024-01-23T00:00:00"/>
    <x v="3"/>
    <x v="1"/>
    <x v="2"/>
    <x v="0"/>
    <s v="India"/>
    <x v="3"/>
    <x v="11"/>
    <s v="C00388"/>
    <n v="61"/>
    <s v="Other"/>
    <x v="4"/>
    <x v="3"/>
    <x v="3"/>
    <s v="No Meals"/>
    <n v="13184.63"/>
    <n v="1827.87"/>
    <x v="2"/>
    <s v="Pending"/>
    <x v="2"/>
    <x v="27"/>
    <x v="0"/>
    <x v="0"/>
    <x v="1"/>
  </r>
  <r>
    <s v="T000389"/>
    <d v="2024-01-24T00:00:00"/>
    <x v="4"/>
    <x v="3"/>
    <x v="0"/>
    <x v="0"/>
    <s v="India"/>
    <x v="4"/>
    <x v="5"/>
    <s v="C00389"/>
    <n v="53"/>
    <s v="Female"/>
    <x v="0"/>
    <x v="3"/>
    <x v="0"/>
    <s v="Breakfast Only"/>
    <n v="12631.37"/>
    <n v="1880.91"/>
    <x v="3"/>
    <s v="Pending"/>
    <x v="2"/>
    <x v="21"/>
    <x v="2"/>
    <x v="4"/>
    <x v="0"/>
  </r>
  <r>
    <s v="T000390"/>
    <d v="2024-01-25T00:00:00"/>
    <x v="3"/>
    <x v="1"/>
    <x v="4"/>
    <x v="1"/>
    <s v="India"/>
    <x v="6"/>
    <x v="8"/>
    <s v="C00390"/>
    <n v="39"/>
    <s v="Male"/>
    <x v="3"/>
    <x v="1"/>
    <x v="1"/>
    <s v="Full Board"/>
    <n v="43826"/>
    <n v="3716.39"/>
    <x v="2"/>
    <s v="Pending"/>
    <x v="0"/>
    <x v="30"/>
    <x v="0"/>
    <x v="3"/>
    <x v="0"/>
  </r>
  <r>
    <s v="T000391"/>
    <d v="2024-01-26T00:00:00"/>
    <x v="4"/>
    <x v="3"/>
    <x v="3"/>
    <x v="1"/>
    <s v="India"/>
    <x v="5"/>
    <x v="2"/>
    <s v="C00391"/>
    <n v="30"/>
    <s v="Male"/>
    <x v="5"/>
    <x v="2"/>
    <x v="3"/>
    <s v="Full Board"/>
    <n v="27416.68"/>
    <n v="2281.44"/>
    <x v="1"/>
    <s v="Cancelled"/>
    <x v="1"/>
    <x v="36"/>
    <x v="4"/>
    <x v="3"/>
    <x v="1"/>
  </r>
  <r>
    <s v="T000392"/>
    <d v="2024-01-27T00:00:00"/>
    <x v="1"/>
    <x v="1"/>
    <x v="4"/>
    <x v="1"/>
    <s v="India"/>
    <x v="6"/>
    <x v="1"/>
    <s v="C00392"/>
    <n v="24"/>
    <s v="Male"/>
    <x v="6"/>
    <x v="2"/>
    <x v="2"/>
    <s v="Half Board"/>
    <n v="16067.17"/>
    <n v="143.05000000000001"/>
    <x v="1"/>
    <s v="Confirmed"/>
    <x v="2"/>
    <x v="26"/>
    <x v="0"/>
    <x v="0"/>
    <x v="0"/>
  </r>
  <r>
    <s v="T000393"/>
    <d v="2024-01-28T00:00:00"/>
    <x v="1"/>
    <x v="1"/>
    <x v="3"/>
    <x v="1"/>
    <s v="India"/>
    <x v="5"/>
    <x v="2"/>
    <s v="C00393"/>
    <n v="25"/>
    <s v="Male"/>
    <x v="5"/>
    <x v="0"/>
    <x v="1"/>
    <s v="Half Board"/>
    <n v="35992.870000000003"/>
    <n v="4599.38"/>
    <x v="1"/>
    <s v="Pending"/>
    <x v="1"/>
    <x v="19"/>
    <x v="3"/>
    <x v="2"/>
    <x v="0"/>
  </r>
  <r>
    <s v="T000394"/>
    <d v="2024-01-29T00:00:00"/>
    <x v="4"/>
    <x v="3"/>
    <x v="2"/>
    <x v="0"/>
    <s v="India"/>
    <x v="3"/>
    <x v="11"/>
    <s v="C00394"/>
    <n v="45"/>
    <s v="Other"/>
    <x v="0"/>
    <x v="1"/>
    <x v="2"/>
    <s v="Full Board"/>
    <n v="45134.38"/>
    <n v="2153.75"/>
    <x v="3"/>
    <s v="Cancelled"/>
    <x v="1"/>
    <x v="2"/>
    <x v="3"/>
    <x v="4"/>
    <x v="1"/>
  </r>
  <r>
    <s v="T000395"/>
    <d v="2024-01-30T00:00:00"/>
    <x v="1"/>
    <x v="1"/>
    <x v="4"/>
    <x v="1"/>
    <s v="India"/>
    <x v="6"/>
    <x v="2"/>
    <s v="C00395"/>
    <n v="62"/>
    <s v="Other"/>
    <x v="0"/>
    <x v="2"/>
    <x v="0"/>
    <s v="No Meals"/>
    <n v="33454.519999999997"/>
    <n v="1017.48"/>
    <x v="2"/>
    <s v="Confirmed"/>
    <x v="3"/>
    <x v="18"/>
    <x v="0"/>
    <x v="0"/>
    <x v="1"/>
  </r>
  <r>
    <s v="T000396"/>
    <d v="2024-01-31T00:00:00"/>
    <x v="1"/>
    <x v="1"/>
    <x v="1"/>
    <x v="1"/>
    <s v="India"/>
    <x v="1"/>
    <x v="3"/>
    <s v="C00396"/>
    <n v="60"/>
    <s v="Other"/>
    <x v="4"/>
    <x v="2"/>
    <x v="0"/>
    <s v="Half Board"/>
    <n v="20630.53"/>
    <n v="2778.32"/>
    <x v="0"/>
    <s v="Confirmed"/>
    <x v="0"/>
    <x v="18"/>
    <x v="0"/>
    <x v="2"/>
    <x v="1"/>
  </r>
  <r>
    <s v="T000397"/>
    <d v="2024-02-01T00:00:00"/>
    <x v="1"/>
    <x v="1"/>
    <x v="2"/>
    <x v="0"/>
    <s v="India"/>
    <x v="3"/>
    <x v="3"/>
    <s v="C00397"/>
    <n v="26"/>
    <s v="Other"/>
    <x v="0"/>
    <x v="2"/>
    <x v="1"/>
    <s v="Breakfast Only"/>
    <n v="26745.7"/>
    <n v="1094.53"/>
    <x v="0"/>
    <s v="Confirmed"/>
    <x v="1"/>
    <x v="13"/>
    <x v="0"/>
    <x v="2"/>
    <x v="1"/>
  </r>
  <r>
    <s v="T000398"/>
    <d v="2024-02-02T00:00:00"/>
    <x v="2"/>
    <x v="2"/>
    <x v="3"/>
    <x v="1"/>
    <s v="India"/>
    <x v="5"/>
    <x v="6"/>
    <s v="C00398"/>
    <n v="42"/>
    <s v="Female"/>
    <x v="0"/>
    <x v="3"/>
    <x v="0"/>
    <s v="No Meals"/>
    <n v="38852.129999999997"/>
    <n v="1030.1099999999999"/>
    <x v="1"/>
    <s v="Cancelled"/>
    <x v="1"/>
    <x v="5"/>
    <x v="1"/>
    <x v="4"/>
    <x v="1"/>
  </r>
  <r>
    <s v="T000399"/>
    <d v="2024-02-03T00:00:00"/>
    <x v="0"/>
    <x v="0"/>
    <x v="2"/>
    <x v="0"/>
    <s v="India"/>
    <x v="2"/>
    <x v="9"/>
    <s v="C00399"/>
    <n v="33"/>
    <s v="Male"/>
    <x v="2"/>
    <x v="3"/>
    <x v="0"/>
    <s v="Breakfast Only"/>
    <n v="8037.56"/>
    <n v="2728.66"/>
    <x v="1"/>
    <s v="Pending"/>
    <x v="1"/>
    <x v="40"/>
    <x v="2"/>
    <x v="3"/>
    <x v="1"/>
  </r>
  <r>
    <s v="T000400"/>
    <d v="2024-02-04T00:00:00"/>
    <x v="3"/>
    <x v="1"/>
    <x v="4"/>
    <x v="1"/>
    <s v="India"/>
    <x v="6"/>
    <x v="8"/>
    <s v="C00400"/>
    <n v="27"/>
    <s v="Other"/>
    <x v="1"/>
    <x v="3"/>
    <x v="1"/>
    <s v="Half Board"/>
    <n v="14772.4"/>
    <n v="1955.21"/>
    <x v="3"/>
    <s v="Confirmed"/>
    <x v="0"/>
    <x v="9"/>
    <x v="4"/>
    <x v="1"/>
    <x v="1"/>
  </r>
  <r>
    <s v="T000401"/>
    <d v="2024-02-05T00:00:00"/>
    <x v="2"/>
    <x v="2"/>
    <x v="0"/>
    <x v="0"/>
    <s v="India"/>
    <x v="4"/>
    <x v="4"/>
    <s v="C00401"/>
    <n v="28"/>
    <s v="Male"/>
    <x v="5"/>
    <x v="0"/>
    <x v="2"/>
    <s v="Full Board"/>
    <n v="25816.240000000002"/>
    <n v="2864.97"/>
    <x v="0"/>
    <s v="Cancelled"/>
    <x v="0"/>
    <x v="29"/>
    <x v="1"/>
    <x v="2"/>
    <x v="0"/>
  </r>
  <r>
    <s v="T000402"/>
    <d v="2024-02-06T00:00:00"/>
    <x v="1"/>
    <x v="1"/>
    <x v="0"/>
    <x v="0"/>
    <s v="India"/>
    <x v="4"/>
    <x v="2"/>
    <s v="C00402"/>
    <n v="48"/>
    <s v="Female"/>
    <x v="4"/>
    <x v="0"/>
    <x v="3"/>
    <s v="Half Board"/>
    <n v="32190.84"/>
    <n v="4984.13"/>
    <x v="3"/>
    <s v="Confirmed"/>
    <x v="1"/>
    <x v="9"/>
    <x v="4"/>
    <x v="1"/>
    <x v="0"/>
  </r>
  <r>
    <s v="T000403"/>
    <d v="2024-02-07T00:00:00"/>
    <x v="4"/>
    <x v="3"/>
    <x v="3"/>
    <x v="1"/>
    <s v="India"/>
    <x v="5"/>
    <x v="7"/>
    <s v="C00403"/>
    <n v="29"/>
    <s v="Male"/>
    <x v="4"/>
    <x v="0"/>
    <x v="1"/>
    <s v="Full Board"/>
    <n v="20262.45"/>
    <n v="4295.09"/>
    <x v="1"/>
    <s v="Cancelled"/>
    <x v="0"/>
    <x v="29"/>
    <x v="1"/>
    <x v="1"/>
    <x v="0"/>
  </r>
  <r>
    <s v="T000404"/>
    <d v="2024-02-08T00:00:00"/>
    <x v="1"/>
    <x v="1"/>
    <x v="3"/>
    <x v="1"/>
    <s v="India"/>
    <x v="5"/>
    <x v="7"/>
    <s v="C00404"/>
    <n v="48"/>
    <s v="Male"/>
    <x v="3"/>
    <x v="2"/>
    <x v="1"/>
    <s v="No Meals"/>
    <n v="18427.59"/>
    <n v="38.35"/>
    <x v="2"/>
    <s v="Pending"/>
    <x v="3"/>
    <x v="21"/>
    <x v="2"/>
    <x v="4"/>
    <x v="0"/>
  </r>
  <r>
    <s v="T000405"/>
    <d v="2024-02-09T00:00:00"/>
    <x v="0"/>
    <x v="0"/>
    <x v="0"/>
    <x v="0"/>
    <s v="India"/>
    <x v="0"/>
    <x v="11"/>
    <s v="C00405"/>
    <n v="31"/>
    <s v="Other"/>
    <x v="0"/>
    <x v="3"/>
    <x v="3"/>
    <s v="Half Board"/>
    <n v="6862.29"/>
    <n v="252.78"/>
    <x v="2"/>
    <s v="Pending"/>
    <x v="0"/>
    <x v="13"/>
    <x v="0"/>
    <x v="3"/>
    <x v="1"/>
  </r>
  <r>
    <s v="T000406"/>
    <d v="2024-02-10T00:00:00"/>
    <x v="1"/>
    <x v="1"/>
    <x v="3"/>
    <x v="1"/>
    <s v="India"/>
    <x v="5"/>
    <x v="8"/>
    <s v="C00406"/>
    <n v="68"/>
    <s v="Other"/>
    <x v="3"/>
    <x v="2"/>
    <x v="2"/>
    <s v="Half Board"/>
    <n v="6467.08"/>
    <n v="3050.4"/>
    <x v="2"/>
    <s v="Confirmed"/>
    <x v="3"/>
    <x v="34"/>
    <x v="1"/>
    <x v="4"/>
    <x v="0"/>
  </r>
  <r>
    <s v="T000407"/>
    <d v="2024-02-11T00:00:00"/>
    <x v="4"/>
    <x v="3"/>
    <x v="2"/>
    <x v="0"/>
    <s v="India"/>
    <x v="2"/>
    <x v="8"/>
    <s v="C00407"/>
    <n v="61"/>
    <s v="Female"/>
    <x v="2"/>
    <x v="2"/>
    <x v="3"/>
    <s v="Half Board"/>
    <n v="17541.27"/>
    <n v="3131.28"/>
    <x v="1"/>
    <s v="Pending"/>
    <x v="3"/>
    <x v="12"/>
    <x v="1"/>
    <x v="2"/>
    <x v="0"/>
  </r>
  <r>
    <s v="T000408"/>
    <d v="2024-02-12T00:00:00"/>
    <x v="0"/>
    <x v="0"/>
    <x v="1"/>
    <x v="1"/>
    <s v="India"/>
    <x v="1"/>
    <x v="3"/>
    <s v="C00408"/>
    <n v="49"/>
    <s v="Male"/>
    <x v="6"/>
    <x v="1"/>
    <x v="3"/>
    <s v="No Meals"/>
    <n v="28872.77"/>
    <n v="4390.95"/>
    <x v="3"/>
    <s v="Pending"/>
    <x v="3"/>
    <x v="39"/>
    <x v="0"/>
    <x v="3"/>
    <x v="0"/>
  </r>
  <r>
    <s v="T000409"/>
    <d v="2024-02-13T00:00:00"/>
    <x v="1"/>
    <x v="1"/>
    <x v="1"/>
    <x v="1"/>
    <s v="India"/>
    <x v="1"/>
    <x v="4"/>
    <s v="C00409"/>
    <n v="67"/>
    <s v="Other"/>
    <x v="0"/>
    <x v="2"/>
    <x v="2"/>
    <s v="Breakfast Only"/>
    <n v="30036.720000000001"/>
    <n v="3145.29"/>
    <x v="2"/>
    <s v="Cancelled"/>
    <x v="2"/>
    <x v="12"/>
    <x v="1"/>
    <x v="0"/>
    <x v="0"/>
  </r>
  <r>
    <s v="T000410"/>
    <d v="2024-02-14T00:00:00"/>
    <x v="0"/>
    <x v="0"/>
    <x v="2"/>
    <x v="0"/>
    <s v="India"/>
    <x v="2"/>
    <x v="1"/>
    <s v="C00410"/>
    <n v="34"/>
    <s v="Other"/>
    <x v="6"/>
    <x v="0"/>
    <x v="2"/>
    <s v="Breakfast Only"/>
    <n v="27231.24"/>
    <n v="1138.57"/>
    <x v="0"/>
    <s v="Cancelled"/>
    <x v="0"/>
    <x v="5"/>
    <x v="1"/>
    <x v="3"/>
    <x v="1"/>
  </r>
  <r>
    <s v="T000411"/>
    <d v="2024-02-15T00:00:00"/>
    <x v="3"/>
    <x v="1"/>
    <x v="1"/>
    <x v="1"/>
    <s v="India"/>
    <x v="1"/>
    <x v="4"/>
    <s v="C00411"/>
    <n v="52"/>
    <s v="Other"/>
    <x v="1"/>
    <x v="3"/>
    <x v="3"/>
    <s v="Full Board"/>
    <n v="23444.63"/>
    <n v="2342.58"/>
    <x v="0"/>
    <s v="Confirmed"/>
    <x v="1"/>
    <x v="14"/>
    <x v="1"/>
    <x v="4"/>
    <x v="0"/>
  </r>
  <r>
    <s v="T000412"/>
    <d v="2024-02-16T00:00:00"/>
    <x v="3"/>
    <x v="1"/>
    <x v="4"/>
    <x v="1"/>
    <s v="India"/>
    <x v="6"/>
    <x v="10"/>
    <s v="C00412"/>
    <n v="18"/>
    <s v="Female"/>
    <x v="2"/>
    <x v="3"/>
    <x v="3"/>
    <s v="Half Board"/>
    <n v="16353.12"/>
    <n v="4044.93"/>
    <x v="1"/>
    <s v="Cancelled"/>
    <x v="3"/>
    <x v="31"/>
    <x v="1"/>
    <x v="4"/>
    <x v="1"/>
  </r>
  <r>
    <s v="T000413"/>
    <d v="2024-02-17T00:00:00"/>
    <x v="1"/>
    <x v="1"/>
    <x v="2"/>
    <x v="0"/>
    <s v="India"/>
    <x v="3"/>
    <x v="8"/>
    <s v="C00413"/>
    <n v="46"/>
    <s v="Male"/>
    <x v="0"/>
    <x v="2"/>
    <x v="1"/>
    <s v="Breakfast Only"/>
    <n v="23031.25"/>
    <n v="4614.12"/>
    <x v="0"/>
    <s v="Pending"/>
    <x v="1"/>
    <x v="14"/>
    <x v="1"/>
    <x v="1"/>
    <x v="1"/>
  </r>
  <r>
    <s v="T000414"/>
    <d v="2024-02-18T00:00:00"/>
    <x v="0"/>
    <x v="0"/>
    <x v="3"/>
    <x v="1"/>
    <s v="India"/>
    <x v="5"/>
    <x v="5"/>
    <s v="C00414"/>
    <n v="68"/>
    <s v="Other"/>
    <x v="3"/>
    <x v="0"/>
    <x v="2"/>
    <s v="No Meals"/>
    <n v="11244.2"/>
    <n v="1184.58"/>
    <x v="0"/>
    <s v="Cancelled"/>
    <x v="3"/>
    <x v="8"/>
    <x v="0"/>
    <x v="0"/>
    <x v="0"/>
  </r>
  <r>
    <s v="T000415"/>
    <d v="2024-02-19T00:00:00"/>
    <x v="4"/>
    <x v="3"/>
    <x v="2"/>
    <x v="0"/>
    <s v="India"/>
    <x v="2"/>
    <x v="0"/>
    <s v="C00415"/>
    <n v="21"/>
    <s v="Male"/>
    <x v="3"/>
    <x v="0"/>
    <x v="0"/>
    <s v="Half Board"/>
    <n v="10186.67"/>
    <n v="2698.02"/>
    <x v="1"/>
    <s v="Pending"/>
    <x v="1"/>
    <x v="25"/>
    <x v="3"/>
    <x v="3"/>
    <x v="1"/>
  </r>
  <r>
    <s v="T000416"/>
    <d v="2024-02-20T00:00:00"/>
    <x v="1"/>
    <x v="1"/>
    <x v="0"/>
    <x v="0"/>
    <s v="India"/>
    <x v="0"/>
    <x v="8"/>
    <s v="C00416"/>
    <n v="40"/>
    <s v="Female"/>
    <x v="0"/>
    <x v="0"/>
    <x v="2"/>
    <s v="Full Board"/>
    <n v="18497.45"/>
    <n v="794.64"/>
    <x v="3"/>
    <s v="Confirmed"/>
    <x v="2"/>
    <x v="1"/>
    <x v="1"/>
    <x v="0"/>
    <x v="0"/>
  </r>
  <r>
    <s v="T000417"/>
    <d v="2024-02-21T00:00:00"/>
    <x v="3"/>
    <x v="1"/>
    <x v="3"/>
    <x v="1"/>
    <s v="India"/>
    <x v="5"/>
    <x v="11"/>
    <s v="C00417"/>
    <n v="45"/>
    <s v="Male"/>
    <x v="5"/>
    <x v="3"/>
    <x v="3"/>
    <s v="Breakfast Only"/>
    <n v="49790.7"/>
    <n v="2485"/>
    <x v="2"/>
    <s v="Pending"/>
    <x v="3"/>
    <x v="23"/>
    <x v="1"/>
    <x v="1"/>
    <x v="1"/>
  </r>
  <r>
    <s v="T000418"/>
    <d v="2024-02-22T00:00:00"/>
    <x v="3"/>
    <x v="1"/>
    <x v="0"/>
    <x v="0"/>
    <s v="India"/>
    <x v="0"/>
    <x v="2"/>
    <s v="C00418"/>
    <n v="33"/>
    <s v="Other"/>
    <x v="3"/>
    <x v="0"/>
    <x v="3"/>
    <s v="No Meals"/>
    <n v="19692.36"/>
    <n v="450.57"/>
    <x v="1"/>
    <s v="Cancelled"/>
    <x v="2"/>
    <x v="37"/>
    <x v="3"/>
    <x v="0"/>
    <x v="1"/>
  </r>
  <r>
    <s v="T000419"/>
    <d v="2024-02-23T00:00:00"/>
    <x v="1"/>
    <x v="1"/>
    <x v="3"/>
    <x v="1"/>
    <s v="India"/>
    <x v="5"/>
    <x v="5"/>
    <s v="C00419"/>
    <n v="29"/>
    <s v="Male"/>
    <x v="5"/>
    <x v="0"/>
    <x v="3"/>
    <s v="No Meals"/>
    <n v="47140.54"/>
    <n v="4708.6400000000003"/>
    <x v="0"/>
    <s v="Cancelled"/>
    <x v="2"/>
    <x v="31"/>
    <x v="1"/>
    <x v="0"/>
    <x v="1"/>
  </r>
  <r>
    <s v="T000420"/>
    <d v="2024-02-24T00:00:00"/>
    <x v="0"/>
    <x v="0"/>
    <x v="1"/>
    <x v="1"/>
    <s v="India"/>
    <x v="1"/>
    <x v="11"/>
    <s v="C00420"/>
    <n v="38"/>
    <s v="Male"/>
    <x v="0"/>
    <x v="2"/>
    <x v="3"/>
    <s v="Full Board"/>
    <n v="22651.8"/>
    <n v="3190.28"/>
    <x v="2"/>
    <s v="Cancelled"/>
    <x v="0"/>
    <x v="37"/>
    <x v="3"/>
    <x v="3"/>
    <x v="0"/>
  </r>
  <r>
    <s v="T000421"/>
    <d v="2024-02-25T00:00:00"/>
    <x v="3"/>
    <x v="1"/>
    <x v="2"/>
    <x v="0"/>
    <s v="India"/>
    <x v="3"/>
    <x v="9"/>
    <s v="C00421"/>
    <n v="62"/>
    <s v="Female"/>
    <x v="4"/>
    <x v="1"/>
    <x v="0"/>
    <s v="Breakfast Only"/>
    <n v="24755.45"/>
    <n v="4271.08"/>
    <x v="2"/>
    <s v="Cancelled"/>
    <x v="1"/>
    <x v="34"/>
    <x v="1"/>
    <x v="0"/>
    <x v="0"/>
  </r>
  <r>
    <s v="T000422"/>
    <d v="2024-02-26T00:00:00"/>
    <x v="0"/>
    <x v="0"/>
    <x v="4"/>
    <x v="1"/>
    <s v="India"/>
    <x v="6"/>
    <x v="0"/>
    <s v="C00422"/>
    <n v="34"/>
    <s v="Female"/>
    <x v="3"/>
    <x v="0"/>
    <x v="2"/>
    <s v="Half Board"/>
    <n v="40867.83"/>
    <n v="4991.4799999999996"/>
    <x v="2"/>
    <s v="Confirmed"/>
    <x v="3"/>
    <x v="29"/>
    <x v="1"/>
    <x v="1"/>
    <x v="0"/>
  </r>
  <r>
    <s v="T000423"/>
    <d v="2024-02-27T00:00:00"/>
    <x v="3"/>
    <x v="1"/>
    <x v="3"/>
    <x v="1"/>
    <s v="India"/>
    <x v="5"/>
    <x v="0"/>
    <s v="C00423"/>
    <n v="57"/>
    <s v="Male"/>
    <x v="5"/>
    <x v="2"/>
    <x v="0"/>
    <s v="No Meals"/>
    <n v="9213.7199999999993"/>
    <n v="913.33"/>
    <x v="1"/>
    <s v="Pending"/>
    <x v="2"/>
    <x v="34"/>
    <x v="1"/>
    <x v="2"/>
    <x v="0"/>
  </r>
  <r>
    <s v="T000424"/>
    <d v="2024-02-28T00:00:00"/>
    <x v="3"/>
    <x v="1"/>
    <x v="3"/>
    <x v="1"/>
    <s v="India"/>
    <x v="5"/>
    <x v="3"/>
    <s v="C00424"/>
    <n v="30"/>
    <s v="Male"/>
    <x v="0"/>
    <x v="2"/>
    <x v="0"/>
    <s v="Full Board"/>
    <n v="13204.1"/>
    <n v="3470.72"/>
    <x v="2"/>
    <s v="Cancelled"/>
    <x v="1"/>
    <x v="0"/>
    <x v="0"/>
    <x v="2"/>
    <x v="1"/>
  </r>
  <r>
    <s v="T000425"/>
    <d v="2024-02-29T00:00:00"/>
    <x v="2"/>
    <x v="2"/>
    <x v="0"/>
    <x v="0"/>
    <s v="India"/>
    <x v="0"/>
    <x v="8"/>
    <s v="C00425"/>
    <n v="69"/>
    <s v="Male"/>
    <x v="0"/>
    <x v="0"/>
    <x v="3"/>
    <s v="No Meals"/>
    <n v="48822.81"/>
    <n v="4434.93"/>
    <x v="3"/>
    <s v="Pending"/>
    <x v="0"/>
    <x v="19"/>
    <x v="3"/>
    <x v="4"/>
    <x v="0"/>
  </r>
  <r>
    <s v="T000426"/>
    <d v="2024-03-01T00:00:00"/>
    <x v="3"/>
    <x v="1"/>
    <x v="1"/>
    <x v="1"/>
    <s v="India"/>
    <x v="1"/>
    <x v="3"/>
    <s v="C00426"/>
    <n v="49"/>
    <s v="Female"/>
    <x v="5"/>
    <x v="1"/>
    <x v="0"/>
    <s v="No Meals"/>
    <n v="27766.28"/>
    <n v="2879.69"/>
    <x v="0"/>
    <s v="Confirmed"/>
    <x v="1"/>
    <x v="34"/>
    <x v="1"/>
    <x v="2"/>
    <x v="1"/>
  </r>
  <r>
    <s v="T000427"/>
    <d v="2024-03-02T00:00:00"/>
    <x v="4"/>
    <x v="3"/>
    <x v="0"/>
    <x v="0"/>
    <s v="India"/>
    <x v="0"/>
    <x v="7"/>
    <s v="C00427"/>
    <n v="54"/>
    <s v="Female"/>
    <x v="3"/>
    <x v="3"/>
    <x v="3"/>
    <s v="Breakfast Only"/>
    <n v="6993.94"/>
    <n v="3198.48"/>
    <x v="1"/>
    <s v="Pending"/>
    <x v="1"/>
    <x v="22"/>
    <x v="4"/>
    <x v="3"/>
    <x v="1"/>
  </r>
  <r>
    <s v="T000428"/>
    <d v="2024-03-03T00:00:00"/>
    <x v="1"/>
    <x v="1"/>
    <x v="0"/>
    <x v="0"/>
    <s v="India"/>
    <x v="0"/>
    <x v="11"/>
    <s v="C00428"/>
    <n v="67"/>
    <s v="Male"/>
    <x v="4"/>
    <x v="1"/>
    <x v="3"/>
    <s v="Breakfast Only"/>
    <n v="7132.13"/>
    <n v="2038.36"/>
    <x v="1"/>
    <s v="Cancelled"/>
    <x v="0"/>
    <x v="27"/>
    <x v="0"/>
    <x v="4"/>
    <x v="1"/>
  </r>
  <r>
    <s v="T000429"/>
    <d v="2024-03-04T00:00:00"/>
    <x v="1"/>
    <x v="1"/>
    <x v="1"/>
    <x v="1"/>
    <s v="India"/>
    <x v="1"/>
    <x v="10"/>
    <s v="C00429"/>
    <n v="32"/>
    <s v="Female"/>
    <x v="3"/>
    <x v="0"/>
    <x v="3"/>
    <s v="Half Board"/>
    <n v="45825.83"/>
    <n v="3373.8"/>
    <x v="2"/>
    <s v="Pending"/>
    <x v="0"/>
    <x v="9"/>
    <x v="4"/>
    <x v="2"/>
    <x v="1"/>
  </r>
  <r>
    <s v="T000430"/>
    <d v="2024-03-05T00:00:00"/>
    <x v="0"/>
    <x v="0"/>
    <x v="4"/>
    <x v="1"/>
    <s v="India"/>
    <x v="6"/>
    <x v="10"/>
    <s v="C00430"/>
    <n v="29"/>
    <s v="Other"/>
    <x v="0"/>
    <x v="1"/>
    <x v="0"/>
    <s v="No Meals"/>
    <n v="44301.43"/>
    <n v="1977.89"/>
    <x v="0"/>
    <s v="Cancelled"/>
    <x v="0"/>
    <x v="1"/>
    <x v="1"/>
    <x v="2"/>
    <x v="1"/>
  </r>
  <r>
    <s v="T000431"/>
    <d v="2024-03-06T00:00:00"/>
    <x v="3"/>
    <x v="1"/>
    <x v="0"/>
    <x v="0"/>
    <s v="India"/>
    <x v="0"/>
    <x v="7"/>
    <s v="C00431"/>
    <n v="66"/>
    <s v="Female"/>
    <x v="4"/>
    <x v="2"/>
    <x v="3"/>
    <s v="Full Board"/>
    <n v="25627.96"/>
    <n v="2383.1"/>
    <x v="2"/>
    <s v="Cancelled"/>
    <x v="2"/>
    <x v="1"/>
    <x v="1"/>
    <x v="4"/>
    <x v="1"/>
  </r>
  <r>
    <s v="T000432"/>
    <d v="2024-03-07T00:00:00"/>
    <x v="4"/>
    <x v="3"/>
    <x v="0"/>
    <x v="0"/>
    <s v="India"/>
    <x v="4"/>
    <x v="9"/>
    <s v="C00432"/>
    <n v="32"/>
    <s v="Female"/>
    <x v="6"/>
    <x v="2"/>
    <x v="0"/>
    <s v="No Meals"/>
    <n v="12344.99"/>
    <n v="514.55999999999995"/>
    <x v="2"/>
    <s v="Confirmed"/>
    <x v="1"/>
    <x v="8"/>
    <x v="2"/>
    <x v="3"/>
    <x v="1"/>
  </r>
  <r>
    <s v="T000433"/>
    <d v="2024-03-08T00:00:00"/>
    <x v="0"/>
    <x v="0"/>
    <x v="3"/>
    <x v="1"/>
    <s v="India"/>
    <x v="5"/>
    <x v="10"/>
    <s v="C00433"/>
    <n v="51"/>
    <s v="Female"/>
    <x v="1"/>
    <x v="1"/>
    <x v="2"/>
    <s v="Full Board"/>
    <n v="42362.81"/>
    <n v="39.04"/>
    <x v="1"/>
    <s v="Confirmed"/>
    <x v="0"/>
    <x v="12"/>
    <x v="1"/>
    <x v="4"/>
    <x v="1"/>
  </r>
  <r>
    <s v="T000434"/>
    <d v="2024-03-09T00:00:00"/>
    <x v="2"/>
    <x v="2"/>
    <x v="1"/>
    <x v="1"/>
    <s v="India"/>
    <x v="1"/>
    <x v="11"/>
    <s v="C00434"/>
    <n v="23"/>
    <s v="Other"/>
    <x v="3"/>
    <x v="3"/>
    <x v="3"/>
    <s v="No Meals"/>
    <n v="19607"/>
    <n v="275.76"/>
    <x v="3"/>
    <s v="Pending"/>
    <x v="1"/>
    <x v="19"/>
    <x v="3"/>
    <x v="3"/>
    <x v="1"/>
  </r>
  <r>
    <s v="T000435"/>
    <d v="2024-03-10T00:00:00"/>
    <x v="0"/>
    <x v="0"/>
    <x v="2"/>
    <x v="0"/>
    <s v="India"/>
    <x v="2"/>
    <x v="10"/>
    <s v="C00435"/>
    <n v="34"/>
    <s v="Other"/>
    <x v="2"/>
    <x v="1"/>
    <x v="1"/>
    <s v="Full Board"/>
    <n v="23857.63"/>
    <n v="962.61"/>
    <x v="0"/>
    <s v="Pending"/>
    <x v="1"/>
    <x v="4"/>
    <x v="0"/>
    <x v="3"/>
    <x v="1"/>
  </r>
  <r>
    <s v="T000436"/>
    <d v="2024-03-11T00:00:00"/>
    <x v="0"/>
    <x v="0"/>
    <x v="4"/>
    <x v="1"/>
    <s v="India"/>
    <x v="6"/>
    <x v="7"/>
    <s v="C00436"/>
    <n v="65"/>
    <s v="Other"/>
    <x v="0"/>
    <x v="0"/>
    <x v="1"/>
    <s v="No Meals"/>
    <n v="35711.440000000002"/>
    <n v="2283.02"/>
    <x v="0"/>
    <s v="Cancelled"/>
    <x v="2"/>
    <x v="35"/>
    <x v="3"/>
    <x v="1"/>
    <x v="1"/>
  </r>
  <r>
    <s v="T000437"/>
    <d v="2024-03-12T00:00:00"/>
    <x v="3"/>
    <x v="1"/>
    <x v="4"/>
    <x v="1"/>
    <s v="India"/>
    <x v="6"/>
    <x v="5"/>
    <s v="C00437"/>
    <n v="66"/>
    <s v="Male"/>
    <x v="4"/>
    <x v="3"/>
    <x v="1"/>
    <s v="No Meals"/>
    <n v="20902.93"/>
    <n v="104.97"/>
    <x v="0"/>
    <s v="Cancelled"/>
    <x v="1"/>
    <x v="10"/>
    <x v="1"/>
    <x v="2"/>
    <x v="0"/>
  </r>
  <r>
    <s v="T000438"/>
    <d v="2024-03-13T00:00:00"/>
    <x v="2"/>
    <x v="2"/>
    <x v="1"/>
    <x v="1"/>
    <s v="India"/>
    <x v="1"/>
    <x v="2"/>
    <s v="C00438"/>
    <n v="37"/>
    <s v="Male"/>
    <x v="5"/>
    <x v="1"/>
    <x v="1"/>
    <s v="Half Board"/>
    <n v="33290.15"/>
    <n v="779.68"/>
    <x v="0"/>
    <s v="Cancelled"/>
    <x v="2"/>
    <x v="28"/>
    <x v="3"/>
    <x v="2"/>
    <x v="1"/>
  </r>
  <r>
    <s v="T000439"/>
    <d v="2024-03-14T00:00:00"/>
    <x v="0"/>
    <x v="0"/>
    <x v="3"/>
    <x v="1"/>
    <s v="India"/>
    <x v="5"/>
    <x v="2"/>
    <s v="C00439"/>
    <n v="26"/>
    <s v="Other"/>
    <x v="5"/>
    <x v="1"/>
    <x v="1"/>
    <s v="Breakfast Only"/>
    <n v="44837.72"/>
    <n v="3907.22"/>
    <x v="3"/>
    <s v="Cancelled"/>
    <x v="0"/>
    <x v="15"/>
    <x v="0"/>
    <x v="0"/>
    <x v="0"/>
  </r>
  <r>
    <s v="T000440"/>
    <d v="2024-03-15T00:00:00"/>
    <x v="4"/>
    <x v="3"/>
    <x v="3"/>
    <x v="1"/>
    <s v="India"/>
    <x v="5"/>
    <x v="3"/>
    <s v="C00440"/>
    <n v="22"/>
    <s v="Male"/>
    <x v="5"/>
    <x v="3"/>
    <x v="0"/>
    <s v="Breakfast Only"/>
    <n v="40881.800000000003"/>
    <n v="3810.83"/>
    <x v="1"/>
    <s v="Confirmed"/>
    <x v="0"/>
    <x v="40"/>
    <x v="2"/>
    <x v="4"/>
    <x v="0"/>
  </r>
  <r>
    <s v="T000441"/>
    <d v="2024-03-16T00:00:00"/>
    <x v="4"/>
    <x v="3"/>
    <x v="1"/>
    <x v="1"/>
    <s v="India"/>
    <x v="1"/>
    <x v="6"/>
    <s v="C00441"/>
    <n v="40"/>
    <s v="Male"/>
    <x v="4"/>
    <x v="1"/>
    <x v="2"/>
    <s v="Full Board"/>
    <n v="22172.5"/>
    <n v="3948.65"/>
    <x v="3"/>
    <s v="Cancelled"/>
    <x v="1"/>
    <x v="20"/>
    <x v="0"/>
    <x v="1"/>
    <x v="1"/>
  </r>
  <r>
    <s v="T000442"/>
    <d v="2024-03-17T00:00:00"/>
    <x v="1"/>
    <x v="1"/>
    <x v="3"/>
    <x v="1"/>
    <s v="India"/>
    <x v="5"/>
    <x v="1"/>
    <s v="C00442"/>
    <n v="50"/>
    <s v="Male"/>
    <x v="6"/>
    <x v="0"/>
    <x v="0"/>
    <s v="No Meals"/>
    <n v="17957.14"/>
    <n v="4607.7"/>
    <x v="2"/>
    <s v="Confirmed"/>
    <x v="2"/>
    <x v="9"/>
    <x v="4"/>
    <x v="2"/>
    <x v="1"/>
  </r>
  <r>
    <s v="T000443"/>
    <d v="2024-03-18T00:00:00"/>
    <x v="2"/>
    <x v="2"/>
    <x v="4"/>
    <x v="1"/>
    <s v="India"/>
    <x v="6"/>
    <x v="11"/>
    <s v="C00443"/>
    <n v="55"/>
    <s v="Other"/>
    <x v="3"/>
    <x v="2"/>
    <x v="3"/>
    <s v="No Meals"/>
    <n v="17847.97"/>
    <n v="595.36"/>
    <x v="1"/>
    <s v="Pending"/>
    <x v="2"/>
    <x v="33"/>
    <x v="4"/>
    <x v="0"/>
    <x v="1"/>
  </r>
  <r>
    <s v="T000444"/>
    <d v="2024-03-19T00:00:00"/>
    <x v="2"/>
    <x v="2"/>
    <x v="4"/>
    <x v="1"/>
    <s v="India"/>
    <x v="6"/>
    <x v="3"/>
    <s v="C00444"/>
    <n v="31"/>
    <s v="Female"/>
    <x v="2"/>
    <x v="0"/>
    <x v="2"/>
    <s v="Breakfast Only"/>
    <n v="20686.599999999999"/>
    <n v="815.7"/>
    <x v="3"/>
    <s v="Pending"/>
    <x v="3"/>
    <x v="32"/>
    <x v="4"/>
    <x v="1"/>
    <x v="1"/>
  </r>
  <r>
    <s v="T000445"/>
    <d v="2024-03-20T00:00:00"/>
    <x v="1"/>
    <x v="1"/>
    <x v="2"/>
    <x v="0"/>
    <s v="India"/>
    <x v="2"/>
    <x v="0"/>
    <s v="C00445"/>
    <n v="34"/>
    <s v="Other"/>
    <x v="5"/>
    <x v="1"/>
    <x v="2"/>
    <s v="Full Board"/>
    <n v="27208.26"/>
    <n v="1667.77"/>
    <x v="0"/>
    <s v="Confirmed"/>
    <x v="3"/>
    <x v="8"/>
    <x v="0"/>
    <x v="3"/>
    <x v="0"/>
  </r>
  <r>
    <s v="T000446"/>
    <d v="2024-03-21T00:00:00"/>
    <x v="0"/>
    <x v="0"/>
    <x v="1"/>
    <x v="1"/>
    <s v="India"/>
    <x v="1"/>
    <x v="6"/>
    <s v="C00446"/>
    <n v="36"/>
    <s v="Other"/>
    <x v="4"/>
    <x v="2"/>
    <x v="2"/>
    <s v="Half Board"/>
    <n v="23746.89"/>
    <n v="4575.71"/>
    <x v="0"/>
    <s v="Cancelled"/>
    <x v="0"/>
    <x v="30"/>
    <x v="0"/>
    <x v="2"/>
    <x v="0"/>
  </r>
  <r>
    <s v="T000447"/>
    <d v="2024-03-22T00:00:00"/>
    <x v="2"/>
    <x v="2"/>
    <x v="0"/>
    <x v="0"/>
    <s v="India"/>
    <x v="0"/>
    <x v="4"/>
    <s v="C00447"/>
    <n v="50"/>
    <s v="Male"/>
    <x v="5"/>
    <x v="3"/>
    <x v="2"/>
    <s v="Half Board"/>
    <n v="10985.18"/>
    <n v="3877.39"/>
    <x v="1"/>
    <s v="Pending"/>
    <x v="0"/>
    <x v="12"/>
    <x v="1"/>
    <x v="4"/>
    <x v="1"/>
  </r>
  <r>
    <s v="T000448"/>
    <d v="2024-03-23T00:00:00"/>
    <x v="4"/>
    <x v="3"/>
    <x v="0"/>
    <x v="0"/>
    <s v="India"/>
    <x v="0"/>
    <x v="10"/>
    <s v="C00448"/>
    <n v="18"/>
    <s v="Male"/>
    <x v="6"/>
    <x v="0"/>
    <x v="1"/>
    <s v="Half Board"/>
    <n v="12355.51"/>
    <n v="1620.61"/>
    <x v="3"/>
    <s v="Confirmed"/>
    <x v="3"/>
    <x v="33"/>
    <x v="4"/>
    <x v="1"/>
    <x v="0"/>
  </r>
  <r>
    <s v="T000449"/>
    <d v="2024-03-24T00:00:00"/>
    <x v="4"/>
    <x v="3"/>
    <x v="2"/>
    <x v="0"/>
    <s v="India"/>
    <x v="2"/>
    <x v="10"/>
    <s v="C00449"/>
    <n v="30"/>
    <s v="Female"/>
    <x v="0"/>
    <x v="3"/>
    <x v="3"/>
    <s v="No Meals"/>
    <n v="20431.830000000002"/>
    <n v="438.18"/>
    <x v="1"/>
    <s v="Pending"/>
    <x v="2"/>
    <x v="33"/>
    <x v="4"/>
    <x v="0"/>
    <x v="1"/>
  </r>
  <r>
    <s v="T000450"/>
    <d v="2024-03-25T00:00:00"/>
    <x v="3"/>
    <x v="1"/>
    <x v="2"/>
    <x v="0"/>
    <s v="India"/>
    <x v="3"/>
    <x v="9"/>
    <s v="C00450"/>
    <n v="63"/>
    <s v="Female"/>
    <x v="5"/>
    <x v="2"/>
    <x v="2"/>
    <s v="Full Board"/>
    <n v="30292.880000000001"/>
    <n v="3081.9"/>
    <x v="0"/>
    <s v="Cancelled"/>
    <x v="1"/>
    <x v="17"/>
    <x v="1"/>
    <x v="4"/>
    <x v="1"/>
  </r>
  <r>
    <s v="T000451"/>
    <d v="2024-03-26T00:00:00"/>
    <x v="2"/>
    <x v="2"/>
    <x v="3"/>
    <x v="1"/>
    <s v="India"/>
    <x v="5"/>
    <x v="2"/>
    <s v="C00451"/>
    <n v="44"/>
    <s v="Female"/>
    <x v="6"/>
    <x v="1"/>
    <x v="2"/>
    <s v="Breakfast Only"/>
    <n v="31669.88"/>
    <n v="1284.0999999999999"/>
    <x v="3"/>
    <s v="Confirmed"/>
    <x v="1"/>
    <x v="13"/>
    <x v="0"/>
    <x v="3"/>
    <x v="1"/>
  </r>
  <r>
    <s v="T000452"/>
    <d v="2024-03-27T00:00:00"/>
    <x v="0"/>
    <x v="0"/>
    <x v="2"/>
    <x v="0"/>
    <s v="India"/>
    <x v="2"/>
    <x v="3"/>
    <s v="C00452"/>
    <n v="23"/>
    <s v="Female"/>
    <x v="3"/>
    <x v="2"/>
    <x v="1"/>
    <s v="No Meals"/>
    <n v="26879.32"/>
    <n v="2655.76"/>
    <x v="0"/>
    <s v="Pending"/>
    <x v="2"/>
    <x v="32"/>
    <x v="4"/>
    <x v="4"/>
    <x v="0"/>
  </r>
  <r>
    <s v="T000453"/>
    <d v="2024-03-28T00:00:00"/>
    <x v="1"/>
    <x v="1"/>
    <x v="2"/>
    <x v="0"/>
    <s v="India"/>
    <x v="3"/>
    <x v="4"/>
    <s v="C00453"/>
    <n v="23"/>
    <s v="Other"/>
    <x v="5"/>
    <x v="2"/>
    <x v="0"/>
    <s v="No Meals"/>
    <n v="38244.910000000003"/>
    <n v="4709.0200000000004"/>
    <x v="1"/>
    <s v="Cancelled"/>
    <x v="0"/>
    <x v="23"/>
    <x v="1"/>
    <x v="0"/>
    <x v="0"/>
  </r>
  <r>
    <s v="T000454"/>
    <d v="2024-03-29T00:00:00"/>
    <x v="1"/>
    <x v="1"/>
    <x v="0"/>
    <x v="0"/>
    <s v="India"/>
    <x v="4"/>
    <x v="2"/>
    <s v="C00454"/>
    <n v="50"/>
    <s v="Female"/>
    <x v="6"/>
    <x v="3"/>
    <x v="0"/>
    <s v="Half Board"/>
    <n v="38176.199999999997"/>
    <n v="2863.09"/>
    <x v="1"/>
    <s v="Confirmed"/>
    <x v="1"/>
    <x v="1"/>
    <x v="1"/>
    <x v="3"/>
    <x v="0"/>
  </r>
  <r>
    <s v="T000455"/>
    <d v="2024-03-30T00:00:00"/>
    <x v="0"/>
    <x v="0"/>
    <x v="3"/>
    <x v="1"/>
    <s v="India"/>
    <x v="5"/>
    <x v="10"/>
    <s v="C00455"/>
    <n v="47"/>
    <s v="Other"/>
    <x v="4"/>
    <x v="0"/>
    <x v="0"/>
    <s v="Full Board"/>
    <n v="24243.24"/>
    <n v="4619.17"/>
    <x v="1"/>
    <s v="Confirmed"/>
    <x v="2"/>
    <x v="36"/>
    <x v="4"/>
    <x v="0"/>
    <x v="1"/>
  </r>
  <r>
    <s v="T000456"/>
    <d v="2024-03-31T00:00:00"/>
    <x v="3"/>
    <x v="1"/>
    <x v="2"/>
    <x v="0"/>
    <s v="India"/>
    <x v="2"/>
    <x v="0"/>
    <s v="C00456"/>
    <n v="63"/>
    <s v="Male"/>
    <x v="4"/>
    <x v="2"/>
    <x v="3"/>
    <s v="Full Board"/>
    <n v="10599.84"/>
    <n v="1965.19"/>
    <x v="1"/>
    <s v="Confirmed"/>
    <x v="1"/>
    <x v="7"/>
    <x v="3"/>
    <x v="2"/>
    <x v="0"/>
  </r>
  <r>
    <s v="T000457"/>
    <d v="2024-04-01T00:00:00"/>
    <x v="1"/>
    <x v="1"/>
    <x v="2"/>
    <x v="0"/>
    <s v="India"/>
    <x v="3"/>
    <x v="9"/>
    <s v="C00457"/>
    <n v="52"/>
    <s v="Female"/>
    <x v="1"/>
    <x v="1"/>
    <x v="0"/>
    <s v="Half Board"/>
    <n v="28857.86"/>
    <n v="3166.76"/>
    <x v="1"/>
    <s v="Confirmed"/>
    <x v="2"/>
    <x v="16"/>
    <x v="4"/>
    <x v="0"/>
    <x v="1"/>
  </r>
  <r>
    <s v="T000458"/>
    <d v="2024-04-02T00:00:00"/>
    <x v="2"/>
    <x v="2"/>
    <x v="3"/>
    <x v="1"/>
    <s v="India"/>
    <x v="5"/>
    <x v="3"/>
    <s v="C00458"/>
    <n v="40"/>
    <s v="Male"/>
    <x v="6"/>
    <x v="2"/>
    <x v="2"/>
    <s v="Half Board"/>
    <n v="22166.11"/>
    <n v="4469.45"/>
    <x v="2"/>
    <s v="Pending"/>
    <x v="3"/>
    <x v="14"/>
    <x v="1"/>
    <x v="4"/>
    <x v="1"/>
  </r>
  <r>
    <s v="T000459"/>
    <d v="2024-04-03T00:00:00"/>
    <x v="3"/>
    <x v="1"/>
    <x v="1"/>
    <x v="1"/>
    <s v="India"/>
    <x v="1"/>
    <x v="9"/>
    <s v="C00459"/>
    <n v="27"/>
    <s v="Male"/>
    <x v="0"/>
    <x v="3"/>
    <x v="1"/>
    <s v="Half Board"/>
    <n v="11206.53"/>
    <n v="2939.94"/>
    <x v="1"/>
    <s v="Confirmed"/>
    <x v="3"/>
    <x v="1"/>
    <x v="1"/>
    <x v="2"/>
    <x v="0"/>
  </r>
  <r>
    <s v="T000460"/>
    <d v="2024-04-04T00:00:00"/>
    <x v="2"/>
    <x v="2"/>
    <x v="3"/>
    <x v="1"/>
    <s v="India"/>
    <x v="5"/>
    <x v="3"/>
    <s v="C00460"/>
    <n v="68"/>
    <s v="Other"/>
    <x v="5"/>
    <x v="0"/>
    <x v="1"/>
    <s v="No Meals"/>
    <n v="49181.77"/>
    <n v="3074.49"/>
    <x v="1"/>
    <s v="Confirmed"/>
    <x v="1"/>
    <x v="15"/>
    <x v="0"/>
    <x v="2"/>
    <x v="1"/>
  </r>
  <r>
    <s v="T000461"/>
    <d v="2024-04-05T00:00:00"/>
    <x v="4"/>
    <x v="3"/>
    <x v="0"/>
    <x v="0"/>
    <s v="India"/>
    <x v="0"/>
    <x v="8"/>
    <s v="C00461"/>
    <n v="36"/>
    <s v="Female"/>
    <x v="2"/>
    <x v="1"/>
    <x v="0"/>
    <s v="No Meals"/>
    <n v="21638.99"/>
    <n v="3581.54"/>
    <x v="0"/>
    <s v="Confirmed"/>
    <x v="1"/>
    <x v="26"/>
    <x v="0"/>
    <x v="1"/>
    <x v="1"/>
  </r>
  <r>
    <s v="T000462"/>
    <d v="2024-04-06T00:00:00"/>
    <x v="3"/>
    <x v="1"/>
    <x v="1"/>
    <x v="1"/>
    <s v="India"/>
    <x v="1"/>
    <x v="8"/>
    <s v="C00462"/>
    <n v="68"/>
    <s v="Other"/>
    <x v="2"/>
    <x v="3"/>
    <x v="1"/>
    <s v="No Meals"/>
    <n v="33160.9"/>
    <n v="4410.54"/>
    <x v="1"/>
    <s v="Confirmed"/>
    <x v="1"/>
    <x v="20"/>
    <x v="0"/>
    <x v="4"/>
    <x v="1"/>
  </r>
  <r>
    <s v="T000463"/>
    <d v="2024-04-07T00:00:00"/>
    <x v="1"/>
    <x v="1"/>
    <x v="4"/>
    <x v="1"/>
    <s v="India"/>
    <x v="6"/>
    <x v="2"/>
    <s v="C00463"/>
    <n v="45"/>
    <s v="Male"/>
    <x v="3"/>
    <x v="2"/>
    <x v="2"/>
    <s v="Breakfast Only"/>
    <n v="27055.8"/>
    <n v="440.9"/>
    <x v="3"/>
    <s v="Confirmed"/>
    <x v="1"/>
    <x v="32"/>
    <x v="4"/>
    <x v="4"/>
    <x v="1"/>
  </r>
  <r>
    <s v="T000464"/>
    <d v="2024-04-08T00:00:00"/>
    <x v="3"/>
    <x v="1"/>
    <x v="3"/>
    <x v="1"/>
    <s v="India"/>
    <x v="5"/>
    <x v="7"/>
    <s v="C00464"/>
    <n v="40"/>
    <s v="Female"/>
    <x v="1"/>
    <x v="2"/>
    <x v="0"/>
    <s v="Breakfast Only"/>
    <n v="11427.27"/>
    <n v="1684.3"/>
    <x v="1"/>
    <s v="Cancelled"/>
    <x v="3"/>
    <x v="16"/>
    <x v="4"/>
    <x v="3"/>
    <x v="0"/>
  </r>
  <r>
    <s v="T000465"/>
    <d v="2024-04-09T00:00:00"/>
    <x v="3"/>
    <x v="1"/>
    <x v="0"/>
    <x v="0"/>
    <s v="India"/>
    <x v="4"/>
    <x v="11"/>
    <s v="C00465"/>
    <n v="21"/>
    <s v="Male"/>
    <x v="6"/>
    <x v="0"/>
    <x v="2"/>
    <s v="Full Board"/>
    <n v="7499.46"/>
    <n v="1988.42"/>
    <x v="2"/>
    <s v="Pending"/>
    <x v="3"/>
    <x v="20"/>
    <x v="0"/>
    <x v="0"/>
    <x v="1"/>
  </r>
  <r>
    <s v="T000466"/>
    <d v="2024-04-10T00:00:00"/>
    <x v="3"/>
    <x v="1"/>
    <x v="1"/>
    <x v="1"/>
    <s v="India"/>
    <x v="1"/>
    <x v="9"/>
    <s v="C00466"/>
    <n v="37"/>
    <s v="Male"/>
    <x v="0"/>
    <x v="3"/>
    <x v="3"/>
    <s v="Half Board"/>
    <n v="33159.620000000003"/>
    <n v="4548.55"/>
    <x v="1"/>
    <s v="Cancelled"/>
    <x v="2"/>
    <x v="14"/>
    <x v="1"/>
    <x v="0"/>
    <x v="1"/>
  </r>
  <r>
    <s v="T000467"/>
    <d v="2024-04-11T00:00:00"/>
    <x v="3"/>
    <x v="1"/>
    <x v="3"/>
    <x v="1"/>
    <s v="India"/>
    <x v="5"/>
    <x v="7"/>
    <s v="C00467"/>
    <n v="36"/>
    <s v="Female"/>
    <x v="1"/>
    <x v="3"/>
    <x v="2"/>
    <s v="Half Board"/>
    <n v="16115.98"/>
    <n v="4780.04"/>
    <x v="0"/>
    <s v="Pending"/>
    <x v="1"/>
    <x v="14"/>
    <x v="1"/>
    <x v="4"/>
    <x v="1"/>
  </r>
  <r>
    <s v="T000468"/>
    <d v="2024-04-12T00:00:00"/>
    <x v="2"/>
    <x v="2"/>
    <x v="2"/>
    <x v="0"/>
    <s v="India"/>
    <x v="2"/>
    <x v="9"/>
    <s v="C00468"/>
    <n v="59"/>
    <s v="Female"/>
    <x v="4"/>
    <x v="0"/>
    <x v="2"/>
    <s v="No Meals"/>
    <n v="15964.43"/>
    <n v="601.9"/>
    <x v="3"/>
    <s v="Confirmed"/>
    <x v="3"/>
    <x v="18"/>
    <x v="0"/>
    <x v="0"/>
    <x v="0"/>
  </r>
  <r>
    <s v="T000469"/>
    <d v="2024-04-13T00:00:00"/>
    <x v="4"/>
    <x v="3"/>
    <x v="3"/>
    <x v="1"/>
    <s v="India"/>
    <x v="5"/>
    <x v="10"/>
    <s v="C00469"/>
    <n v="44"/>
    <s v="Female"/>
    <x v="3"/>
    <x v="1"/>
    <x v="2"/>
    <s v="Breakfast Only"/>
    <n v="48063.93"/>
    <n v="595.54"/>
    <x v="3"/>
    <s v="Pending"/>
    <x v="0"/>
    <x v="34"/>
    <x v="1"/>
    <x v="4"/>
    <x v="1"/>
  </r>
  <r>
    <s v="T000470"/>
    <d v="2024-04-14T00:00:00"/>
    <x v="0"/>
    <x v="0"/>
    <x v="4"/>
    <x v="1"/>
    <s v="India"/>
    <x v="6"/>
    <x v="1"/>
    <s v="C00470"/>
    <n v="51"/>
    <s v="Other"/>
    <x v="5"/>
    <x v="3"/>
    <x v="2"/>
    <s v="Half Board"/>
    <n v="25779.8"/>
    <n v="4674.3100000000004"/>
    <x v="1"/>
    <s v="Confirmed"/>
    <x v="2"/>
    <x v="18"/>
    <x v="0"/>
    <x v="2"/>
    <x v="1"/>
  </r>
  <r>
    <s v="T000471"/>
    <d v="2024-04-15T00:00:00"/>
    <x v="3"/>
    <x v="1"/>
    <x v="3"/>
    <x v="1"/>
    <s v="India"/>
    <x v="5"/>
    <x v="9"/>
    <s v="C00471"/>
    <n v="21"/>
    <s v="Other"/>
    <x v="5"/>
    <x v="0"/>
    <x v="3"/>
    <s v="Full Board"/>
    <n v="6324.17"/>
    <n v="1478.86"/>
    <x v="1"/>
    <s v="Confirmed"/>
    <x v="2"/>
    <x v="4"/>
    <x v="0"/>
    <x v="0"/>
    <x v="0"/>
  </r>
  <r>
    <s v="T000472"/>
    <d v="2024-04-16T00:00:00"/>
    <x v="1"/>
    <x v="1"/>
    <x v="1"/>
    <x v="1"/>
    <s v="India"/>
    <x v="1"/>
    <x v="10"/>
    <s v="C00472"/>
    <n v="55"/>
    <s v="Male"/>
    <x v="5"/>
    <x v="3"/>
    <x v="0"/>
    <s v="Half Board"/>
    <n v="20292.919999999998"/>
    <n v="1209.07"/>
    <x v="1"/>
    <s v="Cancelled"/>
    <x v="2"/>
    <x v="32"/>
    <x v="4"/>
    <x v="0"/>
    <x v="1"/>
  </r>
  <r>
    <s v="T000473"/>
    <d v="2024-04-17T00:00:00"/>
    <x v="3"/>
    <x v="1"/>
    <x v="1"/>
    <x v="1"/>
    <s v="India"/>
    <x v="1"/>
    <x v="4"/>
    <s v="C00473"/>
    <n v="24"/>
    <s v="Female"/>
    <x v="6"/>
    <x v="0"/>
    <x v="2"/>
    <s v="No Meals"/>
    <n v="31302.12"/>
    <n v="178.11"/>
    <x v="1"/>
    <s v="Cancelled"/>
    <x v="0"/>
    <x v="20"/>
    <x v="0"/>
    <x v="4"/>
    <x v="0"/>
  </r>
  <r>
    <s v="T000474"/>
    <d v="2024-04-18T00:00:00"/>
    <x v="1"/>
    <x v="1"/>
    <x v="3"/>
    <x v="1"/>
    <s v="India"/>
    <x v="5"/>
    <x v="8"/>
    <s v="C00474"/>
    <n v="65"/>
    <s v="Male"/>
    <x v="2"/>
    <x v="2"/>
    <x v="0"/>
    <s v="No Meals"/>
    <n v="19785.53"/>
    <n v="1377.98"/>
    <x v="0"/>
    <s v="Cancelled"/>
    <x v="0"/>
    <x v="11"/>
    <x v="0"/>
    <x v="4"/>
    <x v="1"/>
  </r>
  <r>
    <s v="T000475"/>
    <d v="2024-04-19T00:00:00"/>
    <x v="2"/>
    <x v="2"/>
    <x v="1"/>
    <x v="1"/>
    <s v="India"/>
    <x v="1"/>
    <x v="7"/>
    <s v="C00475"/>
    <n v="24"/>
    <s v="Male"/>
    <x v="0"/>
    <x v="2"/>
    <x v="1"/>
    <s v="Breakfast Only"/>
    <n v="6208.34"/>
    <n v="3467.63"/>
    <x v="0"/>
    <s v="Pending"/>
    <x v="0"/>
    <x v="40"/>
    <x v="3"/>
    <x v="3"/>
    <x v="0"/>
  </r>
  <r>
    <s v="T000476"/>
    <d v="2024-04-20T00:00:00"/>
    <x v="1"/>
    <x v="1"/>
    <x v="2"/>
    <x v="0"/>
    <s v="India"/>
    <x v="2"/>
    <x v="6"/>
    <s v="C00476"/>
    <n v="67"/>
    <s v="Male"/>
    <x v="5"/>
    <x v="3"/>
    <x v="2"/>
    <s v="Full Board"/>
    <n v="24994.01"/>
    <n v="2130.1799999999998"/>
    <x v="3"/>
    <s v="Pending"/>
    <x v="3"/>
    <x v="15"/>
    <x v="0"/>
    <x v="0"/>
    <x v="1"/>
  </r>
  <r>
    <s v="T000477"/>
    <d v="2024-04-21T00:00:00"/>
    <x v="0"/>
    <x v="0"/>
    <x v="3"/>
    <x v="1"/>
    <s v="India"/>
    <x v="5"/>
    <x v="1"/>
    <s v="C00477"/>
    <n v="69"/>
    <s v="Male"/>
    <x v="5"/>
    <x v="3"/>
    <x v="2"/>
    <s v="Full Board"/>
    <n v="9765.7900000000009"/>
    <n v="2584.35"/>
    <x v="1"/>
    <s v="Cancelled"/>
    <x v="0"/>
    <x v="33"/>
    <x v="4"/>
    <x v="1"/>
    <x v="0"/>
  </r>
  <r>
    <s v="T000478"/>
    <d v="2024-04-22T00:00:00"/>
    <x v="4"/>
    <x v="3"/>
    <x v="2"/>
    <x v="0"/>
    <s v="India"/>
    <x v="2"/>
    <x v="0"/>
    <s v="C00478"/>
    <n v="43"/>
    <s v="Male"/>
    <x v="4"/>
    <x v="2"/>
    <x v="1"/>
    <s v="Half Board"/>
    <n v="32862.199999999997"/>
    <n v="4586.4799999999996"/>
    <x v="0"/>
    <s v="Cancelled"/>
    <x v="2"/>
    <x v="15"/>
    <x v="0"/>
    <x v="4"/>
    <x v="0"/>
  </r>
  <r>
    <s v="T000479"/>
    <d v="2024-04-23T00:00:00"/>
    <x v="1"/>
    <x v="1"/>
    <x v="2"/>
    <x v="0"/>
    <s v="India"/>
    <x v="2"/>
    <x v="8"/>
    <s v="C00479"/>
    <n v="43"/>
    <s v="Female"/>
    <x v="1"/>
    <x v="1"/>
    <x v="0"/>
    <s v="Full Board"/>
    <n v="32881.42"/>
    <n v="573.45000000000005"/>
    <x v="0"/>
    <s v="Confirmed"/>
    <x v="1"/>
    <x v="16"/>
    <x v="4"/>
    <x v="1"/>
    <x v="1"/>
  </r>
  <r>
    <s v="T000480"/>
    <d v="2024-04-24T00:00:00"/>
    <x v="1"/>
    <x v="1"/>
    <x v="0"/>
    <x v="0"/>
    <s v="India"/>
    <x v="0"/>
    <x v="7"/>
    <s v="C00480"/>
    <n v="36"/>
    <s v="Other"/>
    <x v="5"/>
    <x v="0"/>
    <x v="3"/>
    <s v="Half Board"/>
    <n v="6699.16"/>
    <n v="356.2"/>
    <x v="3"/>
    <s v="Pending"/>
    <x v="2"/>
    <x v="0"/>
    <x v="0"/>
    <x v="2"/>
    <x v="1"/>
  </r>
  <r>
    <s v="T000481"/>
    <d v="2024-04-25T00:00:00"/>
    <x v="4"/>
    <x v="3"/>
    <x v="3"/>
    <x v="1"/>
    <s v="India"/>
    <x v="5"/>
    <x v="2"/>
    <s v="C00481"/>
    <n v="26"/>
    <s v="Female"/>
    <x v="3"/>
    <x v="1"/>
    <x v="2"/>
    <s v="Half Board"/>
    <n v="18079.98"/>
    <n v="4259.6499999999996"/>
    <x v="3"/>
    <s v="Confirmed"/>
    <x v="2"/>
    <x v="11"/>
    <x v="0"/>
    <x v="2"/>
    <x v="0"/>
  </r>
  <r>
    <s v="T000482"/>
    <d v="2024-04-26T00:00:00"/>
    <x v="0"/>
    <x v="0"/>
    <x v="1"/>
    <x v="1"/>
    <s v="India"/>
    <x v="1"/>
    <x v="1"/>
    <s v="C00482"/>
    <n v="37"/>
    <s v="Female"/>
    <x v="1"/>
    <x v="1"/>
    <x v="1"/>
    <s v="Breakfast Only"/>
    <n v="23615.88"/>
    <n v="3874.28"/>
    <x v="2"/>
    <s v="Pending"/>
    <x v="3"/>
    <x v="11"/>
    <x v="0"/>
    <x v="1"/>
    <x v="1"/>
  </r>
  <r>
    <s v="T000483"/>
    <d v="2024-04-27T00:00:00"/>
    <x v="3"/>
    <x v="1"/>
    <x v="2"/>
    <x v="0"/>
    <s v="India"/>
    <x v="2"/>
    <x v="0"/>
    <s v="C00483"/>
    <n v="59"/>
    <s v="Female"/>
    <x v="2"/>
    <x v="1"/>
    <x v="1"/>
    <s v="Full Board"/>
    <n v="29761.88"/>
    <n v="1318.67"/>
    <x v="0"/>
    <s v="Cancelled"/>
    <x v="2"/>
    <x v="22"/>
    <x v="4"/>
    <x v="2"/>
    <x v="1"/>
  </r>
  <r>
    <s v="T000484"/>
    <d v="2024-04-28T00:00:00"/>
    <x v="1"/>
    <x v="1"/>
    <x v="0"/>
    <x v="0"/>
    <s v="India"/>
    <x v="0"/>
    <x v="5"/>
    <s v="C00484"/>
    <n v="62"/>
    <s v="Other"/>
    <x v="1"/>
    <x v="2"/>
    <x v="2"/>
    <s v="No Meals"/>
    <n v="18322.849999999999"/>
    <n v="1621.17"/>
    <x v="3"/>
    <s v="Pending"/>
    <x v="3"/>
    <x v="1"/>
    <x v="1"/>
    <x v="1"/>
    <x v="0"/>
  </r>
  <r>
    <s v="T000485"/>
    <d v="2024-04-29T00:00:00"/>
    <x v="4"/>
    <x v="3"/>
    <x v="3"/>
    <x v="1"/>
    <s v="India"/>
    <x v="5"/>
    <x v="10"/>
    <s v="C00485"/>
    <n v="67"/>
    <s v="Other"/>
    <x v="0"/>
    <x v="3"/>
    <x v="0"/>
    <s v="Half Board"/>
    <n v="17948.59"/>
    <n v="1551.39"/>
    <x v="0"/>
    <s v="Pending"/>
    <x v="3"/>
    <x v="14"/>
    <x v="1"/>
    <x v="3"/>
    <x v="0"/>
  </r>
  <r>
    <s v="T000486"/>
    <d v="2024-04-30T00:00:00"/>
    <x v="2"/>
    <x v="2"/>
    <x v="3"/>
    <x v="1"/>
    <s v="India"/>
    <x v="5"/>
    <x v="5"/>
    <s v="C00486"/>
    <n v="33"/>
    <s v="Other"/>
    <x v="4"/>
    <x v="1"/>
    <x v="0"/>
    <s v="Half Board"/>
    <n v="49235.68"/>
    <n v="3239.04"/>
    <x v="0"/>
    <s v="Confirmed"/>
    <x v="1"/>
    <x v="15"/>
    <x v="0"/>
    <x v="3"/>
    <x v="1"/>
  </r>
  <r>
    <s v="T000487"/>
    <d v="2024-05-01T00:00:00"/>
    <x v="4"/>
    <x v="3"/>
    <x v="4"/>
    <x v="1"/>
    <s v="India"/>
    <x v="6"/>
    <x v="6"/>
    <s v="C00487"/>
    <n v="34"/>
    <s v="Female"/>
    <x v="6"/>
    <x v="2"/>
    <x v="2"/>
    <s v="Half Board"/>
    <n v="6883.83"/>
    <n v="306.06"/>
    <x v="1"/>
    <s v="Cancelled"/>
    <x v="2"/>
    <x v="29"/>
    <x v="1"/>
    <x v="2"/>
    <x v="1"/>
  </r>
  <r>
    <s v="T000488"/>
    <d v="2024-05-02T00:00:00"/>
    <x v="2"/>
    <x v="2"/>
    <x v="4"/>
    <x v="1"/>
    <s v="India"/>
    <x v="6"/>
    <x v="10"/>
    <s v="C00488"/>
    <n v="39"/>
    <s v="Other"/>
    <x v="0"/>
    <x v="0"/>
    <x v="1"/>
    <s v="Full Board"/>
    <n v="49507.040000000001"/>
    <n v="2447.0100000000002"/>
    <x v="1"/>
    <s v="Cancelled"/>
    <x v="1"/>
    <x v="28"/>
    <x v="3"/>
    <x v="1"/>
    <x v="1"/>
  </r>
  <r>
    <s v="T000489"/>
    <d v="2024-05-03T00:00:00"/>
    <x v="0"/>
    <x v="0"/>
    <x v="2"/>
    <x v="0"/>
    <s v="India"/>
    <x v="3"/>
    <x v="3"/>
    <s v="C00489"/>
    <n v="30"/>
    <s v="Male"/>
    <x v="2"/>
    <x v="3"/>
    <x v="2"/>
    <s v="Full Board"/>
    <n v="7148.84"/>
    <n v="669.36"/>
    <x v="1"/>
    <s v="Cancelled"/>
    <x v="1"/>
    <x v="36"/>
    <x v="4"/>
    <x v="1"/>
    <x v="1"/>
  </r>
  <r>
    <s v="T000490"/>
    <d v="2024-05-04T00:00:00"/>
    <x v="3"/>
    <x v="1"/>
    <x v="4"/>
    <x v="1"/>
    <s v="India"/>
    <x v="6"/>
    <x v="11"/>
    <s v="C00490"/>
    <n v="29"/>
    <s v="Other"/>
    <x v="3"/>
    <x v="0"/>
    <x v="3"/>
    <s v="Full Board"/>
    <n v="17975.36"/>
    <n v="4098.6899999999996"/>
    <x v="1"/>
    <s v="Confirmed"/>
    <x v="2"/>
    <x v="33"/>
    <x v="4"/>
    <x v="1"/>
    <x v="0"/>
  </r>
  <r>
    <s v="T000491"/>
    <d v="2024-05-05T00:00:00"/>
    <x v="4"/>
    <x v="3"/>
    <x v="2"/>
    <x v="0"/>
    <s v="India"/>
    <x v="2"/>
    <x v="1"/>
    <s v="C00491"/>
    <n v="27"/>
    <s v="Female"/>
    <x v="2"/>
    <x v="1"/>
    <x v="3"/>
    <s v="Half Board"/>
    <n v="27216.09"/>
    <n v="1903.32"/>
    <x v="0"/>
    <s v="Confirmed"/>
    <x v="2"/>
    <x v="29"/>
    <x v="1"/>
    <x v="2"/>
    <x v="0"/>
  </r>
  <r>
    <s v="T000492"/>
    <d v="2024-05-06T00:00:00"/>
    <x v="1"/>
    <x v="1"/>
    <x v="1"/>
    <x v="1"/>
    <s v="India"/>
    <x v="1"/>
    <x v="5"/>
    <s v="C00492"/>
    <n v="18"/>
    <s v="Female"/>
    <x v="2"/>
    <x v="3"/>
    <x v="0"/>
    <s v="No Meals"/>
    <n v="11448.43"/>
    <n v="2637.86"/>
    <x v="2"/>
    <s v="Confirmed"/>
    <x v="0"/>
    <x v="10"/>
    <x v="1"/>
    <x v="1"/>
    <x v="0"/>
  </r>
  <r>
    <s v="T000493"/>
    <d v="2024-05-07T00:00:00"/>
    <x v="0"/>
    <x v="0"/>
    <x v="2"/>
    <x v="0"/>
    <s v="India"/>
    <x v="2"/>
    <x v="11"/>
    <s v="C00493"/>
    <n v="49"/>
    <s v="Male"/>
    <x v="1"/>
    <x v="1"/>
    <x v="3"/>
    <s v="No Meals"/>
    <n v="11068.09"/>
    <n v="146.59"/>
    <x v="2"/>
    <s v="Pending"/>
    <x v="0"/>
    <x v="11"/>
    <x v="0"/>
    <x v="4"/>
    <x v="0"/>
  </r>
  <r>
    <s v="T000494"/>
    <d v="2024-05-08T00:00:00"/>
    <x v="4"/>
    <x v="3"/>
    <x v="4"/>
    <x v="1"/>
    <s v="India"/>
    <x v="6"/>
    <x v="1"/>
    <s v="C00494"/>
    <n v="47"/>
    <s v="Other"/>
    <x v="3"/>
    <x v="3"/>
    <x v="1"/>
    <s v="Full Board"/>
    <n v="16534.07"/>
    <n v="291.32"/>
    <x v="2"/>
    <s v="Pending"/>
    <x v="3"/>
    <x v="8"/>
    <x v="0"/>
    <x v="1"/>
    <x v="1"/>
  </r>
  <r>
    <s v="T000495"/>
    <d v="2024-05-09T00:00:00"/>
    <x v="1"/>
    <x v="1"/>
    <x v="1"/>
    <x v="1"/>
    <s v="India"/>
    <x v="1"/>
    <x v="7"/>
    <s v="C00495"/>
    <n v="25"/>
    <s v="Other"/>
    <x v="0"/>
    <x v="1"/>
    <x v="3"/>
    <s v="No Meals"/>
    <n v="48807.82"/>
    <n v="3375.27"/>
    <x v="0"/>
    <s v="Confirmed"/>
    <x v="2"/>
    <x v="28"/>
    <x v="3"/>
    <x v="4"/>
    <x v="0"/>
  </r>
  <r>
    <s v="T000496"/>
    <d v="2024-05-10T00:00:00"/>
    <x v="4"/>
    <x v="3"/>
    <x v="4"/>
    <x v="1"/>
    <s v="India"/>
    <x v="6"/>
    <x v="2"/>
    <s v="C00496"/>
    <n v="38"/>
    <s v="Male"/>
    <x v="2"/>
    <x v="0"/>
    <x v="2"/>
    <s v="Half Board"/>
    <n v="22105.26"/>
    <n v="3833.85"/>
    <x v="2"/>
    <s v="Confirmed"/>
    <x v="3"/>
    <x v="40"/>
    <x v="3"/>
    <x v="3"/>
    <x v="0"/>
  </r>
  <r>
    <s v="T000497"/>
    <d v="2024-05-11T00:00:00"/>
    <x v="2"/>
    <x v="2"/>
    <x v="2"/>
    <x v="0"/>
    <s v="India"/>
    <x v="3"/>
    <x v="3"/>
    <s v="C00497"/>
    <n v="39"/>
    <s v="Female"/>
    <x v="0"/>
    <x v="0"/>
    <x v="1"/>
    <s v="Full Board"/>
    <n v="30469.77"/>
    <n v="3550.18"/>
    <x v="0"/>
    <s v="Cancelled"/>
    <x v="1"/>
    <x v="15"/>
    <x v="0"/>
    <x v="4"/>
    <x v="1"/>
  </r>
  <r>
    <s v="T000498"/>
    <d v="2024-05-12T00:00:00"/>
    <x v="4"/>
    <x v="3"/>
    <x v="0"/>
    <x v="0"/>
    <s v="India"/>
    <x v="4"/>
    <x v="7"/>
    <s v="C00498"/>
    <n v="35"/>
    <s v="Female"/>
    <x v="5"/>
    <x v="1"/>
    <x v="0"/>
    <s v="Full Board"/>
    <n v="36693.11"/>
    <n v="3685.09"/>
    <x v="3"/>
    <s v="Pending"/>
    <x v="1"/>
    <x v="5"/>
    <x v="1"/>
    <x v="3"/>
    <x v="1"/>
  </r>
  <r>
    <s v="T000499"/>
    <d v="2024-05-13T00:00:00"/>
    <x v="4"/>
    <x v="3"/>
    <x v="3"/>
    <x v="1"/>
    <s v="India"/>
    <x v="5"/>
    <x v="10"/>
    <s v="C00499"/>
    <n v="19"/>
    <s v="Other"/>
    <x v="5"/>
    <x v="3"/>
    <x v="0"/>
    <s v="Half Board"/>
    <n v="38399.980000000003"/>
    <n v="523.1"/>
    <x v="2"/>
    <s v="Pending"/>
    <x v="0"/>
    <x v="19"/>
    <x v="3"/>
    <x v="2"/>
    <x v="0"/>
  </r>
  <r>
    <s v="T000500"/>
    <d v="2024-05-14T00:00:00"/>
    <x v="4"/>
    <x v="3"/>
    <x v="4"/>
    <x v="1"/>
    <s v="India"/>
    <x v="6"/>
    <x v="2"/>
    <s v="C00500"/>
    <n v="65"/>
    <s v="Other"/>
    <x v="5"/>
    <x v="0"/>
    <x v="3"/>
    <s v="Full Board"/>
    <n v="35961.839999999997"/>
    <n v="3467.25"/>
    <x v="0"/>
    <s v="Cancelled"/>
    <x v="3"/>
    <x v="23"/>
    <x v="1"/>
    <x v="3"/>
    <x v="1"/>
  </r>
  <r>
    <s v="T000501"/>
    <d v="2024-05-15T00:00:00"/>
    <x v="0"/>
    <x v="0"/>
    <x v="2"/>
    <x v="0"/>
    <s v="India"/>
    <x v="2"/>
    <x v="6"/>
    <s v="C00501"/>
    <n v="61"/>
    <s v="Other"/>
    <x v="6"/>
    <x v="3"/>
    <x v="0"/>
    <s v="Half Board"/>
    <n v="20161.77"/>
    <n v="908.74"/>
    <x v="3"/>
    <s v="Cancelled"/>
    <x v="2"/>
    <x v="17"/>
    <x v="1"/>
    <x v="3"/>
    <x v="0"/>
  </r>
  <r>
    <s v="T000502"/>
    <d v="2024-05-16T00:00:00"/>
    <x v="4"/>
    <x v="3"/>
    <x v="1"/>
    <x v="1"/>
    <s v="India"/>
    <x v="1"/>
    <x v="11"/>
    <s v="C00502"/>
    <n v="26"/>
    <s v="Other"/>
    <x v="1"/>
    <x v="3"/>
    <x v="2"/>
    <s v="Full Board"/>
    <n v="10027.75"/>
    <n v="490.08"/>
    <x v="1"/>
    <s v="Cancelled"/>
    <x v="2"/>
    <x v="6"/>
    <x v="3"/>
    <x v="1"/>
    <x v="1"/>
  </r>
  <r>
    <s v="T000503"/>
    <d v="2024-05-17T00:00:00"/>
    <x v="1"/>
    <x v="1"/>
    <x v="4"/>
    <x v="1"/>
    <s v="India"/>
    <x v="6"/>
    <x v="1"/>
    <s v="C00503"/>
    <n v="20"/>
    <s v="Other"/>
    <x v="0"/>
    <x v="0"/>
    <x v="1"/>
    <s v="No Meals"/>
    <n v="17677.240000000002"/>
    <n v="3785.8"/>
    <x v="3"/>
    <s v="Confirmed"/>
    <x v="0"/>
    <x v="11"/>
    <x v="0"/>
    <x v="0"/>
    <x v="1"/>
  </r>
  <r>
    <s v="T000504"/>
    <d v="2024-05-18T00:00:00"/>
    <x v="2"/>
    <x v="2"/>
    <x v="4"/>
    <x v="1"/>
    <s v="India"/>
    <x v="6"/>
    <x v="9"/>
    <s v="C00504"/>
    <n v="43"/>
    <s v="Female"/>
    <x v="5"/>
    <x v="2"/>
    <x v="2"/>
    <s v="Full Board"/>
    <n v="14463.29"/>
    <n v="4447.03"/>
    <x v="3"/>
    <s v="Confirmed"/>
    <x v="0"/>
    <x v="35"/>
    <x v="3"/>
    <x v="3"/>
    <x v="0"/>
  </r>
  <r>
    <s v="T000505"/>
    <d v="2024-05-19T00:00:00"/>
    <x v="2"/>
    <x v="2"/>
    <x v="3"/>
    <x v="1"/>
    <s v="India"/>
    <x v="5"/>
    <x v="2"/>
    <s v="C00505"/>
    <n v="38"/>
    <s v="Female"/>
    <x v="5"/>
    <x v="2"/>
    <x v="2"/>
    <s v="Full Board"/>
    <n v="11132.48"/>
    <n v="3583.55"/>
    <x v="2"/>
    <s v="Confirmed"/>
    <x v="3"/>
    <x v="39"/>
    <x v="0"/>
    <x v="4"/>
    <x v="1"/>
  </r>
  <r>
    <s v="T000506"/>
    <d v="2024-05-20T00:00:00"/>
    <x v="4"/>
    <x v="3"/>
    <x v="2"/>
    <x v="0"/>
    <s v="India"/>
    <x v="2"/>
    <x v="11"/>
    <s v="C00506"/>
    <n v="47"/>
    <s v="Female"/>
    <x v="3"/>
    <x v="3"/>
    <x v="2"/>
    <s v="Full Board"/>
    <n v="6102.35"/>
    <n v="4027.87"/>
    <x v="1"/>
    <s v="Confirmed"/>
    <x v="0"/>
    <x v="31"/>
    <x v="1"/>
    <x v="2"/>
    <x v="0"/>
  </r>
  <r>
    <s v="T000507"/>
    <d v="2024-05-21T00:00:00"/>
    <x v="0"/>
    <x v="0"/>
    <x v="0"/>
    <x v="0"/>
    <s v="India"/>
    <x v="0"/>
    <x v="4"/>
    <s v="C00507"/>
    <n v="45"/>
    <s v="Female"/>
    <x v="2"/>
    <x v="0"/>
    <x v="2"/>
    <s v="Breakfast Only"/>
    <n v="47107.66"/>
    <n v="4955.4399999999996"/>
    <x v="1"/>
    <s v="Confirmed"/>
    <x v="0"/>
    <x v="27"/>
    <x v="0"/>
    <x v="4"/>
    <x v="0"/>
  </r>
  <r>
    <s v="T000508"/>
    <d v="2024-05-22T00:00:00"/>
    <x v="0"/>
    <x v="0"/>
    <x v="1"/>
    <x v="1"/>
    <s v="India"/>
    <x v="1"/>
    <x v="0"/>
    <s v="C00508"/>
    <n v="53"/>
    <s v="Male"/>
    <x v="5"/>
    <x v="2"/>
    <x v="1"/>
    <s v="No Meals"/>
    <n v="46446.55"/>
    <n v="673.78"/>
    <x v="2"/>
    <s v="Pending"/>
    <x v="0"/>
    <x v="15"/>
    <x v="0"/>
    <x v="2"/>
    <x v="0"/>
  </r>
  <r>
    <s v="T000509"/>
    <d v="2024-05-23T00:00:00"/>
    <x v="1"/>
    <x v="1"/>
    <x v="2"/>
    <x v="0"/>
    <s v="India"/>
    <x v="2"/>
    <x v="5"/>
    <s v="C00509"/>
    <n v="43"/>
    <s v="Female"/>
    <x v="6"/>
    <x v="1"/>
    <x v="1"/>
    <s v="Half Board"/>
    <n v="7268.77"/>
    <n v="4825.76"/>
    <x v="3"/>
    <s v="Pending"/>
    <x v="1"/>
    <x v="29"/>
    <x v="1"/>
    <x v="4"/>
    <x v="1"/>
  </r>
  <r>
    <s v="T000510"/>
    <d v="2024-05-24T00:00:00"/>
    <x v="4"/>
    <x v="3"/>
    <x v="1"/>
    <x v="1"/>
    <s v="India"/>
    <x v="1"/>
    <x v="1"/>
    <s v="C00510"/>
    <n v="51"/>
    <s v="Male"/>
    <x v="3"/>
    <x v="3"/>
    <x v="2"/>
    <s v="Breakfast Only"/>
    <n v="12788.81"/>
    <n v="3005.99"/>
    <x v="0"/>
    <s v="Pending"/>
    <x v="3"/>
    <x v="35"/>
    <x v="3"/>
    <x v="3"/>
    <x v="0"/>
  </r>
  <r>
    <s v="T000511"/>
    <d v="2024-05-25T00:00:00"/>
    <x v="2"/>
    <x v="2"/>
    <x v="4"/>
    <x v="1"/>
    <s v="India"/>
    <x v="6"/>
    <x v="8"/>
    <s v="C00511"/>
    <n v="25"/>
    <s v="Female"/>
    <x v="1"/>
    <x v="2"/>
    <x v="2"/>
    <s v="No Meals"/>
    <n v="11277.52"/>
    <n v="4066.27"/>
    <x v="2"/>
    <s v="Cancelled"/>
    <x v="2"/>
    <x v="19"/>
    <x v="3"/>
    <x v="0"/>
    <x v="0"/>
  </r>
  <r>
    <s v="T000512"/>
    <d v="2024-05-26T00:00:00"/>
    <x v="0"/>
    <x v="0"/>
    <x v="3"/>
    <x v="1"/>
    <s v="India"/>
    <x v="5"/>
    <x v="8"/>
    <s v="C00512"/>
    <n v="27"/>
    <s v="Other"/>
    <x v="6"/>
    <x v="0"/>
    <x v="0"/>
    <s v="Full Board"/>
    <n v="17655.03"/>
    <n v="3250.85"/>
    <x v="3"/>
    <s v="Pending"/>
    <x v="2"/>
    <x v="4"/>
    <x v="0"/>
    <x v="3"/>
    <x v="0"/>
  </r>
  <r>
    <s v="T000513"/>
    <d v="2024-05-27T00:00:00"/>
    <x v="4"/>
    <x v="3"/>
    <x v="3"/>
    <x v="1"/>
    <s v="India"/>
    <x v="5"/>
    <x v="0"/>
    <s v="C00513"/>
    <n v="65"/>
    <s v="Other"/>
    <x v="6"/>
    <x v="0"/>
    <x v="0"/>
    <s v="Full Board"/>
    <n v="14183.1"/>
    <n v="2850.19"/>
    <x v="0"/>
    <s v="Cancelled"/>
    <x v="3"/>
    <x v="32"/>
    <x v="4"/>
    <x v="1"/>
    <x v="0"/>
  </r>
  <r>
    <s v="T000514"/>
    <d v="2024-05-28T00:00:00"/>
    <x v="0"/>
    <x v="0"/>
    <x v="0"/>
    <x v="0"/>
    <s v="India"/>
    <x v="4"/>
    <x v="2"/>
    <s v="C00514"/>
    <n v="60"/>
    <s v="Other"/>
    <x v="6"/>
    <x v="3"/>
    <x v="1"/>
    <s v="Half Board"/>
    <n v="47563.41"/>
    <n v="3518.09"/>
    <x v="2"/>
    <s v="Pending"/>
    <x v="0"/>
    <x v="7"/>
    <x v="3"/>
    <x v="4"/>
    <x v="0"/>
  </r>
  <r>
    <s v="T000515"/>
    <d v="2024-05-29T00:00:00"/>
    <x v="0"/>
    <x v="0"/>
    <x v="3"/>
    <x v="1"/>
    <s v="India"/>
    <x v="5"/>
    <x v="10"/>
    <s v="C00515"/>
    <n v="67"/>
    <s v="Male"/>
    <x v="2"/>
    <x v="0"/>
    <x v="0"/>
    <s v="Half Board"/>
    <n v="8787.67"/>
    <n v="1601.29"/>
    <x v="2"/>
    <s v="Confirmed"/>
    <x v="0"/>
    <x v="32"/>
    <x v="4"/>
    <x v="0"/>
    <x v="0"/>
  </r>
  <r>
    <s v="T000516"/>
    <d v="2024-05-30T00:00:00"/>
    <x v="2"/>
    <x v="2"/>
    <x v="4"/>
    <x v="1"/>
    <s v="India"/>
    <x v="6"/>
    <x v="6"/>
    <s v="C00516"/>
    <n v="31"/>
    <s v="Female"/>
    <x v="5"/>
    <x v="1"/>
    <x v="1"/>
    <s v="No Meals"/>
    <n v="14525.19"/>
    <n v="4621.3599999999997"/>
    <x v="1"/>
    <s v="Pending"/>
    <x v="2"/>
    <x v="28"/>
    <x v="3"/>
    <x v="4"/>
    <x v="1"/>
  </r>
  <r>
    <s v="T000517"/>
    <d v="2024-05-31T00:00:00"/>
    <x v="3"/>
    <x v="1"/>
    <x v="0"/>
    <x v="0"/>
    <s v="India"/>
    <x v="0"/>
    <x v="11"/>
    <s v="C00517"/>
    <n v="57"/>
    <s v="Female"/>
    <x v="4"/>
    <x v="1"/>
    <x v="1"/>
    <s v="No Meals"/>
    <n v="8632.5499999999993"/>
    <n v="576.46"/>
    <x v="1"/>
    <s v="Confirmed"/>
    <x v="1"/>
    <x v="20"/>
    <x v="0"/>
    <x v="1"/>
    <x v="0"/>
  </r>
  <r>
    <s v="T000518"/>
    <d v="2024-06-01T00:00:00"/>
    <x v="1"/>
    <x v="1"/>
    <x v="2"/>
    <x v="0"/>
    <s v="India"/>
    <x v="2"/>
    <x v="11"/>
    <s v="C00518"/>
    <n v="32"/>
    <s v="Male"/>
    <x v="6"/>
    <x v="2"/>
    <x v="3"/>
    <s v="Half Board"/>
    <n v="49117.34"/>
    <n v="1590.16"/>
    <x v="1"/>
    <s v="Confirmed"/>
    <x v="3"/>
    <x v="18"/>
    <x v="0"/>
    <x v="1"/>
    <x v="1"/>
  </r>
  <r>
    <s v="T000519"/>
    <d v="2024-06-02T00:00:00"/>
    <x v="1"/>
    <x v="1"/>
    <x v="3"/>
    <x v="1"/>
    <s v="India"/>
    <x v="5"/>
    <x v="6"/>
    <s v="C00519"/>
    <n v="34"/>
    <s v="Male"/>
    <x v="3"/>
    <x v="0"/>
    <x v="1"/>
    <s v="No Meals"/>
    <n v="46328.61"/>
    <n v="155.81"/>
    <x v="0"/>
    <s v="Pending"/>
    <x v="0"/>
    <x v="35"/>
    <x v="2"/>
    <x v="1"/>
    <x v="1"/>
  </r>
  <r>
    <s v="T000520"/>
    <d v="2024-06-03T00:00:00"/>
    <x v="2"/>
    <x v="2"/>
    <x v="0"/>
    <x v="0"/>
    <s v="India"/>
    <x v="0"/>
    <x v="8"/>
    <s v="C00520"/>
    <n v="35"/>
    <s v="Male"/>
    <x v="3"/>
    <x v="1"/>
    <x v="0"/>
    <s v="Half Board"/>
    <n v="37248.42"/>
    <n v="1356.62"/>
    <x v="2"/>
    <s v="Pending"/>
    <x v="1"/>
    <x v="1"/>
    <x v="1"/>
    <x v="3"/>
    <x v="0"/>
  </r>
  <r>
    <s v="T000521"/>
    <d v="2024-06-04T00:00:00"/>
    <x v="0"/>
    <x v="0"/>
    <x v="4"/>
    <x v="1"/>
    <s v="India"/>
    <x v="6"/>
    <x v="11"/>
    <s v="C00521"/>
    <n v="49"/>
    <s v="Male"/>
    <x v="1"/>
    <x v="3"/>
    <x v="3"/>
    <s v="Full Board"/>
    <n v="24168.79"/>
    <n v="1091.07"/>
    <x v="1"/>
    <s v="Confirmed"/>
    <x v="1"/>
    <x v="40"/>
    <x v="3"/>
    <x v="3"/>
    <x v="1"/>
  </r>
  <r>
    <s v="T000522"/>
    <d v="2024-06-05T00:00:00"/>
    <x v="4"/>
    <x v="3"/>
    <x v="1"/>
    <x v="1"/>
    <s v="India"/>
    <x v="1"/>
    <x v="0"/>
    <s v="C00522"/>
    <n v="55"/>
    <s v="Male"/>
    <x v="0"/>
    <x v="0"/>
    <x v="0"/>
    <s v="Half Board"/>
    <n v="13558.02"/>
    <n v="248.15"/>
    <x v="1"/>
    <s v="Cancelled"/>
    <x v="0"/>
    <x v="11"/>
    <x v="0"/>
    <x v="0"/>
    <x v="1"/>
  </r>
  <r>
    <s v="T000523"/>
    <d v="2024-06-06T00:00:00"/>
    <x v="0"/>
    <x v="0"/>
    <x v="1"/>
    <x v="1"/>
    <s v="India"/>
    <x v="1"/>
    <x v="11"/>
    <s v="C00523"/>
    <n v="40"/>
    <s v="Other"/>
    <x v="0"/>
    <x v="2"/>
    <x v="1"/>
    <s v="Breakfast Only"/>
    <n v="14967.04"/>
    <n v="2458.87"/>
    <x v="2"/>
    <s v="Cancelled"/>
    <x v="3"/>
    <x v="5"/>
    <x v="1"/>
    <x v="1"/>
    <x v="0"/>
  </r>
  <r>
    <s v="T000524"/>
    <d v="2024-06-07T00:00:00"/>
    <x v="2"/>
    <x v="2"/>
    <x v="4"/>
    <x v="1"/>
    <s v="India"/>
    <x v="6"/>
    <x v="10"/>
    <s v="C00524"/>
    <n v="63"/>
    <s v="Female"/>
    <x v="4"/>
    <x v="3"/>
    <x v="1"/>
    <s v="Half Board"/>
    <n v="24936.799999999999"/>
    <n v="2343.1799999999998"/>
    <x v="0"/>
    <s v="Pending"/>
    <x v="3"/>
    <x v="11"/>
    <x v="2"/>
    <x v="3"/>
    <x v="1"/>
  </r>
  <r>
    <s v="T000525"/>
    <d v="2024-06-08T00:00:00"/>
    <x v="1"/>
    <x v="1"/>
    <x v="4"/>
    <x v="1"/>
    <s v="India"/>
    <x v="6"/>
    <x v="5"/>
    <s v="C00525"/>
    <n v="40"/>
    <s v="Male"/>
    <x v="2"/>
    <x v="3"/>
    <x v="2"/>
    <s v="Half Board"/>
    <n v="39570.019999999997"/>
    <n v="388.73"/>
    <x v="1"/>
    <s v="Confirmed"/>
    <x v="2"/>
    <x v="23"/>
    <x v="1"/>
    <x v="2"/>
    <x v="0"/>
  </r>
  <r>
    <s v="T000526"/>
    <d v="2024-06-09T00:00:00"/>
    <x v="0"/>
    <x v="0"/>
    <x v="1"/>
    <x v="1"/>
    <s v="India"/>
    <x v="1"/>
    <x v="4"/>
    <s v="C00526"/>
    <n v="52"/>
    <s v="Other"/>
    <x v="5"/>
    <x v="3"/>
    <x v="1"/>
    <s v="Breakfast Only"/>
    <n v="16912.830000000002"/>
    <n v="1309.25"/>
    <x v="3"/>
    <s v="Cancelled"/>
    <x v="2"/>
    <x v="17"/>
    <x v="1"/>
    <x v="2"/>
    <x v="1"/>
  </r>
  <r>
    <s v="T000527"/>
    <d v="2024-06-10T00:00:00"/>
    <x v="1"/>
    <x v="1"/>
    <x v="0"/>
    <x v="0"/>
    <s v="India"/>
    <x v="4"/>
    <x v="5"/>
    <s v="C00527"/>
    <n v="56"/>
    <s v="Male"/>
    <x v="2"/>
    <x v="1"/>
    <x v="3"/>
    <s v="Breakfast Only"/>
    <n v="18985.64"/>
    <n v="4766.6099999999997"/>
    <x v="0"/>
    <s v="Pending"/>
    <x v="3"/>
    <x v="16"/>
    <x v="4"/>
    <x v="3"/>
    <x v="0"/>
  </r>
  <r>
    <s v="T000528"/>
    <d v="2024-06-11T00:00:00"/>
    <x v="4"/>
    <x v="3"/>
    <x v="1"/>
    <x v="1"/>
    <s v="India"/>
    <x v="1"/>
    <x v="4"/>
    <s v="C00528"/>
    <n v="32"/>
    <s v="Other"/>
    <x v="5"/>
    <x v="3"/>
    <x v="1"/>
    <s v="Breakfast Only"/>
    <n v="31997.49"/>
    <n v="553.67999999999995"/>
    <x v="1"/>
    <s v="Pending"/>
    <x v="0"/>
    <x v="26"/>
    <x v="0"/>
    <x v="0"/>
    <x v="1"/>
  </r>
  <r>
    <s v="T000529"/>
    <d v="2024-06-12T00:00:00"/>
    <x v="1"/>
    <x v="1"/>
    <x v="4"/>
    <x v="1"/>
    <s v="India"/>
    <x v="6"/>
    <x v="9"/>
    <s v="C00529"/>
    <n v="41"/>
    <s v="Male"/>
    <x v="6"/>
    <x v="1"/>
    <x v="2"/>
    <s v="Breakfast Only"/>
    <n v="15697.82"/>
    <n v="1525.09"/>
    <x v="3"/>
    <s v="Confirmed"/>
    <x v="3"/>
    <x v="11"/>
    <x v="0"/>
    <x v="4"/>
    <x v="0"/>
  </r>
  <r>
    <s v="T000530"/>
    <d v="2024-06-13T00:00:00"/>
    <x v="1"/>
    <x v="1"/>
    <x v="3"/>
    <x v="1"/>
    <s v="India"/>
    <x v="5"/>
    <x v="6"/>
    <s v="C00530"/>
    <n v="45"/>
    <s v="Female"/>
    <x v="5"/>
    <x v="3"/>
    <x v="1"/>
    <s v="Half Board"/>
    <n v="31289.84"/>
    <n v="179.31"/>
    <x v="1"/>
    <s v="Cancelled"/>
    <x v="2"/>
    <x v="24"/>
    <x v="0"/>
    <x v="1"/>
    <x v="0"/>
  </r>
  <r>
    <s v="T000531"/>
    <d v="2024-06-14T00:00:00"/>
    <x v="3"/>
    <x v="1"/>
    <x v="2"/>
    <x v="0"/>
    <s v="India"/>
    <x v="2"/>
    <x v="5"/>
    <s v="C00531"/>
    <n v="33"/>
    <s v="Male"/>
    <x v="4"/>
    <x v="1"/>
    <x v="1"/>
    <s v="No Meals"/>
    <n v="22420.89"/>
    <n v="744.44"/>
    <x v="0"/>
    <s v="Pending"/>
    <x v="2"/>
    <x v="11"/>
    <x v="0"/>
    <x v="3"/>
    <x v="1"/>
  </r>
  <r>
    <s v="T000532"/>
    <d v="2024-06-15T00:00:00"/>
    <x v="3"/>
    <x v="1"/>
    <x v="3"/>
    <x v="1"/>
    <s v="India"/>
    <x v="5"/>
    <x v="0"/>
    <s v="C00532"/>
    <n v="33"/>
    <s v="Male"/>
    <x v="1"/>
    <x v="0"/>
    <x v="1"/>
    <s v="Breakfast Only"/>
    <n v="6546.57"/>
    <n v="3496.99"/>
    <x v="2"/>
    <s v="Cancelled"/>
    <x v="2"/>
    <x v="10"/>
    <x v="1"/>
    <x v="0"/>
    <x v="0"/>
  </r>
  <r>
    <s v="T000533"/>
    <d v="2024-06-16T00:00:00"/>
    <x v="3"/>
    <x v="1"/>
    <x v="3"/>
    <x v="1"/>
    <s v="India"/>
    <x v="5"/>
    <x v="3"/>
    <s v="C00533"/>
    <n v="57"/>
    <s v="Female"/>
    <x v="1"/>
    <x v="1"/>
    <x v="2"/>
    <s v="Full Board"/>
    <n v="23121.56"/>
    <n v="1833.58"/>
    <x v="2"/>
    <s v="Pending"/>
    <x v="3"/>
    <x v="40"/>
    <x v="3"/>
    <x v="4"/>
    <x v="0"/>
  </r>
  <r>
    <s v="T000534"/>
    <d v="2024-06-17T00:00:00"/>
    <x v="1"/>
    <x v="1"/>
    <x v="4"/>
    <x v="1"/>
    <s v="India"/>
    <x v="6"/>
    <x v="9"/>
    <s v="C00534"/>
    <n v="56"/>
    <s v="Female"/>
    <x v="0"/>
    <x v="1"/>
    <x v="0"/>
    <s v="Half Board"/>
    <n v="46378.64"/>
    <n v="2260.38"/>
    <x v="0"/>
    <s v="Pending"/>
    <x v="3"/>
    <x v="25"/>
    <x v="3"/>
    <x v="0"/>
    <x v="1"/>
  </r>
  <r>
    <s v="T000535"/>
    <d v="2024-06-18T00:00:00"/>
    <x v="2"/>
    <x v="2"/>
    <x v="1"/>
    <x v="1"/>
    <s v="India"/>
    <x v="1"/>
    <x v="4"/>
    <s v="C00535"/>
    <n v="23"/>
    <s v="Male"/>
    <x v="1"/>
    <x v="0"/>
    <x v="1"/>
    <s v="No Meals"/>
    <n v="18190.03"/>
    <n v="784.89"/>
    <x v="1"/>
    <s v="Cancelled"/>
    <x v="0"/>
    <x v="7"/>
    <x v="2"/>
    <x v="4"/>
    <x v="0"/>
  </r>
  <r>
    <s v="T000536"/>
    <d v="2024-06-19T00:00:00"/>
    <x v="1"/>
    <x v="1"/>
    <x v="0"/>
    <x v="0"/>
    <s v="India"/>
    <x v="0"/>
    <x v="6"/>
    <s v="C00536"/>
    <n v="19"/>
    <s v="Female"/>
    <x v="6"/>
    <x v="3"/>
    <x v="3"/>
    <s v="Full Board"/>
    <n v="19527.46"/>
    <n v="3410.7"/>
    <x v="0"/>
    <s v="Cancelled"/>
    <x v="2"/>
    <x v="5"/>
    <x v="1"/>
    <x v="2"/>
    <x v="0"/>
  </r>
  <r>
    <s v="T000537"/>
    <d v="2024-06-20T00:00:00"/>
    <x v="2"/>
    <x v="2"/>
    <x v="3"/>
    <x v="1"/>
    <s v="India"/>
    <x v="5"/>
    <x v="4"/>
    <s v="C00537"/>
    <n v="30"/>
    <s v="Female"/>
    <x v="3"/>
    <x v="0"/>
    <x v="2"/>
    <s v="Half Board"/>
    <n v="7967.34"/>
    <n v="3757.61"/>
    <x v="3"/>
    <s v="Confirmed"/>
    <x v="1"/>
    <x v="11"/>
    <x v="0"/>
    <x v="4"/>
    <x v="1"/>
  </r>
  <r>
    <s v="T000538"/>
    <d v="2024-06-21T00:00:00"/>
    <x v="2"/>
    <x v="2"/>
    <x v="1"/>
    <x v="1"/>
    <s v="India"/>
    <x v="1"/>
    <x v="9"/>
    <s v="C00538"/>
    <n v="61"/>
    <s v="Other"/>
    <x v="1"/>
    <x v="3"/>
    <x v="3"/>
    <s v="Half Board"/>
    <n v="32677.14"/>
    <n v="905.56"/>
    <x v="1"/>
    <s v="Confirmed"/>
    <x v="1"/>
    <x v="19"/>
    <x v="3"/>
    <x v="2"/>
    <x v="1"/>
  </r>
  <r>
    <s v="T000539"/>
    <d v="2024-06-22T00:00:00"/>
    <x v="3"/>
    <x v="1"/>
    <x v="0"/>
    <x v="0"/>
    <s v="India"/>
    <x v="0"/>
    <x v="4"/>
    <s v="C00539"/>
    <n v="64"/>
    <s v="Female"/>
    <x v="4"/>
    <x v="1"/>
    <x v="1"/>
    <s v="Full Board"/>
    <n v="43215.91"/>
    <n v="224.97"/>
    <x v="0"/>
    <s v="Confirmed"/>
    <x v="0"/>
    <x v="34"/>
    <x v="1"/>
    <x v="1"/>
    <x v="1"/>
  </r>
  <r>
    <s v="T000540"/>
    <d v="2024-06-23T00:00:00"/>
    <x v="0"/>
    <x v="0"/>
    <x v="3"/>
    <x v="1"/>
    <s v="India"/>
    <x v="5"/>
    <x v="6"/>
    <s v="C00540"/>
    <n v="26"/>
    <s v="Female"/>
    <x v="6"/>
    <x v="3"/>
    <x v="2"/>
    <s v="Breakfast Only"/>
    <n v="20881.53"/>
    <n v="404.71"/>
    <x v="2"/>
    <s v="Confirmed"/>
    <x v="0"/>
    <x v="5"/>
    <x v="1"/>
    <x v="3"/>
    <x v="1"/>
  </r>
  <r>
    <s v="T000541"/>
    <d v="2024-06-24T00:00:00"/>
    <x v="4"/>
    <x v="3"/>
    <x v="0"/>
    <x v="0"/>
    <s v="India"/>
    <x v="4"/>
    <x v="1"/>
    <s v="C00541"/>
    <n v="51"/>
    <s v="Male"/>
    <x v="1"/>
    <x v="1"/>
    <x v="1"/>
    <s v="Breakfast Only"/>
    <n v="15811.05"/>
    <n v="3285.23"/>
    <x v="0"/>
    <s v="Cancelled"/>
    <x v="2"/>
    <x v="25"/>
    <x v="2"/>
    <x v="2"/>
    <x v="1"/>
  </r>
  <r>
    <s v="T000542"/>
    <d v="2024-06-25T00:00:00"/>
    <x v="3"/>
    <x v="1"/>
    <x v="1"/>
    <x v="1"/>
    <s v="India"/>
    <x v="1"/>
    <x v="3"/>
    <s v="C00542"/>
    <n v="34"/>
    <s v="Male"/>
    <x v="2"/>
    <x v="3"/>
    <x v="3"/>
    <s v="Full Board"/>
    <n v="48047.53"/>
    <n v="677.55"/>
    <x v="1"/>
    <s v="Confirmed"/>
    <x v="3"/>
    <x v="19"/>
    <x v="3"/>
    <x v="0"/>
    <x v="1"/>
  </r>
  <r>
    <s v="T000543"/>
    <d v="2024-06-26T00:00:00"/>
    <x v="3"/>
    <x v="1"/>
    <x v="2"/>
    <x v="0"/>
    <s v="India"/>
    <x v="2"/>
    <x v="0"/>
    <s v="C00543"/>
    <n v="44"/>
    <s v="Other"/>
    <x v="5"/>
    <x v="1"/>
    <x v="2"/>
    <s v="No Meals"/>
    <n v="38528.269999999997"/>
    <n v="2469.59"/>
    <x v="0"/>
    <s v="Cancelled"/>
    <x v="3"/>
    <x v="4"/>
    <x v="0"/>
    <x v="4"/>
    <x v="0"/>
  </r>
  <r>
    <s v="T000544"/>
    <d v="2024-06-27T00:00:00"/>
    <x v="0"/>
    <x v="0"/>
    <x v="1"/>
    <x v="1"/>
    <s v="India"/>
    <x v="1"/>
    <x v="1"/>
    <s v="C00544"/>
    <n v="46"/>
    <s v="Male"/>
    <x v="1"/>
    <x v="1"/>
    <x v="0"/>
    <s v="Breakfast Only"/>
    <n v="30522.36"/>
    <n v="763.21"/>
    <x v="2"/>
    <s v="Pending"/>
    <x v="1"/>
    <x v="5"/>
    <x v="1"/>
    <x v="0"/>
    <x v="1"/>
  </r>
  <r>
    <s v="T000545"/>
    <d v="2024-06-28T00:00:00"/>
    <x v="4"/>
    <x v="3"/>
    <x v="4"/>
    <x v="1"/>
    <s v="India"/>
    <x v="6"/>
    <x v="4"/>
    <s v="C00545"/>
    <n v="54"/>
    <s v="Female"/>
    <x v="2"/>
    <x v="2"/>
    <x v="0"/>
    <s v="Half Board"/>
    <n v="18748.900000000001"/>
    <n v="850.74"/>
    <x v="3"/>
    <s v="Cancelled"/>
    <x v="2"/>
    <x v="21"/>
    <x v="0"/>
    <x v="2"/>
    <x v="1"/>
  </r>
  <r>
    <s v="T000546"/>
    <d v="2024-06-29T00:00:00"/>
    <x v="1"/>
    <x v="1"/>
    <x v="0"/>
    <x v="0"/>
    <s v="India"/>
    <x v="0"/>
    <x v="5"/>
    <s v="C00546"/>
    <n v="60"/>
    <s v="Female"/>
    <x v="6"/>
    <x v="3"/>
    <x v="0"/>
    <s v="Half Board"/>
    <n v="14935.91"/>
    <n v="21.8"/>
    <x v="0"/>
    <s v="Confirmed"/>
    <x v="1"/>
    <x v="38"/>
    <x v="0"/>
    <x v="0"/>
    <x v="1"/>
  </r>
  <r>
    <s v="T000547"/>
    <d v="2024-06-30T00:00:00"/>
    <x v="1"/>
    <x v="1"/>
    <x v="2"/>
    <x v="0"/>
    <s v="India"/>
    <x v="2"/>
    <x v="1"/>
    <s v="C00547"/>
    <n v="39"/>
    <s v="Female"/>
    <x v="1"/>
    <x v="3"/>
    <x v="1"/>
    <s v="No Meals"/>
    <n v="37208.480000000003"/>
    <n v="1604.12"/>
    <x v="0"/>
    <s v="Cancelled"/>
    <x v="1"/>
    <x v="21"/>
    <x v="0"/>
    <x v="4"/>
    <x v="0"/>
  </r>
  <r>
    <s v="T000548"/>
    <d v="2024-07-01T00:00:00"/>
    <x v="3"/>
    <x v="1"/>
    <x v="0"/>
    <x v="0"/>
    <s v="India"/>
    <x v="4"/>
    <x v="5"/>
    <s v="C00548"/>
    <n v="68"/>
    <s v="Male"/>
    <x v="2"/>
    <x v="2"/>
    <x v="2"/>
    <s v="Half Board"/>
    <n v="28480.5"/>
    <n v="448.99"/>
    <x v="3"/>
    <s v="Cancelled"/>
    <x v="2"/>
    <x v="4"/>
    <x v="0"/>
    <x v="3"/>
    <x v="0"/>
  </r>
  <r>
    <s v="T000549"/>
    <d v="2024-07-02T00:00:00"/>
    <x v="4"/>
    <x v="3"/>
    <x v="0"/>
    <x v="0"/>
    <s v="India"/>
    <x v="4"/>
    <x v="9"/>
    <s v="C00549"/>
    <n v="41"/>
    <s v="Female"/>
    <x v="3"/>
    <x v="1"/>
    <x v="3"/>
    <s v="Breakfast Only"/>
    <n v="28426.99"/>
    <n v="1969.81"/>
    <x v="0"/>
    <s v="Cancelled"/>
    <x v="0"/>
    <x v="8"/>
    <x v="0"/>
    <x v="0"/>
    <x v="0"/>
  </r>
  <r>
    <s v="T000550"/>
    <d v="2024-07-03T00:00:00"/>
    <x v="3"/>
    <x v="1"/>
    <x v="3"/>
    <x v="1"/>
    <s v="India"/>
    <x v="5"/>
    <x v="11"/>
    <s v="C00550"/>
    <n v="24"/>
    <s v="Female"/>
    <x v="0"/>
    <x v="1"/>
    <x v="3"/>
    <s v="No Meals"/>
    <n v="8316.94"/>
    <n v="2988.92"/>
    <x v="2"/>
    <s v="Cancelled"/>
    <x v="1"/>
    <x v="37"/>
    <x v="3"/>
    <x v="1"/>
    <x v="1"/>
  </r>
  <r>
    <s v="T000551"/>
    <d v="2024-07-04T00:00:00"/>
    <x v="2"/>
    <x v="2"/>
    <x v="4"/>
    <x v="1"/>
    <s v="India"/>
    <x v="6"/>
    <x v="7"/>
    <s v="C00551"/>
    <n v="51"/>
    <s v="Other"/>
    <x v="6"/>
    <x v="2"/>
    <x v="1"/>
    <s v="Breakfast Only"/>
    <n v="28048.75"/>
    <n v="1837.66"/>
    <x v="3"/>
    <s v="Cancelled"/>
    <x v="0"/>
    <x v="6"/>
    <x v="2"/>
    <x v="4"/>
    <x v="0"/>
  </r>
  <r>
    <s v="T000552"/>
    <d v="2024-07-05T00:00:00"/>
    <x v="3"/>
    <x v="1"/>
    <x v="0"/>
    <x v="0"/>
    <s v="India"/>
    <x v="0"/>
    <x v="2"/>
    <s v="C00552"/>
    <n v="65"/>
    <s v="Other"/>
    <x v="2"/>
    <x v="2"/>
    <x v="1"/>
    <s v="No Meals"/>
    <n v="42023.48"/>
    <n v="3525.41"/>
    <x v="2"/>
    <s v="Confirmed"/>
    <x v="3"/>
    <x v="28"/>
    <x v="3"/>
    <x v="4"/>
    <x v="0"/>
  </r>
  <r>
    <s v="T000553"/>
    <d v="2024-07-06T00:00:00"/>
    <x v="3"/>
    <x v="1"/>
    <x v="1"/>
    <x v="1"/>
    <s v="India"/>
    <x v="1"/>
    <x v="6"/>
    <s v="C00553"/>
    <n v="29"/>
    <s v="Other"/>
    <x v="4"/>
    <x v="0"/>
    <x v="3"/>
    <s v="Full Board"/>
    <n v="47605.97"/>
    <n v="3707.26"/>
    <x v="2"/>
    <s v="Cancelled"/>
    <x v="1"/>
    <x v="1"/>
    <x v="1"/>
    <x v="1"/>
    <x v="0"/>
  </r>
  <r>
    <s v="T000554"/>
    <d v="2024-07-07T00:00:00"/>
    <x v="1"/>
    <x v="1"/>
    <x v="1"/>
    <x v="1"/>
    <s v="India"/>
    <x v="1"/>
    <x v="4"/>
    <s v="C00554"/>
    <n v="40"/>
    <s v="Male"/>
    <x v="1"/>
    <x v="1"/>
    <x v="2"/>
    <s v="Half Board"/>
    <n v="9800.7099999999991"/>
    <n v="3483.03"/>
    <x v="2"/>
    <s v="Confirmed"/>
    <x v="2"/>
    <x v="38"/>
    <x v="0"/>
    <x v="2"/>
    <x v="0"/>
  </r>
  <r>
    <s v="T000555"/>
    <d v="2024-07-08T00:00:00"/>
    <x v="1"/>
    <x v="1"/>
    <x v="3"/>
    <x v="1"/>
    <s v="India"/>
    <x v="5"/>
    <x v="7"/>
    <s v="C00555"/>
    <n v="32"/>
    <s v="Female"/>
    <x v="2"/>
    <x v="0"/>
    <x v="1"/>
    <s v="No Meals"/>
    <n v="33402.43"/>
    <n v="4683.57"/>
    <x v="1"/>
    <s v="Pending"/>
    <x v="0"/>
    <x v="23"/>
    <x v="1"/>
    <x v="1"/>
    <x v="1"/>
  </r>
  <r>
    <s v="T000556"/>
    <d v="2024-07-09T00:00:00"/>
    <x v="1"/>
    <x v="1"/>
    <x v="4"/>
    <x v="1"/>
    <s v="India"/>
    <x v="6"/>
    <x v="3"/>
    <s v="C00556"/>
    <n v="50"/>
    <s v="Female"/>
    <x v="5"/>
    <x v="3"/>
    <x v="2"/>
    <s v="Full Board"/>
    <n v="30575.63"/>
    <n v="1186.47"/>
    <x v="3"/>
    <s v="Cancelled"/>
    <x v="3"/>
    <x v="4"/>
    <x v="0"/>
    <x v="2"/>
    <x v="1"/>
  </r>
  <r>
    <s v="T000557"/>
    <d v="2024-07-10T00:00:00"/>
    <x v="2"/>
    <x v="2"/>
    <x v="4"/>
    <x v="1"/>
    <s v="India"/>
    <x v="6"/>
    <x v="5"/>
    <s v="C00557"/>
    <n v="30"/>
    <s v="Female"/>
    <x v="2"/>
    <x v="0"/>
    <x v="3"/>
    <s v="Breakfast Only"/>
    <n v="45064.06"/>
    <n v="947.28"/>
    <x v="1"/>
    <s v="Pending"/>
    <x v="3"/>
    <x v="36"/>
    <x v="4"/>
    <x v="3"/>
    <x v="1"/>
  </r>
  <r>
    <s v="T000558"/>
    <d v="2024-07-11T00:00:00"/>
    <x v="1"/>
    <x v="1"/>
    <x v="1"/>
    <x v="1"/>
    <s v="India"/>
    <x v="1"/>
    <x v="1"/>
    <s v="C00558"/>
    <n v="40"/>
    <s v="Other"/>
    <x v="2"/>
    <x v="2"/>
    <x v="2"/>
    <s v="Full Board"/>
    <n v="38805.980000000003"/>
    <n v="3048.56"/>
    <x v="1"/>
    <s v="Confirmed"/>
    <x v="1"/>
    <x v="28"/>
    <x v="3"/>
    <x v="2"/>
    <x v="1"/>
  </r>
  <r>
    <s v="T000559"/>
    <d v="2024-07-12T00:00:00"/>
    <x v="4"/>
    <x v="3"/>
    <x v="2"/>
    <x v="0"/>
    <s v="India"/>
    <x v="2"/>
    <x v="7"/>
    <s v="C00559"/>
    <n v="55"/>
    <s v="Female"/>
    <x v="5"/>
    <x v="2"/>
    <x v="0"/>
    <s v="Breakfast Only"/>
    <n v="48436.78"/>
    <n v="2974.39"/>
    <x v="0"/>
    <s v="Cancelled"/>
    <x v="3"/>
    <x v="14"/>
    <x v="1"/>
    <x v="3"/>
    <x v="1"/>
  </r>
  <r>
    <s v="T000560"/>
    <d v="2024-07-13T00:00:00"/>
    <x v="0"/>
    <x v="0"/>
    <x v="3"/>
    <x v="1"/>
    <s v="India"/>
    <x v="5"/>
    <x v="10"/>
    <s v="C00560"/>
    <n v="49"/>
    <s v="Female"/>
    <x v="0"/>
    <x v="2"/>
    <x v="3"/>
    <s v="No Meals"/>
    <n v="48201.46"/>
    <n v="2550.4899999999998"/>
    <x v="3"/>
    <s v="Pending"/>
    <x v="2"/>
    <x v="24"/>
    <x v="0"/>
    <x v="3"/>
    <x v="1"/>
  </r>
  <r>
    <s v="T000561"/>
    <d v="2024-07-14T00:00:00"/>
    <x v="4"/>
    <x v="3"/>
    <x v="3"/>
    <x v="1"/>
    <s v="India"/>
    <x v="5"/>
    <x v="4"/>
    <s v="C00561"/>
    <n v="62"/>
    <s v="Female"/>
    <x v="5"/>
    <x v="2"/>
    <x v="0"/>
    <s v="No Meals"/>
    <n v="15155.83"/>
    <n v="21.77"/>
    <x v="0"/>
    <s v="Confirmed"/>
    <x v="1"/>
    <x v="23"/>
    <x v="1"/>
    <x v="1"/>
    <x v="0"/>
  </r>
  <r>
    <s v="T000562"/>
    <d v="2024-07-15T00:00:00"/>
    <x v="4"/>
    <x v="3"/>
    <x v="1"/>
    <x v="1"/>
    <s v="India"/>
    <x v="1"/>
    <x v="7"/>
    <s v="C00562"/>
    <n v="67"/>
    <s v="Female"/>
    <x v="5"/>
    <x v="0"/>
    <x v="3"/>
    <s v="Half Board"/>
    <n v="37640.79"/>
    <n v="2776.19"/>
    <x v="1"/>
    <s v="Pending"/>
    <x v="3"/>
    <x v="10"/>
    <x v="1"/>
    <x v="3"/>
    <x v="1"/>
  </r>
  <r>
    <s v="T000563"/>
    <d v="2024-07-16T00:00:00"/>
    <x v="1"/>
    <x v="1"/>
    <x v="1"/>
    <x v="1"/>
    <s v="India"/>
    <x v="1"/>
    <x v="1"/>
    <s v="C00563"/>
    <n v="52"/>
    <s v="Female"/>
    <x v="4"/>
    <x v="0"/>
    <x v="0"/>
    <s v="Half Board"/>
    <n v="28873.54"/>
    <n v="4663.99"/>
    <x v="0"/>
    <s v="Cancelled"/>
    <x v="2"/>
    <x v="26"/>
    <x v="0"/>
    <x v="2"/>
    <x v="1"/>
  </r>
  <r>
    <s v="T000564"/>
    <d v="2024-07-17T00:00:00"/>
    <x v="0"/>
    <x v="0"/>
    <x v="2"/>
    <x v="0"/>
    <s v="India"/>
    <x v="3"/>
    <x v="1"/>
    <s v="C00564"/>
    <n v="18"/>
    <s v="Male"/>
    <x v="5"/>
    <x v="0"/>
    <x v="2"/>
    <s v="No Meals"/>
    <n v="14657.09"/>
    <n v="1672.89"/>
    <x v="2"/>
    <s v="Cancelled"/>
    <x v="0"/>
    <x v="13"/>
    <x v="0"/>
    <x v="0"/>
    <x v="1"/>
  </r>
  <r>
    <s v="T000565"/>
    <d v="2024-07-18T00:00:00"/>
    <x v="0"/>
    <x v="0"/>
    <x v="2"/>
    <x v="0"/>
    <s v="India"/>
    <x v="2"/>
    <x v="3"/>
    <s v="C00565"/>
    <n v="64"/>
    <s v="Female"/>
    <x v="4"/>
    <x v="2"/>
    <x v="3"/>
    <s v="Breakfast Only"/>
    <n v="13769.11"/>
    <n v="4838"/>
    <x v="1"/>
    <s v="Cancelled"/>
    <x v="0"/>
    <x v="1"/>
    <x v="1"/>
    <x v="4"/>
    <x v="1"/>
  </r>
  <r>
    <s v="T000566"/>
    <d v="2024-07-19T00:00:00"/>
    <x v="0"/>
    <x v="0"/>
    <x v="4"/>
    <x v="1"/>
    <s v="India"/>
    <x v="6"/>
    <x v="8"/>
    <s v="C00566"/>
    <n v="62"/>
    <s v="Male"/>
    <x v="3"/>
    <x v="2"/>
    <x v="3"/>
    <s v="Breakfast Only"/>
    <n v="8648.7999999999993"/>
    <n v="1783.78"/>
    <x v="2"/>
    <s v="Confirmed"/>
    <x v="1"/>
    <x v="14"/>
    <x v="1"/>
    <x v="4"/>
    <x v="1"/>
  </r>
  <r>
    <s v="T000567"/>
    <d v="2024-07-20T00:00:00"/>
    <x v="2"/>
    <x v="2"/>
    <x v="3"/>
    <x v="1"/>
    <s v="India"/>
    <x v="5"/>
    <x v="0"/>
    <s v="C00567"/>
    <n v="22"/>
    <s v="Female"/>
    <x v="5"/>
    <x v="1"/>
    <x v="0"/>
    <s v="No Meals"/>
    <n v="40799.54"/>
    <n v="699.27"/>
    <x v="3"/>
    <s v="Pending"/>
    <x v="2"/>
    <x v="28"/>
    <x v="3"/>
    <x v="2"/>
    <x v="0"/>
  </r>
  <r>
    <s v="T000568"/>
    <d v="2024-07-21T00:00:00"/>
    <x v="1"/>
    <x v="1"/>
    <x v="3"/>
    <x v="1"/>
    <s v="India"/>
    <x v="5"/>
    <x v="10"/>
    <s v="C00568"/>
    <n v="30"/>
    <s v="Male"/>
    <x v="0"/>
    <x v="1"/>
    <x v="2"/>
    <s v="Breakfast Only"/>
    <n v="19602.72"/>
    <n v="1992.02"/>
    <x v="0"/>
    <s v="Confirmed"/>
    <x v="3"/>
    <x v="11"/>
    <x v="0"/>
    <x v="0"/>
    <x v="0"/>
  </r>
  <r>
    <s v="T000569"/>
    <d v="2024-07-22T00:00:00"/>
    <x v="0"/>
    <x v="0"/>
    <x v="1"/>
    <x v="1"/>
    <s v="India"/>
    <x v="1"/>
    <x v="7"/>
    <s v="C00569"/>
    <n v="22"/>
    <s v="Female"/>
    <x v="5"/>
    <x v="2"/>
    <x v="3"/>
    <s v="No Meals"/>
    <n v="43563.6"/>
    <n v="2473.06"/>
    <x v="1"/>
    <s v="Pending"/>
    <x v="1"/>
    <x v="7"/>
    <x v="2"/>
    <x v="3"/>
    <x v="0"/>
  </r>
  <r>
    <s v="T000570"/>
    <d v="2024-07-23T00:00:00"/>
    <x v="2"/>
    <x v="2"/>
    <x v="4"/>
    <x v="1"/>
    <s v="India"/>
    <x v="6"/>
    <x v="0"/>
    <s v="C00570"/>
    <n v="49"/>
    <s v="Female"/>
    <x v="2"/>
    <x v="1"/>
    <x v="1"/>
    <s v="Half Board"/>
    <n v="32374.19"/>
    <n v="3147.32"/>
    <x v="3"/>
    <s v="Confirmed"/>
    <x v="1"/>
    <x v="10"/>
    <x v="1"/>
    <x v="2"/>
    <x v="0"/>
  </r>
  <r>
    <s v="T000571"/>
    <d v="2024-07-24T00:00:00"/>
    <x v="3"/>
    <x v="1"/>
    <x v="3"/>
    <x v="1"/>
    <s v="India"/>
    <x v="5"/>
    <x v="10"/>
    <s v="C00571"/>
    <n v="68"/>
    <s v="Female"/>
    <x v="6"/>
    <x v="3"/>
    <x v="0"/>
    <s v="Breakfast Only"/>
    <n v="35313.5"/>
    <n v="2524.39"/>
    <x v="2"/>
    <s v="Cancelled"/>
    <x v="3"/>
    <x v="7"/>
    <x v="2"/>
    <x v="3"/>
    <x v="0"/>
  </r>
  <r>
    <s v="T000572"/>
    <d v="2024-07-25T00:00:00"/>
    <x v="3"/>
    <x v="1"/>
    <x v="4"/>
    <x v="1"/>
    <s v="India"/>
    <x v="6"/>
    <x v="8"/>
    <s v="C00572"/>
    <n v="38"/>
    <s v="Female"/>
    <x v="0"/>
    <x v="3"/>
    <x v="3"/>
    <s v="Half Board"/>
    <n v="18125.32"/>
    <n v="2683.59"/>
    <x v="0"/>
    <s v="Pending"/>
    <x v="2"/>
    <x v="8"/>
    <x v="2"/>
    <x v="1"/>
    <x v="1"/>
  </r>
  <r>
    <s v="T000573"/>
    <d v="2024-07-26T00:00:00"/>
    <x v="2"/>
    <x v="2"/>
    <x v="4"/>
    <x v="1"/>
    <s v="India"/>
    <x v="6"/>
    <x v="7"/>
    <s v="C00573"/>
    <n v="41"/>
    <s v="Other"/>
    <x v="5"/>
    <x v="2"/>
    <x v="2"/>
    <s v="Full Board"/>
    <n v="25578.240000000002"/>
    <n v="120.34"/>
    <x v="0"/>
    <s v="Pending"/>
    <x v="3"/>
    <x v="24"/>
    <x v="0"/>
    <x v="0"/>
    <x v="0"/>
  </r>
  <r>
    <s v="T000574"/>
    <d v="2024-07-27T00:00:00"/>
    <x v="2"/>
    <x v="2"/>
    <x v="1"/>
    <x v="1"/>
    <s v="India"/>
    <x v="1"/>
    <x v="10"/>
    <s v="C00574"/>
    <n v="35"/>
    <s v="Female"/>
    <x v="0"/>
    <x v="0"/>
    <x v="2"/>
    <s v="Half Board"/>
    <n v="23554.29"/>
    <n v="1268.0999999999999"/>
    <x v="1"/>
    <s v="Pending"/>
    <x v="0"/>
    <x v="24"/>
    <x v="0"/>
    <x v="4"/>
    <x v="0"/>
  </r>
  <r>
    <s v="T000575"/>
    <d v="2024-07-28T00:00:00"/>
    <x v="1"/>
    <x v="1"/>
    <x v="4"/>
    <x v="1"/>
    <s v="India"/>
    <x v="6"/>
    <x v="0"/>
    <s v="C00575"/>
    <n v="38"/>
    <s v="Male"/>
    <x v="4"/>
    <x v="3"/>
    <x v="2"/>
    <s v="Full Board"/>
    <n v="15605.99"/>
    <n v="1553.48"/>
    <x v="0"/>
    <s v="Confirmed"/>
    <x v="1"/>
    <x v="38"/>
    <x v="0"/>
    <x v="2"/>
    <x v="1"/>
  </r>
  <r>
    <s v="T000576"/>
    <d v="2024-07-29T00:00:00"/>
    <x v="1"/>
    <x v="1"/>
    <x v="2"/>
    <x v="0"/>
    <s v="India"/>
    <x v="2"/>
    <x v="5"/>
    <s v="C00576"/>
    <n v="27"/>
    <s v="Other"/>
    <x v="3"/>
    <x v="3"/>
    <x v="2"/>
    <s v="Half Board"/>
    <n v="42463.05"/>
    <n v="4935.4399999999996"/>
    <x v="0"/>
    <s v="Cancelled"/>
    <x v="0"/>
    <x v="4"/>
    <x v="0"/>
    <x v="4"/>
    <x v="0"/>
  </r>
  <r>
    <s v="T000577"/>
    <d v="2024-07-30T00:00:00"/>
    <x v="3"/>
    <x v="1"/>
    <x v="2"/>
    <x v="0"/>
    <s v="India"/>
    <x v="3"/>
    <x v="1"/>
    <s v="C00577"/>
    <n v="41"/>
    <s v="Other"/>
    <x v="3"/>
    <x v="0"/>
    <x v="0"/>
    <s v="Half Board"/>
    <n v="32993.800000000003"/>
    <n v="1477.84"/>
    <x v="2"/>
    <s v="Pending"/>
    <x v="1"/>
    <x v="23"/>
    <x v="1"/>
    <x v="3"/>
    <x v="0"/>
  </r>
  <r>
    <s v="T000578"/>
    <d v="2024-07-31T00:00:00"/>
    <x v="0"/>
    <x v="0"/>
    <x v="0"/>
    <x v="0"/>
    <s v="India"/>
    <x v="0"/>
    <x v="11"/>
    <s v="C00578"/>
    <n v="57"/>
    <s v="Female"/>
    <x v="0"/>
    <x v="1"/>
    <x v="3"/>
    <s v="Breakfast Only"/>
    <n v="6684.44"/>
    <n v="4482.8900000000003"/>
    <x v="2"/>
    <s v="Confirmed"/>
    <x v="3"/>
    <x v="7"/>
    <x v="3"/>
    <x v="3"/>
    <x v="1"/>
  </r>
  <r>
    <s v="T000579"/>
    <d v="2024-08-01T00:00:00"/>
    <x v="3"/>
    <x v="1"/>
    <x v="1"/>
    <x v="1"/>
    <s v="India"/>
    <x v="1"/>
    <x v="9"/>
    <s v="C00579"/>
    <n v="64"/>
    <s v="Male"/>
    <x v="0"/>
    <x v="0"/>
    <x v="0"/>
    <s v="Half Board"/>
    <n v="41896.269999999997"/>
    <n v="1523.68"/>
    <x v="2"/>
    <s v="Pending"/>
    <x v="2"/>
    <x v="34"/>
    <x v="1"/>
    <x v="1"/>
    <x v="1"/>
  </r>
  <r>
    <s v="T000580"/>
    <d v="2024-08-02T00:00:00"/>
    <x v="0"/>
    <x v="0"/>
    <x v="0"/>
    <x v="0"/>
    <s v="India"/>
    <x v="4"/>
    <x v="4"/>
    <s v="C00580"/>
    <n v="38"/>
    <s v="Male"/>
    <x v="5"/>
    <x v="1"/>
    <x v="0"/>
    <s v="No Meals"/>
    <n v="9771.7000000000007"/>
    <n v="480.55"/>
    <x v="3"/>
    <s v="Cancelled"/>
    <x v="3"/>
    <x v="18"/>
    <x v="0"/>
    <x v="3"/>
    <x v="1"/>
  </r>
  <r>
    <s v="T000581"/>
    <d v="2024-08-03T00:00:00"/>
    <x v="0"/>
    <x v="0"/>
    <x v="2"/>
    <x v="0"/>
    <s v="India"/>
    <x v="3"/>
    <x v="6"/>
    <s v="C00581"/>
    <n v="42"/>
    <s v="Other"/>
    <x v="1"/>
    <x v="1"/>
    <x v="2"/>
    <s v="Breakfast Only"/>
    <n v="23166.34"/>
    <n v="1238.0899999999999"/>
    <x v="3"/>
    <s v="Pending"/>
    <x v="0"/>
    <x v="39"/>
    <x v="0"/>
    <x v="3"/>
    <x v="0"/>
  </r>
  <r>
    <s v="T000582"/>
    <d v="2024-08-04T00:00:00"/>
    <x v="1"/>
    <x v="1"/>
    <x v="0"/>
    <x v="0"/>
    <s v="India"/>
    <x v="0"/>
    <x v="6"/>
    <s v="C00582"/>
    <n v="69"/>
    <s v="Male"/>
    <x v="2"/>
    <x v="0"/>
    <x v="1"/>
    <s v="Breakfast Only"/>
    <n v="30706.560000000001"/>
    <n v="1364.14"/>
    <x v="0"/>
    <s v="Cancelled"/>
    <x v="2"/>
    <x v="26"/>
    <x v="2"/>
    <x v="4"/>
    <x v="0"/>
  </r>
  <r>
    <s v="T000583"/>
    <d v="2024-08-05T00:00:00"/>
    <x v="4"/>
    <x v="3"/>
    <x v="1"/>
    <x v="1"/>
    <s v="India"/>
    <x v="1"/>
    <x v="11"/>
    <s v="C00583"/>
    <n v="40"/>
    <s v="Female"/>
    <x v="4"/>
    <x v="1"/>
    <x v="2"/>
    <s v="Breakfast Only"/>
    <n v="5344.31"/>
    <n v="4891.24"/>
    <x v="3"/>
    <s v="Confirmed"/>
    <x v="2"/>
    <x v="32"/>
    <x v="4"/>
    <x v="4"/>
    <x v="0"/>
  </r>
  <r>
    <s v="T000584"/>
    <d v="2024-08-06T00:00:00"/>
    <x v="4"/>
    <x v="3"/>
    <x v="1"/>
    <x v="1"/>
    <s v="India"/>
    <x v="1"/>
    <x v="7"/>
    <s v="C00584"/>
    <n v="39"/>
    <s v="Female"/>
    <x v="2"/>
    <x v="3"/>
    <x v="1"/>
    <s v="Half Board"/>
    <n v="34380.86"/>
    <n v="3371.46"/>
    <x v="1"/>
    <s v="Confirmed"/>
    <x v="1"/>
    <x v="22"/>
    <x v="4"/>
    <x v="2"/>
    <x v="1"/>
  </r>
  <r>
    <s v="T000585"/>
    <d v="2024-08-07T00:00:00"/>
    <x v="2"/>
    <x v="2"/>
    <x v="4"/>
    <x v="1"/>
    <s v="India"/>
    <x v="6"/>
    <x v="7"/>
    <s v="C00585"/>
    <n v="21"/>
    <s v="Female"/>
    <x v="6"/>
    <x v="2"/>
    <x v="0"/>
    <s v="Breakfast Only"/>
    <n v="34686.629999999997"/>
    <n v="4658.3999999999996"/>
    <x v="2"/>
    <s v="Cancelled"/>
    <x v="2"/>
    <x v="17"/>
    <x v="1"/>
    <x v="2"/>
    <x v="0"/>
  </r>
  <r>
    <s v="T000586"/>
    <d v="2024-08-08T00:00:00"/>
    <x v="1"/>
    <x v="1"/>
    <x v="3"/>
    <x v="1"/>
    <s v="India"/>
    <x v="5"/>
    <x v="10"/>
    <s v="C00586"/>
    <n v="51"/>
    <s v="Female"/>
    <x v="6"/>
    <x v="1"/>
    <x v="2"/>
    <s v="Full Board"/>
    <n v="34363.68"/>
    <n v="4174.9799999999996"/>
    <x v="3"/>
    <s v="Cancelled"/>
    <x v="1"/>
    <x v="38"/>
    <x v="0"/>
    <x v="3"/>
    <x v="0"/>
  </r>
  <r>
    <s v="T000587"/>
    <d v="2024-08-09T00:00:00"/>
    <x v="0"/>
    <x v="0"/>
    <x v="4"/>
    <x v="1"/>
    <s v="India"/>
    <x v="6"/>
    <x v="1"/>
    <s v="C00587"/>
    <n v="23"/>
    <s v="Female"/>
    <x v="3"/>
    <x v="3"/>
    <x v="2"/>
    <s v="Full Board"/>
    <n v="12356.06"/>
    <n v="2892.99"/>
    <x v="0"/>
    <s v="Confirmed"/>
    <x v="2"/>
    <x v="25"/>
    <x v="3"/>
    <x v="0"/>
    <x v="0"/>
  </r>
  <r>
    <s v="T000588"/>
    <d v="2024-08-10T00:00:00"/>
    <x v="4"/>
    <x v="3"/>
    <x v="1"/>
    <x v="1"/>
    <s v="India"/>
    <x v="1"/>
    <x v="8"/>
    <s v="C00588"/>
    <n v="45"/>
    <s v="Other"/>
    <x v="4"/>
    <x v="0"/>
    <x v="0"/>
    <s v="Half Board"/>
    <n v="16507.95"/>
    <n v="3376.94"/>
    <x v="2"/>
    <s v="Cancelled"/>
    <x v="2"/>
    <x v="27"/>
    <x v="0"/>
    <x v="2"/>
    <x v="0"/>
  </r>
  <r>
    <s v="T000589"/>
    <d v="2024-08-11T00:00:00"/>
    <x v="0"/>
    <x v="0"/>
    <x v="2"/>
    <x v="0"/>
    <s v="India"/>
    <x v="3"/>
    <x v="3"/>
    <s v="C00589"/>
    <n v="48"/>
    <s v="Female"/>
    <x v="2"/>
    <x v="1"/>
    <x v="2"/>
    <s v="Breakfast Only"/>
    <n v="16131.91"/>
    <n v="3124.19"/>
    <x v="3"/>
    <s v="Cancelled"/>
    <x v="1"/>
    <x v="28"/>
    <x v="2"/>
    <x v="3"/>
    <x v="1"/>
  </r>
  <r>
    <s v="T000590"/>
    <d v="2024-08-12T00:00:00"/>
    <x v="4"/>
    <x v="3"/>
    <x v="2"/>
    <x v="0"/>
    <s v="India"/>
    <x v="3"/>
    <x v="2"/>
    <s v="C00590"/>
    <n v="52"/>
    <s v="Female"/>
    <x v="3"/>
    <x v="3"/>
    <x v="3"/>
    <s v="No Meals"/>
    <n v="48203.01"/>
    <n v="3331.32"/>
    <x v="2"/>
    <s v="Pending"/>
    <x v="2"/>
    <x v="22"/>
    <x v="4"/>
    <x v="4"/>
    <x v="1"/>
  </r>
  <r>
    <s v="T000591"/>
    <d v="2024-08-13T00:00:00"/>
    <x v="4"/>
    <x v="3"/>
    <x v="4"/>
    <x v="1"/>
    <s v="India"/>
    <x v="6"/>
    <x v="10"/>
    <s v="C00591"/>
    <n v="56"/>
    <s v="Other"/>
    <x v="6"/>
    <x v="1"/>
    <x v="1"/>
    <s v="No Meals"/>
    <n v="8038.77"/>
    <n v="1323.87"/>
    <x v="3"/>
    <s v="Confirmed"/>
    <x v="3"/>
    <x v="28"/>
    <x v="2"/>
    <x v="1"/>
    <x v="1"/>
  </r>
  <r>
    <s v="T000592"/>
    <d v="2024-08-14T00:00:00"/>
    <x v="4"/>
    <x v="3"/>
    <x v="1"/>
    <x v="1"/>
    <s v="India"/>
    <x v="1"/>
    <x v="6"/>
    <s v="C00592"/>
    <n v="59"/>
    <s v="Other"/>
    <x v="0"/>
    <x v="0"/>
    <x v="1"/>
    <s v="Full Board"/>
    <n v="24294.27"/>
    <n v="2040.63"/>
    <x v="0"/>
    <s v="Confirmed"/>
    <x v="2"/>
    <x v="5"/>
    <x v="1"/>
    <x v="4"/>
    <x v="1"/>
  </r>
  <r>
    <s v="T000593"/>
    <d v="2024-08-15T00:00:00"/>
    <x v="1"/>
    <x v="1"/>
    <x v="2"/>
    <x v="0"/>
    <s v="India"/>
    <x v="3"/>
    <x v="3"/>
    <s v="C00593"/>
    <n v="40"/>
    <s v="Other"/>
    <x v="4"/>
    <x v="2"/>
    <x v="1"/>
    <s v="Half Board"/>
    <n v="44206.43"/>
    <n v="2963.08"/>
    <x v="3"/>
    <s v="Cancelled"/>
    <x v="0"/>
    <x v="7"/>
    <x v="3"/>
    <x v="4"/>
    <x v="0"/>
  </r>
  <r>
    <s v="T000594"/>
    <d v="2024-08-16T00:00:00"/>
    <x v="3"/>
    <x v="1"/>
    <x v="1"/>
    <x v="1"/>
    <s v="India"/>
    <x v="1"/>
    <x v="9"/>
    <s v="C00594"/>
    <n v="23"/>
    <s v="Male"/>
    <x v="4"/>
    <x v="1"/>
    <x v="2"/>
    <s v="Half Board"/>
    <n v="39625.97"/>
    <n v="179.64"/>
    <x v="3"/>
    <s v="Cancelled"/>
    <x v="1"/>
    <x v="36"/>
    <x v="4"/>
    <x v="1"/>
    <x v="1"/>
  </r>
  <r>
    <s v="T000595"/>
    <d v="2024-08-17T00:00:00"/>
    <x v="0"/>
    <x v="0"/>
    <x v="2"/>
    <x v="0"/>
    <s v="India"/>
    <x v="2"/>
    <x v="0"/>
    <s v="C00595"/>
    <n v="33"/>
    <s v="Male"/>
    <x v="2"/>
    <x v="2"/>
    <x v="3"/>
    <s v="Half Board"/>
    <n v="42009.9"/>
    <n v="2414.17"/>
    <x v="3"/>
    <s v="Cancelled"/>
    <x v="1"/>
    <x v="37"/>
    <x v="3"/>
    <x v="4"/>
    <x v="0"/>
  </r>
  <r>
    <s v="T000596"/>
    <d v="2024-08-18T00:00:00"/>
    <x v="1"/>
    <x v="1"/>
    <x v="1"/>
    <x v="1"/>
    <s v="India"/>
    <x v="1"/>
    <x v="10"/>
    <s v="C00596"/>
    <n v="19"/>
    <s v="Female"/>
    <x v="5"/>
    <x v="1"/>
    <x v="2"/>
    <s v="Half Board"/>
    <n v="48753.21"/>
    <n v="4298.63"/>
    <x v="2"/>
    <s v="Confirmed"/>
    <x v="3"/>
    <x v="30"/>
    <x v="0"/>
    <x v="2"/>
    <x v="1"/>
  </r>
  <r>
    <s v="T000597"/>
    <d v="2024-08-19T00:00:00"/>
    <x v="1"/>
    <x v="1"/>
    <x v="0"/>
    <x v="0"/>
    <s v="India"/>
    <x v="4"/>
    <x v="2"/>
    <s v="C00597"/>
    <n v="41"/>
    <s v="Female"/>
    <x v="1"/>
    <x v="1"/>
    <x v="1"/>
    <s v="Half Board"/>
    <n v="22426.78"/>
    <n v="2461.84"/>
    <x v="3"/>
    <s v="Pending"/>
    <x v="0"/>
    <x v="33"/>
    <x v="4"/>
    <x v="4"/>
    <x v="1"/>
  </r>
  <r>
    <s v="T000598"/>
    <d v="2024-08-20T00:00:00"/>
    <x v="1"/>
    <x v="1"/>
    <x v="1"/>
    <x v="1"/>
    <s v="India"/>
    <x v="1"/>
    <x v="9"/>
    <s v="C00598"/>
    <n v="34"/>
    <s v="Female"/>
    <x v="2"/>
    <x v="0"/>
    <x v="2"/>
    <s v="Breakfast Only"/>
    <n v="18934.490000000002"/>
    <n v="2761.62"/>
    <x v="3"/>
    <s v="Confirmed"/>
    <x v="2"/>
    <x v="36"/>
    <x v="4"/>
    <x v="1"/>
    <x v="0"/>
  </r>
  <r>
    <s v="T000599"/>
    <d v="2024-08-21T00:00:00"/>
    <x v="1"/>
    <x v="1"/>
    <x v="1"/>
    <x v="1"/>
    <s v="India"/>
    <x v="1"/>
    <x v="4"/>
    <s v="C00599"/>
    <n v="62"/>
    <s v="Male"/>
    <x v="0"/>
    <x v="1"/>
    <x v="1"/>
    <s v="Breakfast Only"/>
    <n v="6379.68"/>
    <n v="1009.53"/>
    <x v="3"/>
    <s v="Pending"/>
    <x v="3"/>
    <x v="9"/>
    <x v="4"/>
    <x v="3"/>
    <x v="0"/>
  </r>
  <r>
    <s v="T000600"/>
    <d v="2024-08-22T00:00:00"/>
    <x v="1"/>
    <x v="1"/>
    <x v="4"/>
    <x v="1"/>
    <s v="India"/>
    <x v="6"/>
    <x v="10"/>
    <s v="C00600"/>
    <n v="18"/>
    <s v="Female"/>
    <x v="5"/>
    <x v="3"/>
    <x v="0"/>
    <s v="Breakfast Only"/>
    <n v="11750.87"/>
    <n v="3971.72"/>
    <x v="2"/>
    <s v="Cancelled"/>
    <x v="2"/>
    <x v="38"/>
    <x v="0"/>
    <x v="3"/>
    <x v="1"/>
  </r>
  <r>
    <s v="T000601"/>
    <d v="2024-08-23T00:00:00"/>
    <x v="2"/>
    <x v="2"/>
    <x v="0"/>
    <x v="0"/>
    <s v="India"/>
    <x v="0"/>
    <x v="6"/>
    <s v="C00601"/>
    <n v="23"/>
    <s v="Female"/>
    <x v="5"/>
    <x v="3"/>
    <x v="1"/>
    <s v="No Meals"/>
    <n v="30290.66"/>
    <n v="1794.39"/>
    <x v="0"/>
    <s v="Confirmed"/>
    <x v="3"/>
    <x v="19"/>
    <x v="3"/>
    <x v="3"/>
    <x v="0"/>
  </r>
  <r>
    <s v="T000602"/>
    <d v="2024-08-24T00:00:00"/>
    <x v="0"/>
    <x v="0"/>
    <x v="3"/>
    <x v="1"/>
    <s v="India"/>
    <x v="5"/>
    <x v="1"/>
    <s v="C00602"/>
    <n v="22"/>
    <s v="Male"/>
    <x v="5"/>
    <x v="2"/>
    <x v="0"/>
    <s v="Breakfast Only"/>
    <n v="12094.73"/>
    <n v="4782.9399999999996"/>
    <x v="0"/>
    <s v="Pending"/>
    <x v="1"/>
    <x v="28"/>
    <x v="2"/>
    <x v="1"/>
    <x v="1"/>
  </r>
  <r>
    <s v="T000603"/>
    <d v="2024-08-25T00:00:00"/>
    <x v="1"/>
    <x v="1"/>
    <x v="4"/>
    <x v="1"/>
    <s v="India"/>
    <x v="6"/>
    <x v="1"/>
    <s v="C00603"/>
    <n v="62"/>
    <s v="Other"/>
    <x v="0"/>
    <x v="2"/>
    <x v="0"/>
    <s v="Half Board"/>
    <n v="38133.730000000003"/>
    <n v="4968.57"/>
    <x v="0"/>
    <s v="Confirmed"/>
    <x v="0"/>
    <x v="10"/>
    <x v="1"/>
    <x v="1"/>
    <x v="0"/>
  </r>
  <r>
    <s v="T000604"/>
    <d v="2024-08-26T00:00:00"/>
    <x v="0"/>
    <x v="0"/>
    <x v="3"/>
    <x v="1"/>
    <s v="India"/>
    <x v="5"/>
    <x v="7"/>
    <s v="C00604"/>
    <n v="67"/>
    <s v="Male"/>
    <x v="3"/>
    <x v="3"/>
    <x v="0"/>
    <s v="Half Board"/>
    <n v="6675.47"/>
    <n v="4580"/>
    <x v="3"/>
    <s v="Pending"/>
    <x v="1"/>
    <x v="21"/>
    <x v="0"/>
    <x v="2"/>
    <x v="1"/>
  </r>
  <r>
    <s v="T000605"/>
    <d v="2024-08-27T00:00:00"/>
    <x v="2"/>
    <x v="2"/>
    <x v="2"/>
    <x v="0"/>
    <s v="India"/>
    <x v="2"/>
    <x v="4"/>
    <s v="C00605"/>
    <n v="46"/>
    <s v="Female"/>
    <x v="4"/>
    <x v="2"/>
    <x v="1"/>
    <s v="No Meals"/>
    <n v="16676.96"/>
    <n v="424.38"/>
    <x v="2"/>
    <s v="Pending"/>
    <x v="3"/>
    <x v="40"/>
    <x v="2"/>
    <x v="1"/>
    <x v="1"/>
  </r>
  <r>
    <s v="T000606"/>
    <d v="2024-08-28T00:00:00"/>
    <x v="2"/>
    <x v="2"/>
    <x v="3"/>
    <x v="1"/>
    <s v="India"/>
    <x v="5"/>
    <x v="6"/>
    <s v="C00606"/>
    <n v="29"/>
    <s v="Male"/>
    <x v="3"/>
    <x v="2"/>
    <x v="3"/>
    <s v="No Meals"/>
    <n v="36295.39"/>
    <n v="1665.92"/>
    <x v="0"/>
    <s v="Confirmed"/>
    <x v="2"/>
    <x v="16"/>
    <x v="4"/>
    <x v="3"/>
    <x v="1"/>
  </r>
  <r>
    <s v="T000607"/>
    <d v="2024-08-29T00:00:00"/>
    <x v="0"/>
    <x v="0"/>
    <x v="1"/>
    <x v="1"/>
    <s v="India"/>
    <x v="1"/>
    <x v="7"/>
    <s v="C00607"/>
    <n v="56"/>
    <s v="Other"/>
    <x v="0"/>
    <x v="3"/>
    <x v="1"/>
    <s v="Full Board"/>
    <n v="16497.63"/>
    <n v="4725.6899999999996"/>
    <x v="0"/>
    <s v="Cancelled"/>
    <x v="0"/>
    <x v="32"/>
    <x v="4"/>
    <x v="1"/>
    <x v="1"/>
  </r>
  <r>
    <s v="T000608"/>
    <d v="2024-08-30T00:00:00"/>
    <x v="4"/>
    <x v="3"/>
    <x v="3"/>
    <x v="1"/>
    <s v="India"/>
    <x v="5"/>
    <x v="3"/>
    <s v="C00608"/>
    <n v="64"/>
    <s v="Other"/>
    <x v="1"/>
    <x v="3"/>
    <x v="2"/>
    <s v="No Meals"/>
    <n v="37794.22"/>
    <n v="4022.67"/>
    <x v="0"/>
    <s v="Confirmed"/>
    <x v="2"/>
    <x v="14"/>
    <x v="1"/>
    <x v="0"/>
    <x v="0"/>
  </r>
  <r>
    <s v="T000609"/>
    <d v="2024-08-31T00:00:00"/>
    <x v="3"/>
    <x v="1"/>
    <x v="4"/>
    <x v="1"/>
    <s v="India"/>
    <x v="6"/>
    <x v="11"/>
    <s v="C00609"/>
    <n v="20"/>
    <s v="Other"/>
    <x v="4"/>
    <x v="3"/>
    <x v="2"/>
    <s v="Full Board"/>
    <n v="49813.87"/>
    <n v="4555.92"/>
    <x v="1"/>
    <s v="Cancelled"/>
    <x v="1"/>
    <x v="26"/>
    <x v="2"/>
    <x v="4"/>
    <x v="0"/>
  </r>
  <r>
    <s v="T000610"/>
    <d v="2024-09-01T00:00:00"/>
    <x v="4"/>
    <x v="3"/>
    <x v="4"/>
    <x v="1"/>
    <s v="India"/>
    <x v="6"/>
    <x v="8"/>
    <s v="C00610"/>
    <n v="65"/>
    <s v="Other"/>
    <x v="0"/>
    <x v="0"/>
    <x v="3"/>
    <s v="Breakfast Only"/>
    <n v="40868.78"/>
    <n v="2862.77"/>
    <x v="2"/>
    <s v="Pending"/>
    <x v="2"/>
    <x v="18"/>
    <x v="0"/>
    <x v="2"/>
    <x v="1"/>
  </r>
  <r>
    <s v="T000611"/>
    <d v="2024-09-02T00:00:00"/>
    <x v="4"/>
    <x v="3"/>
    <x v="3"/>
    <x v="1"/>
    <s v="India"/>
    <x v="5"/>
    <x v="4"/>
    <s v="C00611"/>
    <n v="18"/>
    <s v="Other"/>
    <x v="1"/>
    <x v="0"/>
    <x v="3"/>
    <s v="Half Board"/>
    <n v="20382.599999999999"/>
    <n v="2401.9899999999998"/>
    <x v="1"/>
    <s v="Pending"/>
    <x v="3"/>
    <x v="16"/>
    <x v="4"/>
    <x v="3"/>
    <x v="1"/>
  </r>
  <r>
    <s v="T000612"/>
    <d v="2024-09-03T00:00:00"/>
    <x v="4"/>
    <x v="3"/>
    <x v="4"/>
    <x v="1"/>
    <s v="India"/>
    <x v="6"/>
    <x v="0"/>
    <s v="C00612"/>
    <n v="44"/>
    <s v="Other"/>
    <x v="2"/>
    <x v="3"/>
    <x v="3"/>
    <s v="Full Board"/>
    <n v="45526.64"/>
    <n v="532.48"/>
    <x v="3"/>
    <s v="Confirmed"/>
    <x v="0"/>
    <x v="31"/>
    <x v="1"/>
    <x v="3"/>
    <x v="1"/>
  </r>
  <r>
    <s v="T000613"/>
    <d v="2024-09-04T00:00:00"/>
    <x v="1"/>
    <x v="1"/>
    <x v="4"/>
    <x v="1"/>
    <s v="India"/>
    <x v="6"/>
    <x v="6"/>
    <s v="C00613"/>
    <n v="65"/>
    <s v="Female"/>
    <x v="6"/>
    <x v="1"/>
    <x v="0"/>
    <s v="Full Board"/>
    <n v="7303.09"/>
    <n v="4197.3599999999997"/>
    <x v="0"/>
    <s v="Confirmed"/>
    <x v="0"/>
    <x v="40"/>
    <x v="3"/>
    <x v="0"/>
    <x v="0"/>
  </r>
  <r>
    <s v="T000614"/>
    <d v="2024-09-05T00:00:00"/>
    <x v="2"/>
    <x v="2"/>
    <x v="3"/>
    <x v="1"/>
    <s v="India"/>
    <x v="5"/>
    <x v="8"/>
    <s v="C00614"/>
    <n v="41"/>
    <s v="Female"/>
    <x v="5"/>
    <x v="3"/>
    <x v="3"/>
    <s v="Full Board"/>
    <n v="37625.31"/>
    <n v="3725.71"/>
    <x v="3"/>
    <s v="Cancelled"/>
    <x v="0"/>
    <x v="3"/>
    <x v="3"/>
    <x v="2"/>
    <x v="1"/>
  </r>
  <r>
    <s v="T000615"/>
    <d v="2024-09-06T00:00:00"/>
    <x v="4"/>
    <x v="3"/>
    <x v="0"/>
    <x v="0"/>
    <s v="India"/>
    <x v="4"/>
    <x v="8"/>
    <s v="C00615"/>
    <n v="61"/>
    <s v="Male"/>
    <x v="0"/>
    <x v="0"/>
    <x v="3"/>
    <s v="No Meals"/>
    <n v="6049.5"/>
    <n v="294.38"/>
    <x v="2"/>
    <s v="Cancelled"/>
    <x v="3"/>
    <x v="9"/>
    <x v="4"/>
    <x v="4"/>
    <x v="0"/>
  </r>
  <r>
    <s v="T000616"/>
    <d v="2024-09-07T00:00:00"/>
    <x v="2"/>
    <x v="2"/>
    <x v="0"/>
    <x v="0"/>
    <s v="India"/>
    <x v="4"/>
    <x v="6"/>
    <s v="C00616"/>
    <n v="36"/>
    <s v="Female"/>
    <x v="6"/>
    <x v="2"/>
    <x v="3"/>
    <s v="No Meals"/>
    <n v="12855"/>
    <n v="1047.07"/>
    <x v="3"/>
    <s v="Confirmed"/>
    <x v="2"/>
    <x v="4"/>
    <x v="0"/>
    <x v="2"/>
    <x v="0"/>
  </r>
  <r>
    <s v="T000617"/>
    <d v="2024-09-08T00:00:00"/>
    <x v="0"/>
    <x v="0"/>
    <x v="2"/>
    <x v="0"/>
    <s v="India"/>
    <x v="2"/>
    <x v="6"/>
    <s v="C00617"/>
    <n v="25"/>
    <s v="Other"/>
    <x v="3"/>
    <x v="1"/>
    <x v="1"/>
    <s v="No Meals"/>
    <n v="49441.36"/>
    <n v="2786.39"/>
    <x v="3"/>
    <s v="Cancelled"/>
    <x v="0"/>
    <x v="28"/>
    <x v="3"/>
    <x v="2"/>
    <x v="1"/>
  </r>
  <r>
    <s v="T000618"/>
    <d v="2024-09-09T00:00:00"/>
    <x v="3"/>
    <x v="1"/>
    <x v="4"/>
    <x v="1"/>
    <s v="India"/>
    <x v="6"/>
    <x v="5"/>
    <s v="C00618"/>
    <n v="61"/>
    <s v="Female"/>
    <x v="6"/>
    <x v="1"/>
    <x v="2"/>
    <s v="Full Board"/>
    <n v="21239.82"/>
    <n v="3422.01"/>
    <x v="0"/>
    <s v="Cancelled"/>
    <x v="1"/>
    <x v="36"/>
    <x v="4"/>
    <x v="3"/>
    <x v="0"/>
  </r>
  <r>
    <s v="T000619"/>
    <d v="2024-09-10T00:00:00"/>
    <x v="0"/>
    <x v="0"/>
    <x v="3"/>
    <x v="1"/>
    <s v="India"/>
    <x v="5"/>
    <x v="6"/>
    <s v="C00619"/>
    <n v="64"/>
    <s v="Male"/>
    <x v="0"/>
    <x v="2"/>
    <x v="2"/>
    <s v="Breakfast Only"/>
    <n v="41922.47"/>
    <n v="688.35"/>
    <x v="2"/>
    <s v="Confirmed"/>
    <x v="1"/>
    <x v="40"/>
    <x v="3"/>
    <x v="1"/>
    <x v="1"/>
  </r>
  <r>
    <s v="T000620"/>
    <d v="2024-09-11T00:00:00"/>
    <x v="0"/>
    <x v="0"/>
    <x v="4"/>
    <x v="1"/>
    <s v="India"/>
    <x v="6"/>
    <x v="2"/>
    <s v="C00620"/>
    <n v="19"/>
    <s v="Other"/>
    <x v="6"/>
    <x v="1"/>
    <x v="3"/>
    <s v="Half Board"/>
    <n v="21923.9"/>
    <n v="1224.1199999999999"/>
    <x v="3"/>
    <s v="Confirmed"/>
    <x v="1"/>
    <x v="23"/>
    <x v="1"/>
    <x v="4"/>
    <x v="1"/>
  </r>
  <r>
    <s v="T000621"/>
    <d v="2024-09-12T00:00:00"/>
    <x v="1"/>
    <x v="1"/>
    <x v="1"/>
    <x v="1"/>
    <s v="India"/>
    <x v="1"/>
    <x v="10"/>
    <s v="C00621"/>
    <n v="47"/>
    <s v="Female"/>
    <x v="5"/>
    <x v="2"/>
    <x v="2"/>
    <s v="No Meals"/>
    <n v="42801.279999999999"/>
    <n v="965.55"/>
    <x v="1"/>
    <s v="Pending"/>
    <x v="1"/>
    <x v="10"/>
    <x v="1"/>
    <x v="2"/>
    <x v="0"/>
  </r>
  <r>
    <s v="T000622"/>
    <d v="2024-09-13T00:00:00"/>
    <x v="3"/>
    <x v="1"/>
    <x v="4"/>
    <x v="1"/>
    <s v="India"/>
    <x v="6"/>
    <x v="0"/>
    <s v="C00622"/>
    <n v="47"/>
    <s v="Female"/>
    <x v="4"/>
    <x v="0"/>
    <x v="1"/>
    <s v="Breakfast Only"/>
    <n v="48444.78"/>
    <n v="1099.99"/>
    <x v="0"/>
    <s v="Pending"/>
    <x v="1"/>
    <x v="25"/>
    <x v="2"/>
    <x v="0"/>
    <x v="0"/>
  </r>
  <r>
    <s v="T000623"/>
    <d v="2024-09-14T00:00:00"/>
    <x v="0"/>
    <x v="0"/>
    <x v="4"/>
    <x v="1"/>
    <s v="India"/>
    <x v="6"/>
    <x v="4"/>
    <s v="C00623"/>
    <n v="66"/>
    <s v="Male"/>
    <x v="0"/>
    <x v="1"/>
    <x v="2"/>
    <s v="No Meals"/>
    <n v="24599.13"/>
    <n v="4603.57"/>
    <x v="1"/>
    <s v="Confirmed"/>
    <x v="3"/>
    <x v="27"/>
    <x v="0"/>
    <x v="3"/>
    <x v="1"/>
  </r>
  <r>
    <s v="T000624"/>
    <d v="2024-09-15T00:00:00"/>
    <x v="0"/>
    <x v="0"/>
    <x v="0"/>
    <x v="0"/>
    <s v="India"/>
    <x v="4"/>
    <x v="7"/>
    <s v="C00624"/>
    <n v="56"/>
    <s v="Other"/>
    <x v="1"/>
    <x v="1"/>
    <x v="0"/>
    <s v="No Meals"/>
    <n v="30170.71"/>
    <n v="3579.1"/>
    <x v="0"/>
    <s v="Pending"/>
    <x v="2"/>
    <x v="35"/>
    <x v="3"/>
    <x v="1"/>
    <x v="0"/>
  </r>
  <r>
    <s v="T000625"/>
    <d v="2024-09-16T00:00:00"/>
    <x v="3"/>
    <x v="1"/>
    <x v="3"/>
    <x v="1"/>
    <s v="India"/>
    <x v="5"/>
    <x v="3"/>
    <s v="C00625"/>
    <n v="62"/>
    <s v="Male"/>
    <x v="6"/>
    <x v="2"/>
    <x v="1"/>
    <s v="Full Board"/>
    <n v="33288.78"/>
    <n v="3685.53"/>
    <x v="3"/>
    <s v="Cancelled"/>
    <x v="3"/>
    <x v="35"/>
    <x v="3"/>
    <x v="1"/>
    <x v="0"/>
  </r>
  <r>
    <s v="T000626"/>
    <d v="2024-09-17T00:00:00"/>
    <x v="3"/>
    <x v="1"/>
    <x v="4"/>
    <x v="1"/>
    <s v="India"/>
    <x v="6"/>
    <x v="10"/>
    <s v="C00626"/>
    <n v="49"/>
    <s v="Other"/>
    <x v="4"/>
    <x v="2"/>
    <x v="2"/>
    <s v="Full Board"/>
    <n v="47067.57"/>
    <n v="3969.98"/>
    <x v="0"/>
    <s v="Confirmed"/>
    <x v="1"/>
    <x v="22"/>
    <x v="4"/>
    <x v="3"/>
    <x v="0"/>
  </r>
  <r>
    <s v="T000627"/>
    <d v="2024-09-18T00:00:00"/>
    <x v="0"/>
    <x v="0"/>
    <x v="0"/>
    <x v="0"/>
    <s v="India"/>
    <x v="4"/>
    <x v="6"/>
    <s v="C00627"/>
    <n v="18"/>
    <s v="Other"/>
    <x v="5"/>
    <x v="0"/>
    <x v="2"/>
    <s v="No Meals"/>
    <n v="16553.48"/>
    <n v="1782.87"/>
    <x v="3"/>
    <s v="Pending"/>
    <x v="1"/>
    <x v="18"/>
    <x v="0"/>
    <x v="2"/>
    <x v="1"/>
  </r>
  <r>
    <s v="T000628"/>
    <d v="2024-09-19T00:00:00"/>
    <x v="3"/>
    <x v="1"/>
    <x v="2"/>
    <x v="0"/>
    <s v="India"/>
    <x v="3"/>
    <x v="5"/>
    <s v="C00628"/>
    <n v="55"/>
    <s v="Female"/>
    <x v="3"/>
    <x v="2"/>
    <x v="1"/>
    <s v="Half Board"/>
    <n v="32506.22"/>
    <n v="3835.92"/>
    <x v="1"/>
    <s v="Confirmed"/>
    <x v="0"/>
    <x v="40"/>
    <x v="3"/>
    <x v="3"/>
    <x v="1"/>
  </r>
  <r>
    <s v="T000629"/>
    <d v="2024-09-20T00:00:00"/>
    <x v="0"/>
    <x v="0"/>
    <x v="0"/>
    <x v="0"/>
    <s v="India"/>
    <x v="0"/>
    <x v="3"/>
    <s v="C00629"/>
    <n v="30"/>
    <s v="Male"/>
    <x v="3"/>
    <x v="2"/>
    <x v="2"/>
    <s v="No Meals"/>
    <n v="19612.41"/>
    <n v="4892.07"/>
    <x v="3"/>
    <s v="Pending"/>
    <x v="0"/>
    <x v="12"/>
    <x v="1"/>
    <x v="1"/>
    <x v="0"/>
  </r>
  <r>
    <s v="T000630"/>
    <d v="2024-09-21T00:00:00"/>
    <x v="0"/>
    <x v="0"/>
    <x v="0"/>
    <x v="0"/>
    <s v="India"/>
    <x v="0"/>
    <x v="4"/>
    <s v="C00630"/>
    <n v="28"/>
    <s v="Male"/>
    <x v="5"/>
    <x v="0"/>
    <x v="2"/>
    <s v="Half Board"/>
    <n v="14761.99"/>
    <n v="3491.97"/>
    <x v="0"/>
    <s v="Confirmed"/>
    <x v="2"/>
    <x v="18"/>
    <x v="0"/>
    <x v="1"/>
    <x v="1"/>
  </r>
  <r>
    <s v="T000631"/>
    <d v="2024-09-22T00:00:00"/>
    <x v="1"/>
    <x v="1"/>
    <x v="0"/>
    <x v="0"/>
    <s v="India"/>
    <x v="4"/>
    <x v="11"/>
    <s v="C00631"/>
    <n v="27"/>
    <s v="Male"/>
    <x v="6"/>
    <x v="3"/>
    <x v="3"/>
    <s v="Breakfast Only"/>
    <n v="8821.42"/>
    <n v="2083.77"/>
    <x v="0"/>
    <s v="Cancelled"/>
    <x v="2"/>
    <x v="10"/>
    <x v="1"/>
    <x v="0"/>
    <x v="1"/>
  </r>
  <r>
    <s v="T000632"/>
    <d v="2024-09-23T00:00:00"/>
    <x v="4"/>
    <x v="3"/>
    <x v="4"/>
    <x v="1"/>
    <s v="India"/>
    <x v="6"/>
    <x v="8"/>
    <s v="C00632"/>
    <n v="65"/>
    <s v="Other"/>
    <x v="3"/>
    <x v="3"/>
    <x v="0"/>
    <s v="No Meals"/>
    <n v="32931.99"/>
    <n v="3581.8"/>
    <x v="0"/>
    <s v="Pending"/>
    <x v="2"/>
    <x v="7"/>
    <x v="3"/>
    <x v="0"/>
    <x v="0"/>
  </r>
  <r>
    <s v="T000633"/>
    <d v="2024-09-24T00:00:00"/>
    <x v="0"/>
    <x v="0"/>
    <x v="4"/>
    <x v="1"/>
    <s v="India"/>
    <x v="6"/>
    <x v="2"/>
    <s v="C00633"/>
    <n v="43"/>
    <s v="Male"/>
    <x v="1"/>
    <x v="2"/>
    <x v="1"/>
    <s v="Half Board"/>
    <n v="44693.85"/>
    <n v="4503.97"/>
    <x v="1"/>
    <s v="Confirmed"/>
    <x v="3"/>
    <x v="7"/>
    <x v="3"/>
    <x v="1"/>
    <x v="0"/>
  </r>
  <r>
    <s v="T000634"/>
    <d v="2024-09-25T00:00:00"/>
    <x v="2"/>
    <x v="2"/>
    <x v="2"/>
    <x v="0"/>
    <s v="India"/>
    <x v="2"/>
    <x v="6"/>
    <s v="C00634"/>
    <n v="37"/>
    <s v="Other"/>
    <x v="0"/>
    <x v="0"/>
    <x v="3"/>
    <s v="Breakfast Only"/>
    <n v="20812.68"/>
    <n v="643.80999999999995"/>
    <x v="2"/>
    <s v="Cancelled"/>
    <x v="0"/>
    <x v="29"/>
    <x v="1"/>
    <x v="0"/>
    <x v="0"/>
  </r>
  <r>
    <s v="T000635"/>
    <d v="2024-09-26T00:00:00"/>
    <x v="4"/>
    <x v="3"/>
    <x v="1"/>
    <x v="1"/>
    <s v="India"/>
    <x v="1"/>
    <x v="5"/>
    <s v="C00635"/>
    <n v="34"/>
    <s v="Male"/>
    <x v="4"/>
    <x v="3"/>
    <x v="2"/>
    <s v="Breakfast Only"/>
    <n v="29870.080000000002"/>
    <n v="1326.47"/>
    <x v="1"/>
    <s v="Pending"/>
    <x v="2"/>
    <x v="27"/>
    <x v="0"/>
    <x v="0"/>
    <x v="1"/>
  </r>
  <r>
    <s v="T000636"/>
    <d v="2024-09-27T00:00:00"/>
    <x v="4"/>
    <x v="3"/>
    <x v="1"/>
    <x v="1"/>
    <s v="India"/>
    <x v="1"/>
    <x v="3"/>
    <s v="C00636"/>
    <n v="34"/>
    <s v="Male"/>
    <x v="2"/>
    <x v="0"/>
    <x v="1"/>
    <s v="Full Board"/>
    <n v="33896.019999999997"/>
    <n v="4596.4799999999996"/>
    <x v="3"/>
    <s v="Pending"/>
    <x v="0"/>
    <x v="35"/>
    <x v="2"/>
    <x v="0"/>
    <x v="1"/>
  </r>
  <r>
    <s v="T000637"/>
    <d v="2024-09-28T00:00:00"/>
    <x v="4"/>
    <x v="3"/>
    <x v="1"/>
    <x v="1"/>
    <s v="India"/>
    <x v="1"/>
    <x v="7"/>
    <s v="C00637"/>
    <n v="21"/>
    <s v="Female"/>
    <x v="6"/>
    <x v="2"/>
    <x v="1"/>
    <s v="Breakfast Only"/>
    <n v="23659.26"/>
    <n v="4731.16"/>
    <x v="3"/>
    <s v="Confirmed"/>
    <x v="0"/>
    <x v="40"/>
    <x v="3"/>
    <x v="1"/>
    <x v="0"/>
  </r>
  <r>
    <s v="T000638"/>
    <d v="2024-09-29T00:00:00"/>
    <x v="1"/>
    <x v="1"/>
    <x v="2"/>
    <x v="0"/>
    <s v="India"/>
    <x v="2"/>
    <x v="2"/>
    <s v="C00638"/>
    <n v="22"/>
    <s v="Male"/>
    <x v="3"/>
    <x v="2"/>
    <x v="0"/>
    <s v="Full Board"/>
    <n v="45650.65"/>
    <n v="2420.6999999999998"/>
    <x v="1"/>
    <s v="Cancelled"/>
    <x v="0"/>
    <x v="28"/>
    <x v="2"/>
    <x v="2"/>
    <x v="1"/>
  </r>
  <r>
    <s v="T000639"/>
    <d v="2024-09-30T00:00:00"/>
    <x v="0"/>
    <x v="0"/>
    <x v="1"/>
    <x v="1"/>
    <s v="India"/>
    <x v="1"/>
    <x v="2"/>
    <s v="C00639"/>
    <n v="40"/>
    <s v="Female"/>
    <x v="0"/>
    <x v="0"/>
    <x v="0"/>
    <s v="Breakfast Only"/>
    <n v="21323.98"/>
    <n v="1872.75"/>
    <x v="1"/>
    <s v="Confirmed"/>
    <x v="0"/>
    <x v="22"/>
    <x v="4"/>
    <x v="2"/>
    <x v="1"/>
  </r>
  <r>
    <s v="T000640"/>
    <d v="2024-10-01T00:00:00"/>
    <x v="1"/>
    <x v="1"/>
    <x v="1"/>
    <x v="1"/>
    <s v="India"/>
    <x v="1"/>
    <x v="5"/>
    <s v="C00640"/>
    <n v="63"/>
    <s v="Female"/>
    <x v="2"/>
    <x v="1"/>
    <x v="1"/>
    <s v="Breakfast Only"/>
    <n v="10625.49"/>
    <n v="1413.91"/>
    <x v="3"/>
    <s v="Pending"/>
    <x v="0"/>
    <x v="32"/>
    <x v="4"/>
    <x v="4"/>
    <x v="1"/>
  </r>
  <r>
    <s v="T000641"/>
    <d v="2024-10-02T00:00:00"/>
    <x v="0"/>
    <x v="0"/>
    <x v="0"/>
    <x v="0"/>
    <s v="India"/>
    <x v="4"/>
    <x v="3"/>
    <s v="C00641"/>
    <n v="69"/>
    <s v="Other"/>
    <x v="1"/>
    <x v="2"/>
    <x v="0"/>
    <s v="Half Board"/>
    <n v="11480.92"/>
    <n v="2493.7600000000002"/>
    <x v="3"/>
    <s v="Confirmed"/>
    <x v="0"/>
    <x v="30"/>
    <x v="0"/>
    <x v="0"/>
    <x v="0"/>
  </r>
  <r>
    <s v="T000642"/>
    <d v="2024-10-03T00:00:00"/>
    <x v="1"/>
    <x v="1"/>
    <x v="4"/>
    <x v="1"/>
    <s v="India"/>
    <x v="6"/>
    <x v="5"/>
    <s v="C00642"/>
    <n v="27"/>
    <s v="Male"/>
    <x v="3"/>
    <x v="2"/>
    <x v="0"/>
    <s v="Half Board"/>
    <n v="45088.59"/>
    <n v="4672.66"/>
    <x v="3"/>
    <s v="Confirmed"/>
    <x v="3"/>
    <x v="27"/>
    <x v="0"/>
    <x v="2"/>
    <x v="1"/>
  </r>
  <r>
    <s v="T000643"/>
    <d v="2024-10-04T00:00:00"/>
    <x v="1"/>
    <x v="1"/>
    <x v="4"/>
    <x v="1"/>
    <s v="India"/>
    <x v="6"/>
    <x v="7"/>
    <s v="C00643"/>
    <n v="63"/>
    <s v="Male"/>
    <x v="3"/>
    <x v="2"/>
    <x v="2"/>
    <s v="Full Board"/>
    <n v="49460.36"/>
    <n v="749.05"/>
    <x v="2"/>
    <s v="Cancelled"/>
    <x v="1"/>
    <x v="15"/>
    <x v="0"/>
    <x v="4"/>
    <x v="1"/>
  </r>
  <r>
    <s v="T000644"/>
    <d v="2024-10-05T00:00:00"/>
    <x v="2"/>
    <x v="2"/>
    <x v="0"/>
    <x v="0"/>
    <s v="India"/>
    <x v="4"/>
    <x v="7"/>
    <s v="C00644"/>
    <n v="45"/>
    <s v="Male"/>
    <x v="4"/>
    <x v="2"/>
    <x v="0"/>
    <s v="No Meals"/>
    <n v="18002.2"/>
    <n v="2099.15"/>
    <x v="2"/>
    <s v="Cancelled"/>
    <x v="0"/>
    <x v="25"/>
    <x v="3"/>
    <x v="3"/>
    <x v="0"/>
  </r>
  <r>
    <s v="T000645"/>
    <d v="2024-10-06T00:00:00"/>
    <x v="1"/>
    <x v="1"/>
    <x v="0"/>
    <x v="0"/>
    <s v="India"/>
    <x v="4"/>
    <x v="0"/>
    <s v="C00645"/>
    <n v="50"/>
    <s v="Female"/>
    <x v="1"/>
    <x v="0"/>
    <x v="0"/>
    <s v="Half Board"/>
    <n v="11462.12"/>
    <n v="4558.04"/>
    <x v="1"/>
    <s v="Pending"/>
    <x v="3"/>
    <x v="18"/>
    <x v="0"/>
    <x v="0"/>
    <x v="1"/>
  </r>
  <r>
    <s v="T000646"/>
    <d v="2024-10-07T00:00:00"/>
    <x v="3"/>
    <x v="1"/>
    <x v="0"/>
    <x v="0"/>
    <s v="India"/>
    <x v="4"/>
    <x v="1"/>
    <s v="C00646"/>
    <n v="60"/>
    <s v="Male"/>
    <x v="1"/>
    <x v="0"/>
    <x v="3"/>
    <s v="Breakfast Only"/>
    <n v="26699.55"/>
    <n v="1745.6"/>
    <x v="1"/>
    <s v="Cancelled"/>
    <x v="2"/>
    <x v="40"/>
    <x v="3"/>
    <x v="2"/>
    <x v="1"/>
  </r>
  <r>
    <s v="T000647"/>
    <d v="2024-10-08T00:00:00"/>
    <x v="2"/>
    <x v="2"/>
    <x v="4"/>
    <x v="1"/>
    <s v="India"/>
    <x v="6"/>
    <x v="8"/>
    <s v="C00647"/>
    <n v="43"/>
    <s v="Other"/>
    <x v="6"/>
    <x v="0"/>
    <x v="2"/>
    <s v="Full Board"/>
    <n v="36928.76"/>
    <n v="3840.41"/>
    <x v="2"/>
    <s v="Confirmed"/>
    <x v="3"/>
    <x v="17"/>
    <x v="1"/>
    <x v="2"/>
    <x v="0"/>
  </r>
  <r>
    <s v="T000648"/>
    <d v="2024-10-09T00:00:00"/>
    <x v="1"/>
    <x v="1"/>
    <x v="1"/>
    <x v="1"/>
    <s v="India"/>
    <x v="1"/>
    <x v="10"/>
    <s v="C00648"/>
    <n v="67"/>
    <s v="Other"/>
    <x v="2"/>
    <x v="0"/>
    <x v="2"/>
    <s v="Full Board"/>
    <n v="32558.13"/>
    <n v="1946.3"/>
    <x v="0"/>
    <s v="Pending"/>
    <x v="3"/>
    <x v="9"/>
    <x v="4"/>
    <x v="2"/>
    <x v="1"/>
  </r>
  <r>
    <s v="T000649"/>
    <d v="2024-10-10T00:00:00"/>
    <x v="4"/>
    <x v="3"/>
    <x v="0"/>
    <x v="0"/>
    <s v="India"/>
    <x v="4"/>
    <x v="6"/>
    <s v="C00649"/>
    <n v="65"/>
    <s v="Male"/>
    <x v="4"/>
    <x v="1"/>
    <x v="1"/>
    <s v="Full Board"/>
    <n v="47799.87"/>
    <n v="4024.63"/>
    <x v="2"/>
    <s v="Cancelled"/>
    <x v="3"/>
    <x v="6"/>
    <x v="3"/>
    <x v="4"/>
    <x v="0"/>
  </r>
  <r>
    <s v="T000650"/>
    <d v="2024-10-11T00:00:00"/>
    <x v="3"/>
    <x v="1"/>
    <x v="2"/>
    <x v="0"/>
    <s v="India"/>
    <x v="3"/>
    <x v="10"/>
    <s v="C00650"/>
    <n v="46"/>
    <s v="Female"/>
    <x v="6"/>
    <x v="0"/>
    <x v="0"/>
    <s v="Breakfast Only"/>
    <n v="41800"/>
    <n v="4905.01"/>
    <x v="1"/>
    <s v="Confirmed"/>
    <x v="0"/>
    <x v="38"/>
    <x v="0"/>
    <x v="3"/>
    <x v="1"/>
  </r>
  <r>
    <s v="T000651"/>
    <d v="2024-10-12T00:00:00"/>
    <x v="3"/>
    <x v="1"/>
    <x v="0"/>
    <x v="0"/>
    <s v="India"/>
    <x v="4"/>
    <x v="2"/>
    <s v="C00651"/>
    <n v="44"/>
    <s v="Other"/>
    <x v="4"/>
    <x v="0"/>
    <x v="3"/>
    <s v="Half Board"/>
    <n v="44103.75"/>
    <n v="1939.11"/>
    <x v="2"/>
    <s v="Confirmed"/>
    <x v="2"/>
    <x v="39"/>
    <x v="0"/>
    <x v="0"/>
    <x v="1"/>
  </r>
  <r>
    <s v="T000652"/>
    <d v="2024-10-13T00:00:00"/>
    <x v="3"/>
    <x v="1"/>
    <x v="3"/>
    <x v="1"/>
    <s v="India"/>
    <x v="5"/>
    <x v="6"/>
    <s v="C00652"/>
    <n v="35"/>
    <s v="Other"/>
    <x v="1"/>
    <x v="2"/>
    <x v="3"/>
    <s v="No Meals"/>
    <n v="29375.02"/>
    <n v="4225.49"/>
    <x v="0"/>
    <s v="Pending"/>
    <x v="3"/>
    <x v="5"/>
    <x v="1"/>
    <x v="2"/>
    <x v="0"/>
  </r>
  <r>
    <s v="T000653"/>
    <d v="2024-10-14T00:00:00"/>
    <x v="2"/>
    <x v="2"/>
    <x v="0"/>
    <x v="0"/>
    <s v="India"/>
    <x v="4"/>
    <x v="4"/>
    <s v="C00653"/>
    <n v="57"/>
    <s v="Female"/>
    <x v="4"/>
    <x v="1"/>
    <x v="2"/>
    <s v="Full Board"/>
    <n v="19727.38"/>
    <n v="4942.08"/>
    <x v="1"/>
    <s v="Pending"/>
    <x v="2"/>
    <x v="25"/>
    <x v="3"/>
    <x v="1"/>
    <x v="0"/>
  </r>
  <r>
    <s v="T000654"/>
    <d v="2024-10-15T00:00:00"/>
    <x v="1"/>
    <x v="1"/>
    <x v="4"/>
    <x v="1"/>
    <s v="India"/>
    <x v="6"/>
    <x v="9"/>
    <s v="C00654"/>
    <n v="27"/>
    <s v="Other"/>
    <x v="4"/>
    <x v="2"/>
    <x v="0"/>
    <s v="Breakfast Only"/>
    <n v="36578.120000000003"/>
    <n v="4919.1499999999996"/>
    <x v="3"/>
    <s v="Cancelled"/>
    <x v="3"/>
    <x v="6"/>
    <x v="3"/>
    <x v="0"/>
    <x v="0"/>
  </r>
  <r>
    <s v="T000655"/>
    <d v="2024-10-16T00:00:00"/>
    <x v="1"/>
    <x v="1"/>
    <x v="0"/>
    <x v="0"/>
    <s v="India"/>
    <x v="4"/>
    <x v="4"/>
    <s v="C00655"/>
    <n v="59"/>
    <s v="Female"/>
    <x v="4"/>
    <x v="1"/>
    <x v="3"/>
    <s v="Half Board"/>
    <n v="24757.39"/>
    <n v="2168.86"/>
    <x v="1"/>
    <s v="Cancelled"/>
    <x v="0"/>
    <x v="3"/>
    <x v="3"/>
    <x v="1"/>
    <x v="1"/>
  </r>
  <r>
    <s v="T000656"/>
    <d v="2024-10-17T00:00:00"/>
    <x v="4"/>
    <x v="3"/>
    <x v="3"/>
    <x v="1"/>
    <s v="India"/>
    <x v="5"/>
    <x v="9"/>
    <s v="C00656"/>
    <n v="22"/>
    <s v="Other"/>
    <x v="0"/>
    <x v="3"/>
    <x v="1"/>
    <s v="Half Board"/>
    <n v="17948.939999999999"/>
    <n v="2428.81"/>
    <x v="2"/>
    <s v="Cancelled"/>
    <x v="3"/>
    <x v="5"/>
    <x v="1"/>
    <x v="4"/>
    <x v="1"/>
  </r>
  <r>
    <s v="T000657"/>
    <d v="2024-10-18T00:00:00"/>
    <x v="4"/>
    <x v="3"/>
    <x v="2"/>
    <x v="0"/>
    <s v="India"/>
    <x v="2"/>
    <x v="5"/>
    <s v="C00657"/>
    <n v="27"/>
    <s v="Female"/>
    <x v="0"/>
    <x v="1"/>
    <x v="0"/>
    <s v="No Meals"/>
    <n v="11852.18"/>
    <n v="1517.01"/>
    <x v="2"/>
    <s v="Cancelled"/>
    <x v="3"/>
    <x v="0"/>
    <x v="0"/>
    <x v="2"/>
    <x v="0"/>
  </r>
  <r>
    <s v="T000658"/>
    <d v="2024-10-19T00:00:00"/>
    <x v="3"/>
    <x v="1"/>
    <x v="1"/>
    <x v="1"/>
    <s v="India"/>
    <x v="1"/>
    <x v="9"/>
    <s v="C00658"/>
    <n v="67"/>
    <s v="Other"/>
    <x v="2"/>
    <x v="1"/>
    <x v="0"/>
    <s v="Full Board"/>
    <n v="28754.34"/>
    <n v="1570.09"/>
    <x v="0"/>
    <s v="Pending"/>
    <x v="2"/>
    <x v="4"/>
    <x v="0"/>
    <x v="0"/>
    <x v="0"/>
  </r>
  <r>
    <s v="T000659"/>
    <d v="2024-10-20T00:00:00"/>
    <x v="4"/>
    <x v="3"/>
    <x v="0"/>
    <x v="0"/>
    <s v="India"/>
    <x v="4"/>
    <x v="1"/>
    <s v="C00659"/>
    <n v="38"/>
    <s v="Male"/>
    <x v="2"/>
    <x v="2"/>
    <x v="0"/>
    <s v="Breakfast Only"/>
    <n v="31741.41"/>
    <n v="2462.35"/>
    <x v="2"/>
    <s v="Confirmed"/>
    <x v="2"/>
    <x v="24"/>
    <x v="0"/>
    <x v="0"/>
    <x v="0"/>
  </r>
  <r>
    <s v="T000660"/>
    <d v="2024-10-21T00:00:00"/>
    <x v="2"/>
    <x v="2"/>
    <x v="3"/>
    <x v="1"/>
    <s v="India"/>
    <x v="5"/>
    <x v="1"/>
    <s v="C00660"/>
    <n v="41"/>
    <s v="Other"/>
    <x v="5"/>
    <x v="1"/>
    <x v="3"/>
    <s v="Half Board"/>
    <n v="30595.360000000001"/>
    <n v="1002.59"/>
    <x v="0"/>
    <s v="Confirmed"/>
    <x v="2"/>
    <x v="30"/>
    <x v="0"/>
    <x v="2"/>
    <x v="1"/>
  </r>
  <r>
    <s v="T000661"/>
    <d v="2024-10-22T00:00:00"/>
    <x v="1"/>
    <x v="1"/>
    <x v="3"/>
    <x v="1"/>
    <s v="India"/>
    <x v="5"/>
    <x v="8"/>
    <s v="C00661"/>
    <n v="55"/>
    <s v="Other"/>
    <x v="1"/>
    <x v="1"/>
    <x v="2"/>
    <s v="Breakfast Only"/>
    <n v="10244.68"/>
    <n v="3555.62"/>
    <x v="1"/>
    <s v="Cancelled"/>
    <x v="1"/>
    <x v="29"/>
    <x v="1"/>
    <x v="3"/>
    <x v="1"/>
  </r>
  <r>
    <s v="T000662"/>
    <d v="2024-10-23T00:00:00"/>
    <x v="3"/>
    <x v="1"/>
    <x v="2"/>
    <x v="0"/>
    <s v="India"/>
    <x v="3"/>
    <x v="3"/>
    <s v="C00662"/>
    <n v="20"/>
    <s v="Male"/>
    <x v="4"/>
    <x v="2"/>
    <x v="2"/>
    <s v="Half Board"/>
    <n v="30649.43"/>
    <n v="2681.54"/>
    <x v="2"/>
    <s v="Pending"/>
    <x v="2"/>
    <x v="13"/>
    <x v="0"/>
    <x v="4"/>
    <x v="0"/>
  </r>
  <r>
    <s v="T000663"/>
    <d v="2024-10-24T00:00:00"/>
    <x v="4"/>
    <x v="3"/>
    <x v="4"/>
    <x v="1"/>
    <s v="India"/>
    <x v="6"/>
    <x v="10"/>
    <s v="C00663"/>
    <n v="57"/>
    <s v="Male"/>
    <x v="1"/>
    <x v="3"/>
    <x v="1"/>
    <s v="Full Board"/>
    <n v="12578.63"/>
    <n v="4490.34"/>
    <x v="1"/>
    <s v="Cancelled"/>
    <x v="3"/>
    <x v="28"/>
    <x v="2"/>
    <x v="2"/>
    <x v="1"/>
  </r>
  <r>
    <s v="T000664"/>
    <d v="2024-10-25T00:00:00"/>
    <x v="2"/>
    <x v="2"/>
    <x v="0"/>
    <x v="0"/>
    <s v="India"/>
    <x v="0"/>
    <x v="8"/>
    <s v="C00664"/>
    <n v="48"/>
    <s v="Male"/>
    <x v="0"/>
    <x v="3"/>
    <x v="3"/>
    <s v="Full Board"/>
    <n v="34867.14"/>
    <n v="4052.91"/>
    <x v="3"/>
    <s v="Cancelled"/>
    <x v="1"/>
    <x v="16"/>
    <x v="4"/>
    <x v="0"/>
    <x v="1"/>
  </r>
  <r>
    <s v="T000665"/>
    <d v="2024-10-26T00:00:00"/>
    <x v="2"/>
    <x v="2"/>
    <x v="3"/>
    <x v="1"/>
    <s v="India"/>
    <x v="5"/>
    <x v="1"/>
    <s v="C00665"/>
    <n v="58"/>
    <s v="Male"/>
    <x v="4"/>
    <x v="3"/>
    <x v="0"/>
    <s v="No Meals"/>
    <n v="24322.28"/>
    <n v="1612.36"/>
    <x v="3"/>
    <s v="Pending"/>
    <x v="2"/>
    <x v="39"/>
    <x v="0"/>
    <x v="3"/>
    <x v="1"/>
  </r>
  <r>
    <s v="T000666"/>
    <d v="2024-10-27T00:00:00"/>
    <x v="4"/>
    <x v="3"/>
    <x v="2"/>
    <x v="0"/>
    <s v="India"/>
    <x v="2"/>
    <x v="3"/>
    <s v="C00666"/>
    <n v="54"/>
    <s v="Female"/>
    <x v="6"/>
    <x v="1"/>
    <x v="1"/>
    <s v="Half Board"/>
    <n v="43195.49"/>
    <n v="2529.02"/>
    <x v="0"/>
    <s v="Confirmed"/>
    <x v="0"/>
    <x v="35"/>
    <x v="3"/>
    <x v="0"/>
    <x v="0"/>
  </r>
  <r>
    <s v="T000667"/>
    <d v="2024-10-28T00:00:00"/>
    <x v="1"/>
    <x v="1"/>
    <x v="1"/>
    <x v="1"/>
    <s v="India"/>
    <x v="1"/>
    <x v="4"/>
    <s v="C00667"/>
    <n v="19"/>
    <s v="Female"/>
    <x v="0"/>
    <x v="2"/>
    <x v="1"/>
    <s v="Breakfast Only"/>
    <n v="40021.96"/>
    <n v="3752.57"/>
    <x v="2"/>
    <s v="Confirmed"/>
    <x v="2"/>
    <x v="34"/>
    <x v="1"/>
    <x v="1"/>
    <x v="1"/>
  </r>
  <r>
    <s v="T000668"/>
    <d v="2024-10-29T00:00:00"/>
    <x v="4"/>
    <x v="3"/>
    <x v="3"/>
    <x v="1"/>
    <s v="India"/>
    <x v="5"/>
    <x v="10"/>
    <s v="C00668"/>
    <n v="19"/>
    <s v="Other"/>
    <x v="0"/>
    <x v="3"/>
    <x v="2"/>
    <s v="Half Board"/>
    <n v="37597.19"/>
    <n v="966"/>
    <x v="1"/>
    <s v="Cancelled"/>
    <x v="0"/>
    <x v="11"/>
    <x v="0"/>
    <x v="0"/>
    <x v="0"/>
  </r>
  <r>
    <s v="T000669"/>
    <d v="2024-10-30T00:00:00"/>
    <x v="3"/>
    <x v="1"/>
    <x v="2"/>
    <x v="0"/>
    <s v="India"/>
    <x v="2"/>
    <x v="0"/>
    <s v="C00669"/>
    <n v="56"/>
    <s v="Other"/>
    <x v="0"/>
    <x v="3"/>
    <x v="0"/>
    <s v="Breakfast Only"/>
    <n v="36533.17"/>
    <n v="157.99"/>
    <x v="1"/>
    <s v="Pending"/>
    <x v="1"/>
    <x v="9"/>
    <x v="4"/>
    <x v="4"/>
    <x v="0"/>
  </r>
  <r>
    <s v="T000670"/>
    <d v="2024-10-31T00:00:00"/>
    <x v="4"/>
    <x v="3"/>
    <x v="4"/>
    <x v="1"/>
    <s v="India"/>
    <x v="6"/>
    <x v="10"/>
    <s v="C00670"/>
    <n v="66"/>
    <s v="Other"/>
    <x v="5"/>
    <x v="3"/>
    <x v="0"/>
    <s v="No Meals"/>
    <n v="30221.96"/>
    <n v="4261.5200000000004"/>
    <x v="2"/>
    <s v="Confirmed"/>
    <x v="0"/>
    <x v="17"/>
    <x v="1"/>
    <x v="2"/>
    <x v="0"/>
  </r>
  <r>
    <s v="T000671"/>
    <d v="2024-11-01T00:00:00"/>
    <x v="2"/>
    <x v="2"/>
    <x v="4"/>
    <x v="1"/>
    <s v="India"/>
    <x v="6"/>
    <x v="2"/>
    <s v="C00671"/>
    <n v="59"/>
    <s v="Female"/>
    <x v="4"/>
    <x v="3"/>
    <x v="3"/>
    <s v="Half Board"/>
    <n v="7750.11"/>
    <n v="687.75"/>
    <x v="1"/>
    <s v="Confirmed"/>
    <x v="1"/>
    <x v="24"/>
    <x v="0"/>
    <x v="0"/>
    <x v="0"/>
  </r>
  <r>
    <s v="T000672"/>
    <d v="2024-11-02T00:00:00"/>
    <x v="4"/>
    <x v="3"/>
    <x v="3"/>
    <x v="1"/>
    <s v="India"/>
    <x v="5"/>
    <x v="5"/>
    <s v="C00672"/>
    <n v="61"/>
    <s v="Other"/>
    <x v="2"/>
    <x v="2"/>
    <x v="3"/>
    <s v="Full Board"/>
    <n v="34497.03"/>
    <n v="4447.0600000000004"/>
    <x v="2"/>
    <s v="Pending"/>
    <x v="0"/>
    <x v="34"/>
    <x v="1"/>
    <x v="1"/>
    <x v="0"/>
  </r>
  <r>
    <s v="T000673"/>
    <d v="2024-11-03T00:00:00"/>
    <x v="1"/>
    <x v="1"/>
    <x v="3"/>
    <x v="1"/>
    <s v="India"/>
    <x v="5"/>
    <x v="11"/>
    <s v="C00673"/>
    <n v="51"/>
    <s v="Other"/>
    <x v="3"/>
    <x v="3"/>
    <x v="3"/>
    <s v="Breakfast Only"/>
    <n v="26011.5"/>
    <n v="4568.04"/>
    <x v="2"/>
    <s v="Pending"/>
    <x v="2"/>
    <x v="21"/>
    <x v="0"/>
    <x v="1"/>
    <x v="0"/>
  </r>
  <r>
    <s v="T000674"/>
    <d v="2024-11-04T00:00:00"/>
    <x v="0"/>
    <x v="0"/>
    <x v="0"/>
    <x v="0"/>
    <s v="India"/>
    <x v="4"/>
    <x v="10"/>
    <s v="C00674"/>
    <n v="59"/>
    <s v="Female"/>
    <x v="6"/>
    <x v="1"/>
    <x v="1"/>
    <s v="Full Board"/>
    <n v="26129.96"/>
    <n v="2303.5"/>
    <x v="3"/>
    <s v="Confirmed"/>
    <x v="1"/>
    <x v="2"/>
    <x v="3"/>
    <x v="2"/>
    <x v="1"/>
  </r>
  <r>
    <s v="T000675"/>
    <d v="2024-11-05T00:00:00"/>
    <x v="4"/>
    <x v="3"/>
    <x v="2"/>
    <x v="0"/>
    <s v="India"/>
    <x v="2"/>
    <x v="1"/>
    <s v="C00675"/>
    <n v="37"/>
    <s v="Other"/>
    <x v="6"/>
    <x v="1"/>
    <x v="0"/>
    <s v="No Meals"/>
    <n v="22056"/>
    <n v="4033.91"/>
    <x v="2"/>
    <s v="Cancelled"/>
    <x v="3"/>
    <x v="12"/>
    <x v="1"/>
    <x v="1"/>
    <x v="0"/>
  </r>
  <r>
    <s v="T000676"/>
    <d v="2024-11-06T00:00:00"/>
    <x v="1"/>
    <x v="1"/>
    <x v="3"/>
    <x v="1"/>
    <s v="India"/>
    <x v="5"/>
    <x v="5"/>
    <s v="C00676"/>
    <n v="50"/>
    <s v="Female"/>
    <x v="1"/>
    <x v="2"/>
    <x v="2"/>
    <s v="No Meals"/>
    <n v="46808.19"/>
    <n v="1815.96"/>
    <x v="1"/>
    <s v="Cancelled"/>
    <x v="3"/>
    <x v="23"/>
    <x v="1"/>
    <x v="2"/>
    <x v="1"/>
  </r>
  <r>
    <s v="T000677"/>
    <d v="2024-11-07T00:00:00"/>
    <x v="1"/>
    <x v="1"/>
    <x v="0"/>
    <x v="0"/>
    <s v="India"/>
    <x v="0"/>
    <x v="7"/>
    <s v="C00677"/>
    <n v="21"/>
    <s v="Female"/>
    <x v="4"/>
    <x v="0"/>
    <x v="1"/>
    <s v="Breakfast Only"/>
    <n v="16225.31"/>
    <n v="4291.32"/>
    <x v="2"/>
    <s v="Confirmed"/>
    <x v="3"/>
    <x v="32"/>
    <x v="4"/>
    <x v="4"/>
    <x v="1"/>
  </r>
  <r>
    <s v="T000678"/>
    <d v="2024-11-08T00:00:00"/>
    <x v="2"/>
    <x v="2"/>
    <x v="0"/>
    <x v="0"/>
    <s v="India"/>
    <x v="0"/>
    <x v="9"/>
    <s v="C00678"/>
    <n v="62"/>
    <s v="Male"/>
    <x v="2"/>
    <x v="3"/>
    <x v="1"/>
    <s v="Half Board"/>
    <n v="19246.75"/>
    <n v="4123.41"/>
    <x v="3"/>
    <s v="Cancelled"/>
    <x v="2"/>
    <x v="4"/>
    <x v="0"/>
    <x v="2"/>
    <x v="1"/>
  </r>
  <r>
    <s v="T000679"/>
    <d v="2024-11-09T00:00:00"/>
    <x v="1"/>
    <x v="1"/>
    <x v="3"/>
    <x v="1"/>
    <s v="India"/>
    <x v="5"/>
    <x v="4"/>
    <s v="C00679"/>
    <n v="61"/>
    <s v="Male"/>
    <x v="0"/>
    <x v="3"/>
    <x v="2"/>
    <s v="Full Board"/>
    <n v="48336.84"/>
    <n v="392.59"/>
    <x v="3"/>
    <s v="Cancelled"/>
    <x v="3"/>
    <x v="18"/>
    <x v="0"/>
    <x v="3"/>
    <x v="1"/>
  </r>
  <r>
    <s v="T000680"/>
    <d v="2024-11-10T00:00:00"/>
    <x v="1"/>
    <x v="1"/>
    <x v="4"/>
    <x v="1"/>
    <s v="India"/>
    <x v="6"/>
    <x v="0"/>
    <s v="C00680"/>
    <n v="28"/>
    <s v="Female"/>
    <x v="3"/>
    <x v="1"/>
    <x v="2"/>
    <s v="Full Board"/>
    <n v="41456.92"/>
    <n v="2913.01"/>
    <x v="0"/>
    <s v="Pending"/>
    <x v="1"/>
    <x v="33"/>
    <x v="4"/>
    <x v="1"/>
    <x v="0"/>
  </r>
  <r>
    <s v="T000681"/>
    <d v="2024-11-11T00:00:00"/>
    <x v="1"/>
    <x v="1"/>
    <x v="2"/>
    <x v="0"/>
    <s v="India"/>
    <x v="3"/>
    <x v="4"/>
    <s v="C00681"/>
    <n v="59"/>
    <s v="Female"/>
    <x v="4"/>
    <x v="2"/>
    <x v="3"/>
    <s v="Breakfast Only"/>
    <n v="5633.89"/>
    <n v="3199.99"/>
    <x v="1"/>
    <s v="Pending"/>
    <x v="3"/>
    <x v="27"/>
    <x v="0"/>
    <x v="1"/>
    <x v="1"/>
  </r>
  <r>
    <s v="T000682"/>
    <d v="2024-11-12T00:00:00"/>
    <x v="1"/>
    <x v="1"/>
    <x v="2"/>
    <x v="0"/>
    <s v="India"/>
    <x v="2"/>
    <x v="7"/>
    <s v="C00682"/>
    <n v="64"/>
    <s v="Male"/>
    <x v="4"/>
    <x v="0"/>
    <x v="2"/>
    <s v="Breakfast Only"/>
    <n v="45774.84"/>
    <n v="4.29"/>
    <x v="2"/>
    <s v="Pending"/>
    <x v="1"/>
    <x v="16"/>
    <x v="4"/>
    <x v="0"/>
    <x v="0"/>
  </r>
  <r>
    <s v="T000683"/>
    <d v="2024-11-13T00:00:00"/>
    <x v="3"/>
    <x v="1"/>
    <x v="4"/>
    <x v="1"/>
    <s v="India"/>
    <x v="6"/>
    <x v="6"/>
    <s v="C00683"/>
    <n v="22"/>
    <s v="Other"/>
    <x v="5"/>
    <x v="1"/>
    <x v="2"/>
    <s v="Breakfast Only"/>
    <n v="15199.13"/>
    <n v="4899.59"/>
    <x v="1"/>
    <s v="Cancelled"/>
    <x v="3"/>
    <x v="36"/>
    <x v="4"/>
    <x v="3"/>
    <x v="0"/>
  </r>
  <r>
    <s v="T000684"/>
    <d v="2024-11-14T00:00:00"/>
    <x v="3"/>
    <x v="1"/>
    <x v="3"/>
    <x v="1"/>
    <s v="India"/>
    <x v="5"/>
    <x v="11"/>
    <s v="C00684"/>
    <n v="42"/>
    <s v="Other"/>
    <x v="2"/>
    <x v="0"/>
    <x v="2"/>
    <s v="No Meals"/>
    <n v="36766.959999999999"/>
    <n v="2032.84"/>
    <x v="1"/>
    <s v="Pending"/>
    <x v="0"/>
    <x v="0"/>
    <x v="0"/>
    <x v="0"/>
    <x v="1"/>
  </r>
  <r>
    <s v="T000685"/>
    <d v="2024-11-15T00:00:00"/>
    <x v="2"/>
    <x v="2"/>
    <x v="2"/>
    <x v="0"/>
    <s v="India"/>
    <x v="3"/>
    <x v="10"/>
    <s v="C00685"/>
    <n v="66"/>
    <s v="Other"/>
    <x v="3"/>
    <x v="2"/>
    <x v="2"/>
    <s v="No Meals"/>
    <n v="29888.29"/>
    <n v="2586.7199999999998"/>
    <x v="2"/>
    <s v="Pending"/>
    <x v="1"/>
    <x v="21"/>
    <x v="0"/>
    <x v="2"/>
    <x v="0"/>
  </r>
  <r>
    <s v="T000686"/>
    <d v="2024-11-16T00:00:00"/>
    <x v="4"/>
    <x v="3"/>
    <x v="3"/>
    <x v="1"/>
    <s v="India"/>
    <x v="5"/>
    <x v="2"/>
    <s v="C00686"/>
    <n v="54"/>
    <s v="Female"/>
    <x v="0"/>
    <x v="2"/>
    <x v="3"/>
    <s v="Full Board"/>
    <n v="29156.53"/>
    <n v="974.02"/>
    <x v="3"/>
    <s v="Confirmed"/>
    <x v="3"/>
    <x v="21"/>
    <x v="2"/>
    <x v="4"/>
    <x v="1"/>
  </r>
  <r>
    <s v="T000687"/>
    <d v="2024-11-17T00:00:00"/>
    <x v="1"/>
    <x v="1"/>
    <x v="3"/>
    <x v="1"/>
    <s v="India"/>
    <x v="5"/>
    <x v="8"/>
    <s v="C00687"/>
    <n v="51"/>
    <s v="Male"/>
    <x v="4"/>
    <x v="2"/>
    <x v="1"/>
    <s v="Half Board"/>
    <n v="37306.46"/>
    <n v="3054.59"/>
    <x v="1"/>
    <s v="Pending"/>
    <x v="3"/>
    <x v="32"/>
    <x v="4"/>
    <x v="1"/>
    <x v="0"/>
  </r>
  <r>
    <s v="T000688"/>
    <d v="2024-11-18T00:00:00"/>
    <x v="4"/>
    <x v="3"/>
    <x v="0"/>
    <x v="0"/>
    <s v="India"/>
    <x v="4"/>
    <x v="5"/>
    <s v="C00688"/>
    <n v="26"/>
    <s v="Other"/>
    <x v="6"/>
    <x v="1"/>
    <x v="0"/>
    <s v="Breakfast Only"/>
    <n v="14323.17"/>
    <n v="4053.1"/>
    <x v="0"/>
    <s v="Confirmed"/>
    <x v="3"/>
    <x v="20"/>
    <x v="0"/>
    <x v="4"/>
    <x v="0"/>
  </r>
  <r>
    <s v="T000689"/>
    <d v="2024-11-19T00:00:00"/>
    <x v="4"/>
    <x v="3"/>
    <x v="4"/>
    <x v="1"/>
    <s v="India"/>
    <x v="6"/>
    <x v="0"/>
    <s v="C00689"/>
    <n v="23"/>
    <s v="Male"/>
    <x v="6"/>
    <x v="2"/>
    <x v="0"/>
    <s v="No Meals"/>
    <n v="12156.13"/>
    <n v="2929.46"/>
    <x v="1"/>
    <s v="Cancelled"/>
    <x v="1"/>
    <x v="19"/>
    <x v="2"/>
    <x v="2"/>
    <x v="0"/>
  </r>
  <r>
    <s v="T000690"/>
    <d v="2024-11-20T00:00:00"/>
    <x v="2"/>
    <x v="2"/>
    <x v="3"/>
    <x v="1"/>
    <s v="India"/>
    <x v="5"/>
    <x v="7"/>
    <s v="C00690"/>
    <n v="35"/>
    <s v="Male"/>
    <x v="3"/>
    <x v="1"/>
    <x v="1"/>
    <s v="Half Board"/>
    <n v="34336.07"/>
    <n v="3940.18"/>
    <x v="3"/>
    <s v="Pending"/>
    <x v="1"/>
    <x v="36"/>
    <x v="4"/>
    <x v="2"/>
    <x v="1"/>
  </r>
  <r>
    <s v="T000691"/>
    <d v="2024-11-21T00:00:00"/>
    <x v="1"/>
    <x v="1"/>
    <x v="1"/>
    <x v="1"/>
    <s v="India"/>
    <x v="1"/>
    <x v="11"/>
    <s v="C00691"/>
    <n v="31"/>
    <s v="Female"/>
    <x v="0"/>
    <x v="1"/>
    <x v="0"/>
    <s v="Breakfast Only"/>
    <n v="18076.07"/>
    <n v="3655.54"/>
    <x v="0"/>
    <s v="Confirmed"/>
    <x v="3"/>
    <x v="7"/>
    <x v="3"/>
    <x v="3"/>
    <x v="1"/>
  </r>
  <r>
    <s v="T000692"/>
    <d v="2024-11-22T00:00:00"/>
    <x v="1"/>
    <x v="1"/>
    <x v="4"/>
    <x v="1"/>
    <s v="India"/>
    <x v="6"/>
    <x v="4"/>
    <s v="C00692"/>
    <n v="36"/>
    <s v="Other"/>
    <x v="3"/>
    <x v="3"/>
    <x v="0"/>
    <s v="Half Board"/>
    <n v="48827.76"/>
    <n v="1188.29"/>
    <x v="0"/>
    <s v="Confirmed"/>
    <x v="0"/>
    <x v="16"/>
    <x v="4"/>
    <x v="0"/>
    <x v="0"/>
  </r>
  <r>
    <s v="T000693"/>
    <d v="2024-11-23T00:00:00"/>
    <x v="0"/>
    <x v="0"/>
    <x v="2"/>
    <x v="0"/>
    <s v="India"/>
    <x v="2"/>
    <x v="2"/>
    <s v="C00693"/>
    <n v="31"/>
    <s v="Male"/>
    <x v="4"/>
    <x v="1"/>
    <x v="1"/>
    <s v="Breakfast Only"/>
    <n v="25318.03"/>
    <n v="2179.06"/>
    <x v="0"/>
    <s v="Confirmed"/>
    <x v="1"/>
    <x v="35"/>
    <x v="2"/>
    <x v="1"/>
    <x v="0"/>
  </r>
  <r>
    <s v="T000694"/>
    <d v="2024-11-24T00:00:00"/>
    <x v="4"/>
    <x v="3"/>
    <x v="0"/>
    <x v="0"/>
    <s v="India"/>
    <x v="4"/>
    <x v="2"/>
    <s v="C00694"/>
    <n v="57"/>
    <s v="Female"/>
    <x v="5"/>
    <x v="1"/>
    <x v="0"/>
    <s v="Half Board"/>
    <n v="10021.870000000001"/>
    <n v="743.13"/>
    <x v="0"/>
    <s v="Cancelled"/>
    <x v="1"/>
    <x v="16"/>
    <x v="4"/>
    <x v="1"/>
    <x v="1"/>
  </r>
  <r>
    <s v="T000695"/>
    <d v="2024-11-25T00:00:00"/>
    <x v="4"/>
    <x v="3"/>
    <x v="2"/>
    <x v="0"/>
    <s v="India"/>
    <x v="2"/>
    <x v="7"/>
    <s v="C00695"/>
    <n v="34"/>
    <s v="Female"/>
    <x v="5"/>
    <x v="3"/>
    <x v="0"/>
    <s v="Full Board"/>
    <n v="35861.68"/>
    <n v="209.68"/>
    <x v="2"/>
    <s v="Pending"/>
    <x v="0"/>
    <x v="10"/>
    <x v="1"/>
    <x v="4"/>
    <x v="0"/>
  </r>
  <r>
    <s v="T000696"/>
    <d v="2024-11-26T00:00:00"/>
    <x v="3"/>
    <x v="1"/>
    <x v="2"/>
    <x v="0"/>
    <s v="India"/>
    <x v="2"/>
    <x v="0"/>
    <s v="C00696"/>
    <n v="52"/>
    <s v="Female"/>
    <x v="6"/>
    <x v="0"/>
    <x v="1"/>
    <s v="Breakfast Only"/>
    <n v="18777.169999999998"/>
    <n v="315.33999999999997"/>
    <x v="2"/>
    <s v="Cancelled"/>
    <x v="2"/>
    <x v="35"/>
    <x v="3"/>
    <x v="3"/>
    <x v="1"/>
  </r>
  <r>
    <s v="T000697"/>
    <d v="2024-11-27T00:00:00"/>
    <x v="0"/>
    <x v="0"/>
    <x v="4"/>
    <x v="1"/>
    <s v="India"/>
    <x v="6"/>
    <x v="0"/>
    <s v="C00697"/>
    <n v="46"/>
    <s v="Other"/>
    <x v="5"/>
    <x v="3"/>
    <x v="0"/>
    <s v="Breakfast Only"/>
    <n v="11686.43"/>
    <n v="4712.5"/>
    <x v="2"/>
    <s v="Confirmed"/>
    <x v="0"/>
    <x v="37"/>
    <x v="3"/>
    <x v="2"/>
    <x v="1"/>
  </r>
  <r>
    <s v="T000698"/>
    <d v="2024-11-28T00:00:00"/>
    <x v="3"/>
    <x v="1"/>
    <x v="2"/>
    <x v="0"/>
    <s v="India"/>
    <x v="3"/>
    <x v="11"/>
    <s v="C00698"/>
    <n v="59"/>
    <s v="Other"/>
    <x v="1"/>
    <x v="3"/>
    <x v="2"/>
    <s v="Full Board"/>
    <n v="24027.05"/>
    <n v="4922.6899999999996"/>
    <x v="0"/>
    <s v="Cancelled"/>
    <x v="3"/>
    <x v="4"/>
    <x v="0"/>
    <x v="3"/>
    <x v="1"/>
  </r>
  <r>
    <s v="T000699"/>
    <d v="2024-11-29T00:00:00"/>
    <x v="3"/>
    <x v="1"/>
    <x v="3"/>
    <x v="1"/>
    <s v="India"/>
    <x v="5"/>
    <x v="6"/>
    <s v="C00699"/>
    <n v="34"/>
    <s v="Female"/>
    <x v="3"/>
    <x v="2"/>
    <x v="1"/>
    <s v="Breakfast Only"/>
    <n v="48390"/>
    <n v="474.89"/>
    <x v="3"/>
    <s v="Cancelled"/>
    <x v="1"/>
    <x v="23"/>
    <x v="1"/>
    <x v="1"/>
    <x v="1"/>
  </r>
  <r>
    <s v="T000700"/>
    <d v="2024-11-30T00:00:00"/>
    <x v="3"/>
    <x v="1"/>
    <x v="2"/>
    <x v="0"/>
    <s v="India"/>
    <x v="2"/>
    <x v="4"/>
    <s v="C00700"/>
    <n v="60"/>
    <s v="Other"/>
    <x v="5"/>
    <x v="2"/>
    <x v="3"/>
    <s v="Breakfast Only"/>
    <n v="23514.38"/>
    <n v="1675.97"/>
    <x v="1"/>
    <s v="Confirmed"/>
    <x v="1"/>
    <x v="3"/>
    <x v="3"/>
    <x v="0"/>
    <x v="0"/>
  </r>
  <r>
    <s v="T000701"/>
    <d v="2024-12-01T00:00:00"/>
    <x v="2"/>
    <x v="2"/>
    <x v="0"/>
    <x v="0"/>
    <s v="India"/>
    <x v="0"/>
    <x v="1"/>
    <s v="C00701"/>
    <n v="25"/>
    <s v="Other"/>
    <x v="1"/>
    <x v="3"/>
    <x v="0"/>
    <s v="No Meals"/>
    <n v="20630.02"/>
    <n v="572.1"/>
    <x v="0"/>
    <s v="Pending"/>
    <x v="1"/>
    <x v="12"/>
    <x v="1"/>
    <x v="4"/>
    <x v="1"/>
  </r>
  <r>
    <s v="T000702"/>
    <d v="2024-12-02T00:00:00"/>
    <x v="2"/>
    <x v="2"/>
    <x v="0"/>
    <x v="0"/>
    <s v="India"/>
    <x v="4"/>
    <x v="6"/>
    <s v="C00702"/>
    <n v="18"/>
    <s v="Male"/>
    <x v="1"/>
    <x v="2"/>
    <x v="3"/>
    <s v="Full Board"/>
    <n v="25002.9"/>
    <n v="4171.1400000000003"/>
    <x v="3"/>
    <s v="Pending"/>
    <x v="1"/>
    <x v="39"/>
    <x v="0"/>
    <x v="2"/>
    <x v="1"/>
  </r>
  <r>
    <s v="T000703"/>
    <d v="2024-12-03T00:00:00"/>
    <x v="3"/>
    <x v="1"/>
    <x v="1"/>
    <x v="1"/>
    <s v="India"/>
    <x v="1"/>
    <x v="6"/>
    <s v="C00703"/>
    <n v="62"/>
    <s v="Female"/>
    <x v="2"/>
    <x v="3"/>
    <x v="0"/>
    <s v="No Meals"/>
    <n v="5545.21"/>
    <n v="2481.4899999999998"/>
    <x v="1"/>
    <s v="Cancelled"/>
    <x v="2"/>
    <x v="38"/>
    <x v="0"/>
    <x v="2"/>
    <x v="1"/>
  </r>
  <r>
    <s v="T000704"/>
    <d v="2024-12-04T00:00:00"/>
    <x v="0"/>
    <x v="0"/>
    <x v="0"/>
    <x v="0"/>
    <s v="India"/>
    <x v="4"/>
    <x v="0"/>
    <s v="C00704"/>
    <n v="53"/>
    <s v="Female"/>
    <x v="6"/>
    <x v="2"/>
    <x v="2"/>
    <s v="Full Board"/>
    <n v="10989.57"/>
    <n v="3106.31"/>
    <x v="0"/>
    <s v="Pending"/>
    <x v="1"/>
    <x v="22"/>
    <x v="4"/>
    <x v="2"/>
    <x v="1"/>
  </r>
  <r>
    <s v="T000705"/>
    <d v="2024-12-05T00:00:00"/>
    <x v="4"/>
    <x v="3"/>
    <x v="2"/>
    <x v="0"/>
    <s v="India"/>
    <x v="3"/>
    <x v="5"/>
    <s v="C00705"/>
    <n v="24"/>
    <s v="Other"/>
    <x v="3"/>
    <x v="1"/>
    <x v="1"/>
    <s v="Half Board"/>
    <n v="43235.360000000001"/>
    <n v="2699.55"/>
    <x v="1"/>
    <s v="Confirmed"/>
    <x v="1"/>
    <x v="20"/>
    <x v="0"/>
    <x v="0"/>
    <x v="0"/>
  </r>
  <r>
    <s v="T000706"/>
    <d v="2024-12-06T00:00:00"/>
    <x v="0"/>
    <x v="0"/>
    <x v="0"/>
    <x v="0"/>
    <s v="India"/>
    <x v="4"/>
    <x v="5"/>
    <s v="C00706"/>
    <n v="63"/>
    <s v="Female"/>
    <x v="1"/>
    <x v="2"/>
    <x v="3"/>
    <s v="Full Board"/>
    <n v="49011.55"/>
    <n v="3551.27"/>
    <x v="2"/>
    <s v="Pending"/>
    <x v="2"/>
    <x v="25"/>
    <x v="3"/>
    <x v="1"/>
    <x v="1"/>
  </r>
  <r>
    <s v="T000707"/>
    <d v="2024-12-07T00:00:00"/>
    <x v="1"/>
    <x v="1"/>
    <x v="4"/>
    <x v="1"/>
    <s v="India"/>
    <x v="6"/>
    <x v="9"/>
    <s v="C00707"/>
    <n v="22"/>
    <s v="Female"/>
    <x v="4"/>
    <x v="2"/>
    <x v="1"/>
    <s v="Full Board"/>
    <n v="12107.37"/>
    <n v="1595.66"/>
    <x v="2"/>
    <s v="Cancelled"/>
    <x v="3"/>
    <x v="12"/>
    <x v="1"/>
    <x v="1"/>
    <x v="0"/>
  </r>
  <r>
    <s v="T000708"/>
    <d v="2024-12-08T00:00:00"/>
    <x v="2"/>
    <x v="2"/>
    <x v="0"/>
    <x v="0"/>
    <s v="India"/>
    <x v="0"/>
    <x v="4"/>
    <s v="C00708"/>
    <n v="41"/>
    <s v="Female"/>
    <x v="5"/>
    <x v="1"/>
    <x v="3"/>
    <s v="No Meals"/>
    <n v="29098.3"/>
    <n v="687.47"/>
    <x v="2"/>
    <s v="Confirmed"/>
    <x v="3"/>
    <x v="21"/>
    <x v="0"/>
    <x v="3"/>
    <x v="1"/>
  </r>
  <r>
    <s v="T000709"/>
    <d v="2024-12-09T00:00:00"/>
    <x v="4"/>
    <x v="3"/>
    <x v="3"/>
    <x v="1"/>
    <s v="India"/>
    <x v="5"/>
    <x v="7"/>
    <s v="C00709"/>
    <n v="45"/>
    <s v="Other"/>
    <x v="2"/>
    <x v="3"/>
    <x v="0"/>
    <s v="Breakfast Only"/>
    <n v="48485"/>
    <n v="88.1"/>
    <x v="3"/>
    <s v="Confirmed"/>
    <x v="2"/>
    <x v="21"/>
    <x v="0"/>
    <x v="3"/>
    <x v="1"/>
  </r>
  <r>
    <s v="T000710"/>
    <d v="2024-12-10T00:00:00"/>
    <x v="4"/>
    <x v="3"/>
    <x v="4"/>
    <x v="1"/>
    <s v="India"/>
    <x v="6"/>
    <x v="5"/>
    <s v="C00710"/>
    <n v="60"/>
    <s v="Other"/>
    <x v="0"/>
    <x v="2"/>
    <x v="2"/>
    <s v="Full Board"/>
    <n v="12046.16"/>
    <n v="2228.46"/>
    <x v="2"/>
    <s v="Confirmed"/>
    <x v="3"/>
    <x v="3"/>
    <x v="3"/>
    <x v="1"/>
    <x v="0"/>
  </r>
  <r>
    <s v="T000711"/>
    <d v="2024-12-11T00:00:00"/>
    <x v="1"/>
    <x v="1"/>
    <x v="1"/>
    <x v="1"/>
    <s v="India"/>
    <x v="1"/>
    <x v="11"/>
    <s v="C00711"/>
    <n v="34"/>
    <s v="Other"/>
    <x v="5"/>
    <x v="2"/>
    <x v="3"/>
    <s v="Breakfast Only"/>
    <n v="13383.93"/>
    <n v="4539.17"/>
    <x v="3"/>
    <s v="Cancelled"/>
    <x v="3"/>
    <x v="19"/>
    <x v="3"/>
    <x v="2"/>
    <x v="1"/>
  </r>
  <r>
    <s v="T000712"/>
    <d v="2024-12-12T00:00:00"/>
    <x v="1"/>
    <x v="1"/>
    <x v="3"/>
    <x v="1"/>
    <s v="India"/>
    <x v="5"/>
    <x v="2"/>
    <s v="C00712"/>
    <n v="54"/>
    <s v="Male"/>
    <x v="5"/>
    <x v="1"/>
    <x v="3"/>
    <s v="Full Board"/>
    <n v="46706.74"/>
    <n v="1526.33"/>
    <x v="2"/>
    <s v="Cancelled"/>
    <x v="0"/>
    <x v="40"/>
    <x v="3"/>
    <x v="0"/>
    <x v="0"/>
  </r>
  <r>
    <s v="T000713"/>
    <d v="2024-12-13T00:00:00"/>
    <x v="3"/>
    <x v="1"/>
    <x v="2"/>
    <x v="0"/>
    <s v="India"/>
    <x v="2"/>
    <x v="7"/>
    <s v="C00713"/>
    <n v="37"/>
    <s v="Female"/>
    <x v="5"/>
    <x v="1"/>
    <x v="2"/>
    <s v="No Meals"/>
    <n v="36755.94"/>
    <n v="979.78"/>
    <x v="2"/>
    <s v="Pending"/>
    <x v="0"/>
    <x v="40"/>
    <x v="3"/>
    <x v="1"/>
    <x v="1"/>
  </r>
  <r>
    <s v="T000714"/>
    <d v="2024-12-14T00:00:00"/>
    <x v="2"/>
    <x v="2"/>
    <x v="2"/>
    <x v="0"/>
    <s v="India"/>
    <x v="3"/>
    <x v="4"/>
    <s v="C00714"/>
    <n v="20"/>
    <s v="Male"/>
    <x v="2"/>
    <x v="1"/>
    <x v="2"/>
    <s v="Full Board"/>
    <n v="11838.5"/>
    <n v="4630.21"/>
    <x v="2"/>
    <s v="Cancelled"/>
    <x v="0"/>
    <x v="30"/>
    <x v="0"/>
    <x v="0"/>
    <x v="0"/>
  </r>
  <r>
    <s v="T000715"/>
    <d v="2024-12-15T00:00:00"/>
    <x v="2"/>
    <x v="2"/>
    <x v="2"/>
    <x v="0"/>
    <s v="India"/>
    <x v="2"/>
    <x v="11"/>
    <s v="C00715"/>
    <n v="54"/>
    <s v="Other"/>
    <x v="0"/>
    <x v="0"/>
    <x v="2"/>
    <s v="Half Board"/>
    <n v="22707.17"/>
    <n v="527.24"/>
    <x v="3"/>
    <s v="Confirmed"/>
    <x v="2"/>
    <x v="37"/>
    <x v="3"/>
    <x v="4"/>
    <x v="0"/>
  </r>
  <r>
    <s v="T000716"/>
    <d v="2024-12-16T00:00:00"/>
    <x v="0"/>
    <x v="0"/>
    <x v="3"/>
    <x v="1"/>
    <s v="India"/>
    <x v="5"/>
    <x v="10"/>
    <s v="C00716"/>
    <n v="43"/>
    <s v="Male"/>
    <x v="6"/>
    <x v="1"/>
    <x v="2"/>
    <s v="Full Board"/>
    <n v="7532.15"/>
    <n v="259.01"/>
    <x v="1"/>
    <s v="Cancelled"/>
    <x v="1"/>
    <x v="26"/>
    <x v="2"/>
    <x v="2"/>
    <x v="0"/>
  </r>
  <r>
    <s v="T000717"/>
    <d v="2024-12-17T00:00:00"/>
    <x v="3"/>
    <x v="1"/>
    <x v="3"/>
    <x v="1"/>
    <s v="India"/>
    <x v="5"/>
    <x v="3"/>
    <s v="C00717"/>
    <n v="32"/>
    <s v="Female"/>
    <x v="3"/>
    <x v="3"/>
    <x v="2"/>
    <s v="Full Board"/>
    <n v="24470.22"/>
    <n v="4397.07"/>
    <x v="3"/>
    <s v="Cancelled"/>
    <x v="2"/>
    <x v="23"/>
    <x v="1"/>
    <x v="4"/>
    <x v="0"/>
  </r>
  <r>
    <s v="T000718"/>
    <d v="2024-12-18T00:00:00"/>
    <x v="3"/>
    <x v="1"/>
    <x v="3"/>
    <x v="1"/>
    <s v="India"/>
    <x v="5"/>
    <x v="5"/>
    <s v="C00718"/>
    <n v="68"/>
    <s v="Female"/>
    <x v="3"/>
    <x v="2"/>
    <x v="1"/>
    <s v="Breakfast Only"/>
    <n v="40005.57"/>
    <n v="3504.55"/>
    <x v="0"/>
    <s v="Pending"/>
    <x v="2"/>
    <x v="16"/>
    <x v="4"/>
    <x v="1"/>
    <x v="0"/>
  </r>
  <r>
    <s v="T000719"/>
    <d v="2024-12-19T00:00:00"/>
    <x v="3"/>
    <x v="1"/>
    <x v="4"/>
    <x v="1"/>
    <s v="India"/>
    <x v="6"/>
    <x v="5"/>
    <s v="C00719"/>
    <n v="65"/>
    <s v="Other"/>
    <x v="0"/>
    <x v="2"/>
    <x v="0"/>
    <s v="Breakfast Only"/>
    <n v="29928.74"/>
    <n v="2110.34"/>
    <x v="0"/>
    <s v="Confirmed"/>
    <x v="2"/>
    <x v="16"/>
    <x v="4"/>
    <x v="3"/>
    <x v="1"/>
  </r>
  <r>
    <s v="T000720"/>
    <d v="2024-12-20T00:00:00"/>
    <x v="3"/>
    <x v="1"/>
    <x v="4"/>
    <x v="1"/>
    <s v="India"/>
    <x v="6"/>
    <x v="9"/>
    <s v="C00720"/>
    <n v="25"/>
    <s v="Other"/>
    <x v="5"/>
    <x v="0"/>
    <x v="0"/>
    <s v="Half Board"/>
    <n v="34134.9"/>
    <n v="3761.72"/>
    <x v="3"/>
    <s v="Pending"/>
    <x v="2"/>
    <x v="27"/>
    <x v="0"/>
    <x v="1"/>
    <x v="0"/>
  </r>
  <r>
    <s v="T000721"/>
    <d v="2024-12-21T00:00:00"/>
    <x v="2"/>
    <x v="2"/>
    <x v="2"/>
    <x v="0"/>
    <s v="India"/>
    <x v="3"/>
    <x v="1"/>
    <s v="C00721"/>
    <n v="30"/>
    <s v="Male"/>
    <x v="4"/>
    <x v="2"/>
    <x v="3"/>
    <s v="Full Board"/>
    <n v="19706.91"/>
    <n v="3707.2"/>
    <x v="3"/>
    <s v="Pending"/>
    <x v="0"/>
    <x v="9"/>
    <x v="4"/>
    <x v="4"/>
    <x v="0"/>
  </r>
  <r>
    <s v="T000722"/>
    <d v="2024-12-22T00:00:00"/>
    <x v="2"/>
    <x v="2"/>
    <x v="0"/>
    <x v="0"/>
    <s v="India"/>
    <x v="4"/>
    <x v="9"/>
    <s v="C00722"/>
    <n v="65"/>
    <s v="Other"/>
    <x v="0"/>
    <x v="2"/>
    <x v="2"/>
    <s v="Breakfast Only"/>
    <n v="12262.82"/>
    <n v="200.3"/>
    <x v="1"/>
    <s v="Pending"/>
    <x v="2"/>
    <x v="40"/>
    <x v="3"/>
    <x v="0"/>
    <x v="1"/>
  </r>
  <r>
    <s v="T000723"/>
    <d v="2024-12-23T00:00:00"/>
    <x v="3"/>
    <x v="1"/>
    <x v="2"/>
    <x v="0"/>
    <s v="India"/>
    <x v="3"/>
    <x v="4"/>
    <s v="C00723"/>
    <n v="20"/>
    <s v="Male"/>
    <x v="0"/>
    <x v="3"/>
    <x v="1"/>
    <s v="Full Board"/>
    <n v="5590.25"/>
    <n v="3381.23"/>
    <x v="3"/>
    <s v="Confirmed"/>
    <x v="0"/>
    <x v="38"/>
    <x v="0"/>
    <x v="1"/>
    <x v="0"/>
  </r>
  <r>
    <s v="T000724"/>
    <d v="2024-12-24T00:00:00"/>
    <x v="0"/>
    <x v="0"/>
    <x v="1"/>
    <x v="1"/>
    <s v="India"/>
    <x v="1"/>
    <x v="9"/>
    <s v="C00724"/>
    <n v="18"/>
    <s v="Female"/>
    <x v="3"/>
    <x v="2"/>
    <x v="1"/>
    <s v="No Meals"/>
    <n v="41959.06"/>
    <n v="3204.36"/>
    <x v="2"/>
    <s v="Pending"/>
    <x v="1"/>
    <x v="27"/>
    <x v="0"/>
    <x v="3"/>
    <x v="1"/>
  </r>
  <r>
    <s v="T000725"/>
    <d v="2024-12-25T00:00:00"/>
    <x v="4"/>
    <x v="3"/>
    <x v="4"/>
    <x v="1"/>
    <s v="India"/>
    <x v="6"/>
    <x v="1"/>
    <s v="C00725"/>
    <n v="26"/>
    <s v="Female"/>
    <x v="1"/>
    <x v="3"/>
    <x v="3"/>
    <s v="No Meals"/>
    <n v="33649.46"/>
    <n v="4818.8999999999996"/>
    <x v="1"/>
    <s v="Confirmed"/>
    <x v="3"/>
    <x v="36"/>
    <x v="4"/>
    <x v="4"/>
    <x v="1"/>
  </r>
  <r>
    <s v="T000726"/>
    <d v="2024-12-26T00:00:00"/>
    <x v="4"/>
    <x v="3"/>
    <x v="3"/>
    <x v="1"/>
    <s v="India"/>
    <x v="5"/>
    <x v="1"/>
    <s v="C00726"/>
    <n v="48"/>
    <s v="Female"/>
    <x v="4"/>
    <x v="0"/>
    <x v="2"/>
    <s v="Half Board"/>
    <n v="15319.46"/>
    <n v="4833.1099999999997"/>
    <x v="3"/>
    <s v="Pending"/>
    <x v="0"/>
    <x v="37"/>
    <x v="3"/>
    <x v="1"/>
    <x v="0"/>
  </r>
  <r>
    <s v="T000727"/>
    <d v="2024-12-27T00:00:00"/>
    <x v="0"/>
    <x v="0"/>
    <x v="4"/>
    <x v="1"/>
    <s v="India"/>
    <x v="6"/>
    <x v="0"/>
    <s v="C00727"/>
    <n v="58"/>
    <s v="Female"/>
    <x v="3"/>
    <x v="3"/>
    <x v="0"/>
    <s v="No Meals"/>
    <n v="23829.53"/>
    <n v="1889"/>
    <x v="3"/>
    <s v="Pending"/>
    <x v="2"/>
    <x v="39"/>
    <x v="0"/>
    <x v="4"/>
    <x v="0"/>
  </r>
  <r>
    <s v="T000728"/>
    <d v="2024-12-28T00:00:00"/>
    <x v="3"/>
    <x v="1"/>
    <x v="3"/>
    <x v="1"/>
    <s v="India"/>
    <x v="5"/>
    <x v="2"/>
    <s v="C00728"/>
    <n v="43"/>
    <s v="Female"/>
    <x v="2"/>
    <x v="1"/>
    <x v="2"/>
    <s v="Breakfast Only"/>
    <n v="41064.949999999997"/>
    <n v="2949.21"/>
    <x v="0"/>
    <s v="Confirmed"/>
    <x v="1"/>
    <x v="28"/>
    <x v="3"/>
    <x v="4"/>
    <x v="0"/>
  </r>
  <r>
    <s v="T000729"/>
    <d v="2024-12-29T00:00:00"/>
    <x v="2"/>
    <x v="2"/>
    <x v="1"/>
    <x v="1"/>
    <s v="India"/>
    <x v="1"/>
    <x v="0"/>
    <s v="C00729"/>
    <n v="34"/>
    <s v="Male"/>
    <x v="0"/>
    <x v="1"/>
    <x v="1"/>
    <s v="Breakfast Only"/>
    <n v="29241.51"/>
    <n v="706.79"/>
    <x v="1"/>
    <s v="Cancelled"/>
    <x v="2"/>
    <x v="8"/>
    <x v="0"/>
    <x v="2"/>
    <x v="0"/>
  </r>
  <r>
    <s v="T000730"/>
    <d v="2024-12-30T00:00:00"/>
    <x v="4"/>
    <x v="3"/>
    <x v="1"/>
    <x v="1"/>
    <s v="India"/>
    <x v="1"/>
    <x v="3"/>
    <s v="C00730"/>
    <n v="51"/>
    <s v="Female"/>
    <x v="1"/>
    <x v="0"/>
    <x v="2"/>
    <s v="Half Board"/>
    <n v="18507.189999999999"/>
    <n v="332.28"/>
    <x v="0"/>
    <s v="Pending"/>
    <x v="1"/>
    <x v="21"/>
    <x v="0"/>
    <x v="0"/>
    <x v="0"/>
  </r>
  <r>
    <s v="T000731"/>
    <d v="2024-12-31T00:00:00"/>
    <x v="1"/>
    <x v="1"/>
    <x v="4"/>
    <x v="1"/>
    <s v="India"/>
    <x v="6"/>
    <x v="11"/>
    <s v="C00731"/>
    <n v="26"/>
    <s v="Male"/>
    <x v="4"/>
    <x v="2"/>
    <x v="0"/>
    <s v="Full Board"/>
    <n v="17023.3"/>
    <n v="2163.9"/>
    <x v="3"/>
    <s v="Cancelled"/>
    <x v="3"/>
    <x v="28"/>
    <x v="3"/>
    <x v="2"/>
    <x v="0"/>
  </r>
  <r>
    <s v="T000732"/>
    <d v="2025-01-01T00:00:00"/>
    <x v="1"/>
    <x v="1"/>
    <x v="3"/>
    <x v="1"/>
    <s v="India"/>
    <x v="5"/>
    <x v="6"/>
    <s v="C00732"/>
    <n v="68"/>
    <s v="Female"/>
    <x v="6"/>
    <x v="3"/>
    <x v="0"/>
    <s v="Breakfast Only"/>
    <n v="14792.63"/>
    <n v="3449.41"/>
    <x v="1"/>
    <s v="Pending"/>
    <x v="1"/>
    <x v="11"/>
    <x v="0"/>
    <x v="4"/>
    <x v="1"/>
  </r>
  <r>
    <s v="T000733"/>
    <d v="2025-01-02T00:00:00"/>
    <x v="0"/>
    <x v="0"/>
    <x v="1"/>
    <x v="1"/>
    <s v="India"/>
    <x v="1"/>
    <x v="10"/>
    <s v="C00733"/>
    <n v="30"/>
    <s v="Male"/>
    <x v="4"/>
    <x v="1"/>
    <x v="3"/>
    <s v="No Meals"/>
    <n v="42067.839999999997"/>
    <n v="2838.81"/>
    <x v="2"/>
    <s v="Cancelled"/>
    <x v="1"/>
    <x v="28"/>
    <x v="3"/>
    <x v="3"/>
    <x v="1"/>
  </r>
  <r>
    <s v="T000734"/>
    <d v="2025-01-03T00:00:00"/>
    <x v="3"/>
    <x v="1"/>
    <x v="2"/>
    <x v="0"/>
    <s v="India"/>
    <x v="2"/>
    <x v="1"/>
    <s v="C00734"/>
    <n v="22"/>
    <s v="Male"/>
    <x v="4"/>
    <x v="3"/>
    <x v="1"/>
    <s v="Breakfast Only"/>
    <n v="31183.72"/>
    <n v="2148.2800000000002"/>
    <x v="3"/>
    <s v="Cancelled"/>
    <x v="3"/>
    <x v="16"/>
    <x v="4"/>
    <x v="3"/>
    <x v="1"/>
  </r>
  <r>
    <s v="T000735"/>
    <d v="2025-01-04T00:00:00"/>
    <x v="4"/>
    <x v="3"/>
    <x v="2"/>
    <x v="0"/>
    <s v="India"/>
    <x v="2"/>
    <x v="10"/>
    <s v="C00735"/>
    <n v="58"/>
    <s v="Male"/>
    <x v="5"/>
    <x v="1"/>
    <x v="2"/>
    <s v="Half Board"/>
    <n v="36912.07"/>
    <n v="4090.56"/>
    <x v="3"/>
    <s v="Cancelled"/>
    <x v="3"/>
    <x v="22"/>
    <x v="4"/>
    <x v="2"/>
    <x v="1"/>
  </r>
  <r>
    <s v="T000736"/>
    <d v="2025-01-05T00:00:00"/>
    <x v="3"/>
    <x v="1"/>
    <x v="3"/>
    <x v="1"/>
    <s v="India"/>
    <x v="5"/>
    <x v="2"/>
    <s v="C00736"/>
    <n v="30"/>
    <s v="Other"/>
    <x v="0"/>
    <x v="3"/>
    <x v="2"/>
    <s v="No Meals"/>
    <n v="43705.42"/>
    <n v="3972.14"/>
    <x v="0"/>
    <s v="Cancelled"/>
    <x v="1"/>
    <x v="35"/>
    <x v="3"/>
    <x v="3"/>
    <x v="0"/>
  </r>
  <r>
    <s v="T000737"/>
    <d v="2025-01-06T00:00:00"/>
    <x v="4"/>
    <x v="3"/>
    <x v="4"/>
    <x v="1"/>
    <s v="India"/>
    <x v="6"/>
    <x v="5"/>
    <s v="C00737"/>
    <n v="18"/>
    <s v="Male"/>
    <x v="0"/>
    <x v="2"/>
    <x v="3"/>
    <s v="No Meals"/>
    <n v="49408.78"/>
    <n v="3659.71"/>
    <x v="2"/>
    <s v="Cancelled"/>
    <x v="2"/>
    <x v="9"/>
    <x v="4"/>
    <x v="4"/>
    <x v="0"/>
  </r>
  <r>
    <s v="T000738"/>
    <d v="2025-01-07T00:00:00"/>
    <x v="0"/>
    <x v="0"/>
    <x v="1"/>
    <x v="1"/>
    <s v="India"/>
    <x v="1"/>
    <x v="8"/>
    <s v="C00738"/>
    <n v="42"/>
    <s v="Male"/>
    <x v="6"/>
    <x v="0"/>
    <x v="3"/>
    <s v="No Meals"/>
    <n v="16226.76"/>
    <n v="385.16"/>
    <x v="3"/>
    <s v="Confirmed"/>
    <x v="0"/>
    <x v="7"/>
    <x v="2"/>
    <x v="1"/>
    <x v="1"/>
  </r>
  <r>
    <s v="T000739"/>
    <d v="2025-01-08T00:00:00"/>
    <x v="0"/>
    <x v="0"/>
    <x v="4"/>
    <x v="1"/>
    <s v="India"/>
    <x v="6"/>
    <x v="3"/>
    <s v="C00739"/>
    <n v="64"/>
    <s v="Female"/>
    <x v="6"/>
    <x v="2"/>
    <x v="3"/>
    <s v="Half Board"/>
    <n v="13140.61"/>
    <n v="3982.35"/>
    <x v="0"/>
    <s v="Cancelled"/>
    <x v="2"/>
    <x v="20"/>
    <x v="0"/>
    <x v="4"/>
    <x v="0"/>
  </r>
  <r>
    <s v="T000740"/>
    <d v="2025-01-09T00:00:00"/>
    <x v="1"/>
    <x v="1"/>
    <x v="2"/>
    <x v="0"/>
    <s v="India"/>
    <x v="2"/>
    <x v="4"/>
    <s v="C00740"/>
    <n v="21"/>
    <s v="Male"/>
    <x v="6"/>
    <x v="3"/>
    <x v="1"/>
    <s v="Half Board"/>
    <n v="25789.93"/>
    <n v="4597.1099999999997"/>
    <x v="0"/>
    <s v="Confirmed"/>
    <x v="0"/>
    <x v="9"/>
    <x v="4"/>
    <x v="1"/>
    <x v="0"/>
  </r>
  <r>
    <s v="T000741"/>
    <d v="2025-01-10T00:00:00"/>
    <x v="3"/>
    <x v="1"/>
    <x v="1"/>
    <x v="1"/>
    <s v="India"/>
    <x v="1"/>
    <x v="2"/>
    <s v="C00741"/>
    <n v="53"/>
    <s v="Male"/>
    <x v="3"/>
    <x v="1"/>
    <x v="2"/>
    <s v="Full Board"/>
    <n v="6578.21"/>
    <n v="297.20999999999998"/>
    <x v="3"/>
    <s v="Pending"/>
    <x v="3"/>
    <x v="23"/>
    <x v="1"/>
    <x v="3"/>
    <x v="1"/>
  </r>
  <r>
    <s v="T000742"/>
    <d v="2025-01-11T00:00:00"/>
    <x v="1"/>
    <x v="1"/>
    <x v="4"/>
    <x v="1"/>
    <s v="India"/>
    <x v="6"/>
    <x v="7"/>
    <s v="C00742"/>
    <n v="69"/>
    <s v="Other"/>
    <x v="3"/>
    <x v="1"/>
    <x v="3"/>
    <s v="Full Board"/>
    <n v="40627.300000000003"/>
    <n v="2008.36"/>
    <x v="1"/>
    <s v="Confirmed"/>
    <x v="2"/>
    <x v="27"/>
    <x v="0"/>
    <x v="0"/>
    <x v="1"/>
  </r>
  <r>
    <s v="T000743"/>
    <d v="2025-01-12T00:00:00"/>
    <x v="3"/>
    <x v="1"/>
    <x v="0"/>
    <x v="0"/>
    <s v="India"/>
    <x v="0"/>
    <x v="10"/>
    <s v="C00743"/>
    <n v="27"/>
    <s v="Female"/>
    <x v="0"/>
    <x v="0"/>
    <x v="1"/>
    <s v="Full Board"/>
    <n v="44769.2"/>
    <n v="4941.78"/>
    <x v="3"/>
    <s v="Cancelled"/>
    <x v="3"/>
    <x v="28"/>
    <x v="2"/>
    <x v="0"/>
    <x v="1"/>
  </r>
  <r>
    <s v="T000744"/>
    <d v="2025-01-13T00:00:00"/>
    <x v="1"/>
    <x v="1"/>
    <x v="3"/>
    <x v="1"/>
    <s v="India"/>
    <x v="5"/>
    <x v="9"/>
    <s v="C00744"/>
    <n v="45"/>
    <s v="Other"/>
    <x v="0"/>
    <x v="2"/>
    <x v="2"/>
    <s v="Half Board"/>
    <n v="35871.79"/>
    <n v="2996.19"/>
    <x v="2"/>
    <s v="Confirmed"/>
    <x v="1"/>
    <x v="21"/>
    <x v="0"/>
    <x v="4"/>
    <x v="1"/>
  </r>
  <r>
    <s v="T000745"/>
    <d v="2025-01-14T00:00:00"/>
    <x v="2"/>
    <x v="2"/>
    <x v="3"/>
    <x v="1"/>
    <s v="India"/>
    <x v="5"/>
    <x v="1"/>
    <s v="C00745"/>
    <n v="23"/>
    <s v="Other"/>
    <x v="6"/>
    <x v="2"/>
    <x v="0"/>
    <s v="No Meals"/>
    <n v="17059.78"/>
    <n v="2567.89"/>
    <x v="3"/>
    <s v="Cancelled"/>
    <x v="1"/>
    <x v="11"/>
    <x v="0"/>
    <x v="4"/>
    <x v="0"/>
  </r>
  <r>
    <s v="T000746"/>
    <d v="2025-01-15T00:00:00"/>
    <x v="2"/>
    <x v="2"/>
    <x v="0"/>
    <x v="0"/>
    <s v="India"/>
    <x v="4"/>
    <x v="10"/>
    <s v="C00746"/>
    <n v="44"/>
    <s v="Other"/>
    <x v="3"/>
    <x v="2"/>
    <x v="3"/>
    <s v="No Meals"/>
    <n v="10542"/>
    <n v="887.23"/>
    <x v="1"/>
    <s v="Confirmed"/>
    <x v="2"/>
    <x v="19"/>
    <x v="3"/>
    <x v="3"/>
    <x v="1"/>
  </r>
  <r>
    <s v="T000747"/>
    <d v="2025-01-16T00:00:00"/>
    <x v="2"/>
    <x v="2"/>
    <x v="2"/>
    <x v="0"/>
    <s v="India"/>
    <x v="3"/>
    <x v="6"/>
    <s v="C00747"/>
    <n v="29"/>
    <s v="Male"/>
    <x v="1"/>
    <x v="1"/>
    <x v="1"/>
    <s v="Breakfast Only"/>
    <n v="22196.49"/>
    <n v="2827.43"/>
    <x v="0"/>
    <s v="Pending"/>
    <x v="3"/>
    <x v="1"/>
    <x v="1"/>
    <x v="0"/>
    <x v="0"/>
  </r>
  <r>
    <s v="T000748"/>
    <d v="2025-01-17T00:00:00"/>
    <x v="2"/>
    <x v="2"/>
    <x v="1"/>
    <x v="1"/>
    <s v="India"/>
    <x v="1"/>
    <x v="7"/>
    <s v="C00748"/>
    <n v="69"/>
    <s v="Other"/>
    <x v="3"/>
    <x v="0"/>
    <x v="2"/>
    <s v="Full Board"/>
    <n v="42500.1"/>
    <n v="2195.2199999999998"/>
    <x v="2"/>
    <s v="Cancelled"/>
    <x v="2"/>
    <x v="36"/>
    <x v="4"/>
    <x v="0"/>
    <x v="1"/>
  </r>
  <r>
    <s v="T000749"/>
    <d v="2025-01-18T00:00:00"/>
    <x v="4"/>
    <x v="3"/>
    <x v="3"/>
    <x v="1"/>
    <s v="India"/>
    <x v="5"/>
    <x v="1"/>
    <s v="C00749"/>
    <n v="65"/>
    <s v="Other"/>
    <x v="0"/>
    <x v="1"/>
    <x v="2"/>
    <s v="No Meals"/>
    <n v="20652.25"/>
    <n v="637.22"/>
    <x v="2"/>
    <s v="Cancelled"/>
    <x v="2"/>
    <x v="30"/>
    <x v="0"/>
    <x v="4"/>
    <x v="1"/>
  </r>
  <r>
    <s v="T000750"/>
    <d v="2025-01-19T00:00:00"/>
    <x v="2"/>
    <x v="2"/>
    <x v="0"/>
    <x v="0"/>
    <s v="India"/>
    <x v="0"/>
    <x v="4"/>
    <s v="C00750"/>
    <n v="20"/>
    <s v="Female"/>
    <x v="3"/>
    <x v="2"/>
    <x v="3"/>
    <s v="No Meals"/>
    <n v="6541.46"/>
    <n v="2321.66"/>
    <x v="2"/>
    <s v="Confirmed"/>
    <x v="0"/>
    <x v="33"/>
    <x v="4"/>
    <x v="0"/>
    <x v="1"/>
  </r>
  <r>
    <s v="T000751"/>
    <d v="2025-01-20T00:00:00"/>
    <x v="0"/>
    <x v="0"/>
    <x v="0"/>
    <x v="0"/>
    <s v="India"/>
    <x v="4"/>
    <x v="6"/>
    <s v="C00751"/>
    <n v="63"/>
    <s v="Female"/>
    <x v="0"/>
    <x v="3"/>
    <x v="3"/>
    <s v="No Meals"/>
    <n v="17342.62"/>
    <n v="822"/>
    <x v="2"/>
    <s v="Confirmed"/>
    <x v="1"/>
    <x v="39"/>
    <x v="0"/>
    <x v="4"/>
    <x v="0"/>
  </r>
  <r>
    <s v="T000752"/>
    <d v="2025-01-21T00:00:00"/>
    <x v="0"/>
    <x v="0"/>
    <x v="2"/>
    <x v="0"/>
    <s v="India"/>
    <x v="3"/>
    <x v="8"/>
    <s v="C00752"/>
    <n v="50"/>
    <s v="Female"/>
    <x v="6"/>
    <x v="1"/>
    <x v="2"/>
    <s v="No Meals"/>
    <n v="49547.55"/>
    <n v="3653.32"/>
    <x v="1"/>
    <s v="Confirmed"/>
    <x v="2"/>
    <x v="15"/>
    <x v="0"/>
    <x v="2"/>
    <x v="0"/>
  </r>
  <r>
    <s v="T000753"/>
    <d v="2025-01-22T00:00:00"/>
    <x v="4"/>
    <x v="3"/>
    <x v="2"/>
    <x v="0"/>
    <s v="India"/>
    <x v="3"/>
    <x v="9"/>
    <s v="C00753"/>
    <n v="27"/>
    <s v="Female"/>
    <x v="5"/>
    <x v="0"/>
    <x v="1"/>
    <s v="Half Board"/>
    <n v="35450.089999999997"/>
    <n v="4868.24"/>
    <x v="1"/>
    <s v="Confirmed"/>
    <x v="1"/>
    <x v="4"/>
    <x v="0"/>
    <x v="0"/>
    <x v="0"/>
  </r>
  <r>
    <s v="T000754"/>
    <d v="2025-01-23T00:00:00"/>
    <x v="2"/>
    <x v="2"/>
    <x v="4"/>
    <x v="1"/>
    <s v="India"/>
    <x v="6"/>
    <x v="10"/>
    <s v="C00754"/>
    <n v="48"/>
    <s v="Other"/>
    <x v="6"/>
    <x v="2"/>
    <x v="0"/>
    <s v="Full Board"/>
    <n v="45538.47"/>
    <n v="2347.89"/>
    <x v="1"/>
    <s v="Confirmed"/>
    <x v="0"/>
    <x v="2"/>
    <x v="3"/>
    <x v="1"/>
    <x v="0"/>
  </r>
  <r>
    <s v="T000755"/>
    <d v="2025-01-24T00:00:00"/>
    <x v="2"/>
    <x v="2"/>
    <x v="3"/>
    <x v="1"/>
    <s v="India"/>
    <x v="5"/>
    <x v="0"/>
    <s v="C00755"/>
    <n v="32"/>
    <s v="Female"/>
    <x v="6"/>
    <x v="3"/>
    <x v="2"/>
    <s v="No Meals"/>
    <n v="39868.94"/>
    <n v="3161.84"/>
    <x v="1"/>
    <s v="Cancelled"/>
    <x v="3"/>
    <x v="10"/>
    <x v="1"/>
    <x v="3"/>
    <x v="1"/>
  </r>
  <r>
    <s v="T000756"/>
    <d v="2025-01-25T00:00:00"/>
    <x v="2"/>
    <x v="2"/>
    <x v="4"/>
    <x v="1"/>
    <s v="India"/>
    <x v="6"/>
    <x v="3"/>
    <s v="C00756"/>
    <n v="24"/>
    <s v="Male"/>
    <x v="1"/>
    <x v="1"/>
    <x v="1"/>
    <s v="No Meals"/>
    <n v="29286.75"/>
    <n v="2154.88"/>
    <x v="0"/>
    <s v="Pending"/>
    <x v="2"/>
    <x v="38"/>
    <x v="0"/>
    <x v="4"/>
    <x v="1"/>
  </r>
  <r>
    <s v="T000757"/>
    <d v="2025-01-26T00:00:00"/>
    <x v="1"/>
    <x v="1"/>
    <x v="0"/>
    <x v="0"/>
    <s v="India"/>
    <x v="4"/>
    <x v="10"/>
    <s v="C00757"/>
    <n v="53"/>
    <s v="Other"/>
    <x v="5"/>
    <x v="3"/>
    <x v="3"/>
    <s v="No Meals"/>
    <n v="11691"/>
    <n v="692.27"/>
    <x v="3"/>
    <s v="Confirmed"/>
    <x v="1"/>
    <x v="23"/>
    <x v="1"/>
    <x v="0"/>
    <x v="1"/>
  </r>
  <r>
    <s v="T000758"/>
    <d v="2025-01-27T00:00:00"/>
    <x v="3"/>
    <x v="1"/>
    <x v="1"/>
    <x v="1"/>
    <s v="India"/>
    <x v="1"/>
    <x v="10"/>
    <s v="C00758"/>
    <n v="31"/>
    <s v="Female"/>
    <x v="1"/>
    <x v="3"/>
    <x v="2"/>
    <s v="No Meals"/>
    <n v="20689"/>
    <n v="4852.78"/>
    <x v="1"/>
    <s v="Cancelled"/>
    <x v="2"/>
    <x v="15"/>
    <x v="0"/>
    <x v="0"/>
    <x v="1"/>
  </r>
  <r>
    <s v="T000759"/>
    <d v="2025-01-28T00:00:00"/>
    <x v="1"/>
    <x v="1"/>
    <x v="1"/>
    <x v="1"/>
    <s v="India"/>
    <x v="1"/>
    <x v="7"/>
    <s v="C00759"/>
    <n v="65"/>
    <s v="Other"/>
    <x v="0"/>
    <x v="0"/>
    <x v="3"/>
    <s v="Breakfast Only"/>
    <n v="31268.31"/>
    <n v="647.89"/>
    <x v="3"/>
    <s v="Pending"/>
    <x v="3"/>
    <x v="36"/>
    <x v="4"/>
    <x v="4"/>
    <x v="0"/>
  </r>
  <r>
    <s v="T000760"/>
    <d v="2025-01-29T00:00:00"/>
    <x v="3"/>
    <x v="1"/>
    <x v="2"/>
    <x v="0"/>
    <s v="India"/>
    <x v="2"/>
    <x v="7"/>
    <s v="C00760"/>
    <n v="31"/>
    <s v="Female"/>
    <x v="4"/>
    <x v="1"/>
    <x v="0"/>
    <s v="No Meals"/>
    <n v="44178.46"/>
    <n v="558.13"/>
    <x v="2"/>
    <s v="Pending"/>
    <x v="2"/>
    <x v="12"/>
    <x v="1"/>
    <x v="1"/>
    <x v="1"/>
  </r>
  <r>
    <s v="T000761"/>
    <d v="2025-01-30T00:00:00"/>
    <x v="2"/>
    <x v="2"/>
    <x v="1"/>
    <x v="1"/>
    <s v="India"/>
    <x v="1"/>
    <x v="6"/>
    <s v="C00761"/>
    <n v="20"/>
    <s v="Other"/>
    <x v="2"/>
    <x v="0"/>
    <x v="3"/>
    <s v="No Meals"/>
    <n v="17090.38"/>
    <n v="2295.86"/>
    <x v="0"/>
    <s v="Confirmed"/>
    <x v="2"/>
    <x v="28"/>
    <x v="3"/>
    <x v="0"/>
    <x v="1"/>
  </r>
  <r>
    <s v="T000762"/>
    <d v="2025-01-31T00:00:00"/>
    <x v="2"/>
    <x v="2"/>
    <x v="1"/>
    <x v="1"/>
    <s v="India"/>
    <x v="1"/>
    <x v="3"/>
    <s v="C00762"/>
    <n v="66"/>
    <s v="Female"/>
    <x v="1"/>
    <x v="2"/>
    <x v="0"/>
    <s v="No Meals"/>
    <n v="10455.209999999999"/>
    <n v="3294.44"/>
    <x v="0"/>
    <s v="Cancelled"/>
    <x v="1"/>
    <x v="6"/>
    <x v="3"/>
    <x v="2"/>
    <x v="1"/>
  </r>
  <r>
    <s v="T000763"/>
    <d v="2025-02-01T00:00:00"/>
    <x v="1"/>
    <x v="1"/>
    <x v="1"/>
    <x v="1"/>
    <s v="India"/>
    <x v="1"/>
    <x v="10"/>
    <s v="C00763"/>
    <n v="63"/>
    <s v="Male"/>
    <x v="0"/>
    <x v="3"/>
    <x v="3"/>
    <s v="Breakfast Only"/>
    <n v="30147.45"/>
    <n v="1774.62"/>
    <x v="3"/>
    <s v="Cancelled"/>
    <x v="3"/>
    <x v="29"/>
    <x v="1"/>
    <x v="3"/>
    <x v="0"/>
  </r>
  <r>
    <s v="T000764"/>
    <d v="2025-02-02T00:00:00"/>
    <x v="1"/>
    <x v="1"/>
    <x v="0"/>
    <x v="0"/>
    <s v="India"/>
    <x v="0"/>
    <x v="11"/>
    <s v="C00764"/>
    <n v="67"/>
    <s v="Female"/>
    <x v="5"/>
    <x v="0"/>
    <x v="3"/>
    <s v="Half Board"/>
    <n v="12942.56"/>
    <n v="962.59"/>
    <x v="3"/>
    <s v="Cancelled"/>
    <x v="0"/>
    <x v="24"/>
    <x v="0"/>
    <x v="4"/>
    <x v="0"/>
  </r>
  <r>
    <s v="T000765"/>
    <d v="2025-02-03T00:00:00"/>
    <x v="3"/>
    <x v="1"/>
    <x v="1"/>
    <x v="1"/>
    <s v="India"/>
    <x v="1"/>
    <x v="4"/>
    <s v="C00765"/>
    <n v="20"/>
    <s v="Other"/>
    <x v="3"/>
    <x v="0"/>
    <x v="0"/>
    <s v="Breakfast Only"/>
    <n v="32466.28"/>
    <n v="4094.82"/>
    <x v="3"/>
    <s v="Cancelled"/>
    <x v="3"/>
    <x v="1"/>
    <x v="1"/>
    <x v="0"/>
    <x v="0"/>
  </r>
  <r>
    <s v="T000766"/>
    <d v="2025-02-04T00:00:00"/>
    <x v="0"/>
    <x v="0"/>
    <x v="1"/>
    <x v="1"/>
    <s v="India"/>
    <x v="1"/>
    <x v="7"/>
    <s v="C00766"/>
    <n v="39"/>
    <s v="Other"/>
    <x v="5"/>
    <x v="2"/>
    <x v="3"/>
    <s v="No Meals"/>
    <n v="16858.46"/>
    <n v="1815.52"/>
    <x v="0"/>
    <s v="Cancelled"/>
    <x v="3"/>
    <x v="20"/>
    <x v="0"/>
    <x v="3"/>
    <x v="1"/>
  </r>
  <r>
    <s v="T000767"/>
    <d v="2025-02-05T00:00:00"/>
    <x v="3"/>
    <x v="1"/>
    <x v="1"/>
    <x v="1"/>
    <s v="India"/>
    <x v="1"/>
    <x v="7"/>
    <s v="C00767"/>
    <n v="36"/>
    <s v="Male"/>
    <x v="6"/>
    <x v="1"/>
    <x v="1"/>
    <s v="Half Board"/>
    <n v="15393.34"/>
    <n v="971.6"/>
    <x v="1"/>
    <s v="Pending"/>
    <x v="0"/>
    <x v="5"/>
    <x v="1"/>
    <x v="4"/>
    <x v="0"/>
  </r>
  <r>
    <s v="T000768"/>
    <d v="2025-02-06T00:00:00"/>
    <x v="1"/>
    <x v="1"/>
    <x v="4"/>
    <x v="1"/>
    <s v="India"/>
    <x v="6"/>
    <x v="6"/>
    <s v="C00768"/>
    <n v="52"/>
    <s v="Other"/>
    <x v="6"/>
    <x v="0"/>
    <x v="3"/>
    <s v="No Meals"/>
    <n v="22963.13"/>
    <n v="1825.42"/>
    <x v="0"/>
    <s v="Pending"/>
    <x v="2"/>
    <x v="39"/>
    <x v="0"/>
    <x v="4"/>
    <x v="0"/>
  </r>
  <r>
    <s v="T000769"/>
    <d v="2025-02-07T00:00:00"/>
    <x v="1"/>
    <x v="1"/>
    <x v="0"/>
    <x v="0"/>
    <s v="India"/>
    <x v="0"/>
    <x v="2"/>
    <s v="C00769"/>
    <n v="29"/>
    <s v="Male"/>
    <x v="6"/>
    <x v="3"/>
    <x v="2"/>
    <s v="Half Board"/>
    <n v="31693.63"/>
    <n v="1072.77"/>
    <x v="1"/>
    <s v="Pending"/>
    <x v="1"/>
    <x v="39"/>
    <x v="0"/>
    <x v="4"/>
    <x v="1"/>
  </r>
  <r>
    <s v="T000770"/>
    <d v="2025-02-08T00:00:00"/>
    <x v="4"/>
    <x v="3"/>
    <x v="2"/>
    <x v="0"/>
    <s v="India"/>
    <x v="2"/>
    <x v="11"/>
    <s v="C00770"/>
    <n v="22"/>
    <s v="Other"/>
    <x v="0"/>
    <x v="3"/>
    <x v="3"/>
    <s v="No Meals"/>
    <n v="29539.3"/>
    <n v="2597.2399999999998"/>
    <x v="2"/>
    <s v="Cancelled"/>
    <x v="2"/>
    <x v="19"/>
    <x v="2"/>
    <x v="1"/>
    <x v="0"/>
  </r>
  <r>
    <s v="T000771"/>
    <d v="2025-02-09T00:00:00"/>
    <x v="1"/>
    <x v="1"/>
    <x v="4"/>
    <x v="1"/>
    <s v="India"/>
    <x v="6"/>
    <x v="1"/>
    <s v="C00771"/>
    <n v="27"/>
    <s v="Other"/>
    <x v="6"/>
    <x v="3"/>
    <x v="1"/>
    <s v="No Meals"/>
    <n v="16013.05"/>
    <n v="3341.45"/>
    <x v="1"/>
    <s v="Pending"/>
    <x v="2"/>
    <x v="19"/>
    <x v="3"/>
    <x v="2"/>
    <x v="1"/>
  </r>
  <r>
    <s v="T000772"/>
    <d v="2025-02-10T00:00:00"/>
    <x v="4"/>
    <x v="3"/>
    <x v="3"/>
    <x v="1"/>
    <s v="India"/>
    <x v="5"/>
    <x v="2"/>
    <s v="C00772"/>
    <n v="58"/>
    <s v="Male"/>
    <x v="1"/>
    <x v="3"/>
    <x v="2"/>
    <s v="Half Board"/>
    <n v="45100.25"/>
    <n v="3997.79"/>
    <x v="3"/>
    <s v="Pending"/>
    <x v="0"/>
    <x v="19"/>
    <x v="3"/>
    <x v="4"/>
    <x v="1"/>
  </r>
  <r>
    <s v="T000773"/>
    <d v="2025-02-11T00:00:00"/>
    <x v="0"/>
    <x v="0"/>
    <x v="0"/>
    <x v="0"/>
    <s v="India"/>
    <x v="4"/>
    <x v="10"/>
    <s v="C00773"/>
    <n v="50"/>
    <s v="Other"/>
    <x v="3"/>
    <x v="0"/>
    <x v="1"/>
    <s v="Half Board"/>
    <n v="9944.69"/>
    <n v="1137.81"/>
    <x v="1"/>
    <s v="Confirmed"/>
    <x v="0"/>
    <x v="8"/>
    <x v="0"/>
    <x v="1"/>
    <x v="0"/>
  </r>
  <r>
    <s v="T000774"/>
    <d v="2025-02-12T00:00:00"/>
    <x v="3"/>
    <x v="1"/>
    <x v="0"/>
    <x v="0"/>
    <s v="India"/>
    <x v="4"/>
    <x v="3"/>
    <s v="C00774"/>
    <n v="30"/>
    <s v="Other"/>
    <x v="6"/>
    <x v="3"/>
    <x v="2"/>
    <s v="No Meals"/>
    <n v="6776.04"/>
    <n v="834.77"/>
    <x v="1"/>
    <s v="Pending"/>
    <x v="2"/>
    <x v="27"/>
    <x v="0"/>
    <x v="4"/>
    <x v="1"/>
  </r>
  <r>
    <s v="T000775"/>
    <d v="2025-02-13T00:00:00"/>
    <x v="3"/>
    <x v="1"/>
    <x v="3"/>
    <x v="1"/>
    <s v="India"/>
    <x v="5"/>
    <x v="7"/>
    <s v="C00775"/>
    <n v="52"/>
    <s v="Male"/>
    <x v="0"/>
    <x v="0"/>
    <x v="3"/>
    <s v="Breakfast Only"/>
    <n v="32121.78"/>
    <n v="98.02"/>
    <x v="0"/>
    <s v="Confirmed"/>
    <x v="3"/>
    <x v="38"/>
    <x v="0"/>
    <x v="4"/>
    <x v="1"/>
  </r>
  <r>
    <s v="T000776"/>
    <d v="2025-02-14T00:00:00"/>
    <x v="4"/>
    <x v="3"/>
    <x v="3"/>
    <x v="1"/>
    <s v="India"/>
    <x v="5"/>
    <x v="3"/>
    <s v="C00776"/>
    <n v="68"/>
    <s v="Female"/>
    <x v="3"/>
    <x v="1"/>
    <x v="1"/>
    <s v="Breakfast Only"/>
    <n v="10553.32"/>
    <n v="1140.44"/>
    <x v="3"/>
    <s v="Cancelled"/>
    <x v="1"/>
    <x v="27"/>
    <x v="0"/>
    <x v="1"/>
    <x v="1"/>
  </r>
  <r>
    <s v="T000777"/>
    <d v="2025-02-15T00:00:00"/>
    <x v="3"/>
    <x v="1"/>
    <x v="3"/>
    <x v="1"/>
    <s v="India"/>
    <x v="5"/>
    <x v="3"/>
    <s v="C00777"/>
    <n v="49"/>
    <s v="Male"/>
    <x v="6"/>
    <x v="3"/>
    <x v="3"/>
    <s v="Breakfast Only"/>
    <n v="27720.09"/>
    <n v="119.53"/>
    <x v="2"/>
    <s v="Cancelled"/>
    <x v="3"/>
    <x v="8"/>
    <x v="0"/>
    <x v="2"/>
    <x v="1"/>
  </r>
  <r>
    <s v="T000778"/>
    <d v="2025-02-16T00:00:00"/>
    <x v="1"/>
    <x v="1"/>
    <x v="2"/>
    <x v="0"/>
    <s v="India"/>
    <x v="2"/>
    <x v="4"/>
    <s v="C00778"/>
    <n v="28"/>
    <s v="Other"/>
    <x v="4"/>
    <x v="1"/>
    <x v="2"/>
    <s v="Breakfast Only"/>
    <n v="47829.8"/>
    <n v="1727.37"/>
    <x v="1"/>
    <s v="Cancelled"/>
    <x v="2"/>
    <x v="33"/>
    <x v="4"/>
    <x v="3"/>
    <x v="0"/>
  </r>
  <r>
    <s v="T000779"/>
    <d v="2025-02-17T00:00:00"/>
    <x v="2"/>
    <x v="2"/>
    <x v="1"/>
    <x v="1"/>
    <s v="India"/>
    <x v="1"/>
    <x v="0"/>
    <s v="C00779"/>
    <n v="65"/>
    <s v="Female"/>
    <x v="6"/>
    <x v="0"/>
    <x v="1"/>
    <s v="Half Board"/>
    <n v="36436.11"/>
    <n v="728.47"/>
    <x v="2"/>
    <s v="Cancelled"/>
    <x v="2"/>
    <x v="24"/>
    <x v="0"/>
    <x v="0"/>
    <x v="1"/>
  </r>
  <r>
    <s v="T000780"/>
    <d v="2025-02-18T00:00:00"/>
    <x v="4"/>
    <x v="3"/>
    <x v="0"/>
    <x v="0"/>
    <s v="India"/>
    <x v="4"/>
    <x v="7"/>
    <s v="C00780"/>
    <n v="55"/>
    <s v="Female"/>
    <x v="2"/>
    <x v="2"/>
    <x v="0"/>
    <s v="Half Board"/>
    <n v="32785.550000000003"/>
    <n v="2899.48"/>
    <x v="3"/>
    <s v="Pending"/>
    <x v="1"/>
    <x v="4"/>
    <x v="0"/>
    <x v="4"/>
    <x v="0"/>
  </r>
  <r>
    <s v="T000781"/>
    <d v="2025-02-19T00:00:00"/>
    <x v="3"/>
    <x v="1"/>
    <x v="1"/>
    <x v="1"/>
    <s v="India"/>
    <x v="1"/>
    <x v="2"/>
    <s v="C00781"/>
    <n v="41"/>
    <s v="Female"/>
    <x v="5"/>
    <x v="1"/>
    <x v="1"/>
    <s v="Breakfast Only"/>
    <n v="30866.240000000002"/>
    <n v="1918.63"/>
    <x v="1"/>
    <s v="Confirmed"/>
    <x v="3"/>
    <x v="28"/>
    <x v="3"/>
    <x v="2"/>
    <x v="1"/>
  </r>
  <r>
    <s v="T000782"/>
    <d v="2025-02-20T00:00:00"/>
    <x v="4"/>
    <x v="3"/>
    <x v="1"/>
    <x v="1"/>
    <s v="India"/>
    <x v="1"/>
    <x v="9"/>
    <s v="C00782"/>
    <n v="52"/>
    <s v="Male"/>
    <x v="1"/>
    <x v="3"/>
    <x v="3"/>
    <s v="Full Board"/>
    <n v="13079.27"/>
    <n v="467.93"/>
    <x v="0"/>
    <s v="Cancelled"/>
    <x v="2"/>
    <x v="7"/>
    <x v="3"/>
    <x v="0"/>
    <x v="1"/>
  </r>
  <r>
    <s v="T000783"/>
    <d v="2025-02-21T00:00:00"/>
    <x v="4"/>
    <x v="3"/>
    <x v="3"/>
    <x v="1"/>
    <s v="India"/>
    <x v="5"/>
    <x v="1"/>
    <s v="C00783"/>
    <n v="36"/>
    <s v="Female"/>
    <x v="3"/>
    <x v="2"/>
    <x v="0"/>
    <s v="Full Board"/>
    <n v="24469.15"/>
    <n v="1999.33"/>
    <x v="2"/>
    <s v="Cancelled"/>
    <x v="2"/>
    <x v="0"/>
    <x v="0"/>
    <x v="4"/>
    <x v="1"/>
  </r>
  <r>
    <s v="T000784"/>
    <d v="2025-02-22T00:00:00"/>
    <x v="2"/>
    <x v="2"/>
    <x v="2"/>
    <x v="0"/>
    <s v="India"/>
    <x v="2"/>
    <x v="3"/>
    <s v="C00784"/>
    <n v="23"/>
    <s v="Female"/>
    <x v="1"/>
    <x v="1"/>
    <x v="0"/>
    <s v="Full Board"/>
    <n v="20413.560000000001"/>
    <n v="1046.74"/>
    <x v="0"/>
    <s v="Confirmed"/>
    <x v="0"/>
    <x v="24"/>
    <x v="0"/>
    <x v="0"/>
    <x v="1"/>
  </r>
  <r>
    <s v="T000785"/>
    <d v="2025-02-23T00:00:00"/>
    <x v="1"/>
    <x v="1"/>
    <x v="4"/>
    <x v="1"/>
    <s v="India"/>
    <x v="6"/>
    <x v="7"/>
    <s v="C00785"/>
    <n v="57"/>
    <s v="Female"/>
    <x v="4"/>
    <x v="0"/>
    <x v="2"/>
    <s v="No Meals"/>
    <n v="47888.34"/>
    <n v="3400.89"/>
    <x v="2"/>
    <s v="Confirmed"/>
    <x v="1"/>
    <x v="32"/>
    <x v="4"/>
    <x v="1"/>
    <x v="1"/>
  </r>
  <r>
    <s v="T000786"/>
    <d v="2025-02-24T00:00:00"/>
    <x v="4"/>
    <x v="3"/>
    <x v="2"/>
    <x v="0"/>
    <s v="India"/>
    <x v="2"/>
    <x v="6"/>
    <s v="C00786"/>
    <n v="62"/>
    <s v="Other"/>
    <x v="4"/>
    <x v="0"/>
    <x v="0"/>
    <s v="Breakfast Only"/>
    <n v="15904.41"/>
    <n v="1822.18"/>
    <x v="3"/>
    <s v="Confirmed"/>
    <x v="0"/>
    <x v="23"/>
    <x v="1"/>
    <x v="2"/>
    <x v="1"/>
  </r>
  <r>
    <s v="T000787"/>
    <d v="2025-02-25T00:00:00"/>
    <x v="3"/>
    <x v="1"/>
    <x v="1"/>
    <x v="1"/>
    <s v="India"/>
    <x v="1"/>
    <x v="1"/>
    <s v="C00787"/>
    <n v="61"/>
    <s v="Male"/>
    <x v="2"/>
    <x v="0"/>
    <x v="0"/>
    <s v="No Meals"/>
    <n v="26218.240000000002"/>
    <n v="735.15"/>
    <x v="1"/>
    <s v="Confirmed"/>
    <x v="0"/>
    <x v="15"/>
    <x v="0"/>
    <x v="2"/>
    <x v="1"/>
  </r>
  <r>
    <s v="T000788"/>
    <d v="2025-02-26T00:00:00"/>
    <x v="0"/>
    <x v="0"/>
    <x v="2"/>
    <x v="0"/>
    <s v="India"/>
    <x v="2"/>
    <x v="9"/>
    <s v="C00788"/>
    <n v="59"/>
    <s v="Male"/>
    <x v="1"/>
    <x v="1"/>
    <x v="2"/>
    <s v="Half Board"/>
    <n v="47213.57"/>
    <n v="1748.01"/>
    <x v="2"/>
    <s v="Confirmed"/>
    <x v="0"/>
    <x v="7"/>
    <x v="2"/>
    <x v="3"/>
    <x v="0"/>
  </r>
  <r>
    <s v="T000789"/>
    <d v="2025-02-27T00:00:00"/>
    <x v="4"/>
    <x v="3"/>
    <x v="3"/>
    <x v="1"/>
    <s v="India"/>
    <x v="5"/>
    <x v="7"/>
    <s v="C00789"/>
    <n v="52"/>
    <s v="Other"/>
    <x v="3"/>
    <x v="0"/>
    <x v="1"/>
    <s v="Half Board"/>
    <n v="40513.129999999997"/>
    <n v="1121.8900000000001"/>
    <x v="0"/>
    <s v="Pending"/>
    <x v="2"/>
    <x v="9"/>
    <x v="4"/>
    <x v="3"/>
    <x v="0"/>
  </r>
  <r>
    <s v="T000790"/>
    <d v="2025-02-28T00:00:00"/>
    <x v="4"/>
    <x v="3"/>
    <x v="4"/>
    <x v="1"/>
    <s v="India"/>
    <x v="6"/>
    <x v="10"/>
    <s v="C00790"/>
    <n v="21"/>
    <s v="Female"/>
    <x v="4"/>
    <x v="1"/>
    <x v="3"/>
    <s v="Full Board"/>
    <n v="48403.19"/>
    <n v="3978.9"/>
    <x v="2"/>
    <s v="Confirmed"/>
    <x v="3"/>
    <x v="17"/>
    <x v="1"/>
    <x v="0"/>
    <x v="0"/>
  </r>
  <r>
    <s v="T000791"/>
    <d v="2025-03-01T00:00:00"/>
    <x v="2"/>
    <x v="2"/>
    <x v="3"/>
    <x v="1"/>
    <s v="India"/>
    <x v="5"/>
    <x v="3"/>
    <s v="C00791"/>
    <n v="50"/>
    <s v="Other"/>
    <x v="4"/>
    <x v="3"/>
    <x v="1"/>
    <s v="Full Board"/>
    <n v="32374.86"/>
    <n v="4916.84"/>
    <x v="2"/>
    <s v="Pending"/>
    <x v="0"/>
    <x v="39"/>
    <x v="0"/>
    <x v="1"/>
    <x v="1"/>
  </r>
  <r>
    <s v="T000792"/>
    <d v="2025-03-02T00:00:00"/>
    <x v="1"/>
    <x v="1"/>
    <x v="4"/>
    <x v="1"/>
    <s v="India"/>
    <x v="6"/>
    <x v="9"/>
    <s v="C00792"/>
    <n v="30"/>
    <s v="Other"/>
    <x v="6"/>
    <x v="3"/>
    <x v="0"/>
    <s v="Half Board"/>
    <n v="20020.41"/>
    <n v="127.46"/>
    <x v="2"/>
    <s v="Confirmed"/>
    <x v="3"/>
    <x v="0"/>
    <x v="0"/>
    <x v="0"/>
    <x v="0"/>
  </r>
  <r>
    <s v="T000793"/>
    <d v="2025-03-03T00:00:00"/>
    <x v="0"/>
    <x v="0"/>
    <x v="1"/>
    <x v="1"/>
    <s v="India"/>
    <x v="1"/>
    <x v="10"/>
    <s v="C00793"/>
    <n v="53"/>
    <s v="Female"/>
    <x v="2"/>
    <x v="1"/>
    <x v="3"/>
    <s v="Full Board"/>
    <n v="42199.24"/>
    <n v="3450.1"/>
    <x v="2"/>
    <s v="Confirmed"/>
    <x v="2"/>
    <x v="8"/>
    <x v="0"/>
    <x v="4"/>
    <x v="1"/>
  </r>
  <r>
    <s v="T000794"/>
    <d v="2025-03-04T00:00:00"/>
    <x v="3"/>
    <x v="1"/>
    <x v="4"/>
    <x v="1"/>
    <s v="India"/>
    <x v="6"/>
    <x v="3"/>
    <s v="C00794"/>
    <n v="60"/>
    <s v="Female"/>
    <x v="5"/>
    <x v="1"/>
    <x v="1"/>
    <s v="Full Board"/>
    <n v="18115.53"/>
    <n v="1319.79"/>
    <x v="2"/>
    <s v="Cancelled"/>
    <x v="0"/>
    <x v="3"/>
    <x v="2"/>
    <x v="2"/>
    <x v="0"/>
  </r>
  <r>
    <s v="T000795"/>
    <d v="2025-03-05T00:00:00"/>
    <x v="0"/>
    <x v="0"/>
    <x v="4"/>
    <x v="1"/>
    <s v="India"/>
    <x v="6"/>
    <x v="5"/>
    <s v="C00795"/>
    <n v="36"/>
    <s v="Male"/>
    <x v="0"/>
    <x v="2"/>
    <x v="3"/>
    <s v="Half Board"/>
    <n v="12414.78"/>
    <n v="332.04"/>
    <x v="2"/>
    <s v="Cancelled"/>
    <x v="2"/>
    <x v="22"/>
    <x v="4"/>
    <x v="0"/>
    <x v="0"/>
  </r>
  <r>
    <s v="T000796"/>
    <d v="2025-03-06T00:00:00"/>
    <x v="3"/>
    <x v="1"/>
    <x v="4"/>
    <x v="1"/>
    <s v="India"/>
    <x v="6"/>
    <x v="2"/>
    <s v="C00796"/>
    <n v="60"/>
    <s v="Female"/>
    <x v="5"/>
    <x v="0"/>
    <x v="0"/>
    <s v="No Meals"/>
    <n v="36783"/>
    <n v="71.760000000000005"/>
    <x v="0"/>
    <s v="Cancelled"/>
    <x v="0"/>
    <x v="21"/>
    <x v="2"/>
    <x v="0"/>
    <x v="1"/>
  </r>
  <r>
    <s v="T000797"/>
    <d v="2025-03-07T00:00:00"/>
    <x v="1"/>
    <x v="1"/>
    <x v="2"/>
    <x v="0"/>
    <s v="India"/>
    <x v="2"/>
    <x v="8"/>
    <s v="C00797"/>
    <n v="29"/>
    <s v="Other"/>
    <x v="5"/>
    <x v="3"/>
    <x v="1"/>
    <s v="Full Board"/>
    <n v="33753"/>
    <n v="4405.05"/>
    <x v="2"/>
    <s v="Cancelled"/>
    <x v="0"/>
    <x v="11"/>
    <x v="0"/>
    <x v="2"/>
    <x v="1"/>
  </r>
  <r>
    <s v="T000798"/>
    <d v="2025-03-08T00:00:00"/>
    <x v="3"/>
    <x v="1"/>
    <x v="2"/>
    <x v="0"/>
    <s v="India"/>
    <x v="3"/>
    <x v="11"/>
    <s v="C00798"/>
    <n v="28"/>
    <s v="Other"/>
    <x v="4"/>
    <x v="3"/>
    <x v="3"/>
    <s v="No Meals"/>
    <n v="44552.7"/>
    <n v="1768.03"/>
    <x v="2"/>
    <s v="Cancelled"/>
    <x v="2"/>
    <x v="30"/>
    <x v="0"/>
    <x v="2"/>
    <x v="1"/>
  </r>
  <r>
    <s v="T000799"/>
    <d v="2025-03-09T00:00:00"/>
    <x v="2"/>
    <x v="2"/>
    <x v="1"/>
    <x v="1"/>
    <s v="India"/>
    <x v="1"/>
    <x v="3"/>
    <s v="C00799"/>
    <n v="23"/>
    <s v="Female"/>
    <x v="3"/>
    <x v="2"/>
    <x v="3"/>
    <s v="Full Board"/>
    <n v="48286.61"/>
    <n v="4972.72"/>
    <x v="2"/>
    <s v="Cancelled"/>
    <x v="1"/>
    <x v="14"/>
    <x v="1"/>
    <x v="3"/>
    <x v="1"/>
  </r>
  <r>
    <s v="T000800"/>
    <d v="2025-03-10T00:00:00"/>
    <x v="2"/>
    <x v="2"/>
    <x v="4"/>
    <x v="1"/>
    <s v="India"/>
    <x v="6"/>
    <x v="9"/>
    <s v="C00800"/>
    <n v="29"/>
    <s v="Male"/>
    <x v="3"/>
    <x v="1"/>
    <x v="1"/>
    <s v="Breakfast Only"/>
    <n v="43573.89"/>
    <n v="2211.89"/>
    <x v="1"/>
    <s v="Confirmed"/>
    <x v="1"/>
    <x v="20"/>
    <x v="0"/>
    <x v="3"/>
    <x v="1"/>
  </r>
  <r>
    <s v="T000801"/>
    <d v="2025-03-11T00:00:00"/>
    <x v="2"/>
    <x v="2"/>
    <x v="0"/>
    <x v="0"/>
    <s v="India"/>
    <x v="0"/>
    <x v="9"/>
    <s v="C00801"/>
    <n v="44"/>
    <s v="Other"/>
    <x v="6"/>
    <x v="1"/>
    <x v="1"/>
    <s v="No Meals"/>
    <n v="7700.98"/>
    <n v="937.99"/>
    <x v="3"/>
    <s v="Confirmed"/>
    <x v="3"/>
    <x v="0"/>
    <x v="0"/>
    <x v="2"/>
    <x v="0"/>
  </r>
  <r>
    <s v="T000802"/>
    <d v="2025-03-12T00:00:00"/>
    <x v="2"/>
    <x v="2"/>
    <x v="1"/>
    <x v="1"/>
    <s v="India"/>
    <x v="1"/>
    <x v="8"/>
    <s v="C00802"/>
    <n v="58"/>
    <s v="Female"/>
    <x v="3"/>
    <x v="2"/>
    <x v="0"/>
    <s v="No Meals"/>
    <n v="34903.1"/>
    <n v="3885.72"/>
    <x v="3"/>
    <s v="Cancelled"/>
    <x v="3"/>
    <x v="19"/>
    <x v="2"/>
    <x v="0"/>
    <x v="1"/>
  </r>
  <r>
    <s v="T000803"/>
    <d v="2025-03-13T00:00:00"/>
    <x v="0"/>
    <x v="0"/>
    <x v="4"/>
    <x v="1"/>
    <s v="India"/>
    <x v="6"/>
    <x v="7"/>
    <s v="C00803"/>
    <n v="42"/>
    <s v="Male"/>
    <x v="6"/>
    <x v="0"/>
    <x v="2"/>
    <s v="Full Board"/>
    <n v="40312.959999999999"/>
    <n v="4632.46"/>
    <x v="3"/>
    <s v="Cancelled"/>
    <x v="2"/>
    <x v="11"/>
    <x v="0"/>
    <x v="4"/>
    <x v="1"/>
  </r>
  <r>
    <s v="T000804"/>
    <d v="2025-03-14T00:00:00"/>
    <x v="1"/>
    <x v="1"/>
    <x v="4"/>
    <x v="1"/>
    <s v="India"/>
    <x v="6"/>
    <x v="6"/>
    <s v="C00804"/>
    <n v="59"/>
    <s v="Male"/>
    <x v="4"/>
    <x v="1"/>
    <x v="3"/>
    <s v="No Meals"/>
    <n v="49186.79"/>
    <n v="4078.11"/>
    <x v="0"/>
    <s v="Cancelled"/>
    <x v="2"/>
    <x v="20"/>
    <x v="0"/>
    <x v="0"/>
    <x v="1"/>
  </r>
  <r>
    <s v="T000805"/>
    <d v="2025-03-15T00:00:00"/>
    <x v="3"/>
    <x v="1"/>
    <x v="2"/>
    <x v="0"/>
    <s v="India"/>
    <x v="2"/>
    <x v="11"/>
    <s v="C00805"/>
    <n v="20"/>
    <s v="Other"/>
    <x v="4"/>
    <x v="1"/>
    <x v="1"/>
    <s v="Breakfast Only"/>
    <n v="21859.759999999998"/>
    <n v="3726"/>
    <x v="0"/>
    <s v="Confirmed"/>
    <x v="2"/>
    <x v="26"/>
    <x v="0"/>
    <x v="4"/>
    <x v="0"/>
  </r>
  <r>
    <s v="T000806"/>
    <d v="2025-03-16T00:00:00"/>
    <x v="3"/>
    <x v="1"/>
    <x v="1"/>
    <x v="1"/>
    <s v="India"/>
    <x v="1"/>
    <x v="1"/>
    <s v="C00806"/>
    <n v="20"/>
    <s v="Other"/>
    <x v="5"/>
    <x v="0"/>
    <x v="1"/>
    <s v="Half Board"/>
    <n v="12644.67"/>
    <n v="1673.5"/>
    <x v="0"/>
    <s v="Cancelled"/>
    <x v="1"/>
    <x v="29"/>
    <x v="1"/>
    <x v="2"/>
    <x v="1"/>
  </r>
  <r>
    <s v="T000807"/>
    <d v="2025-03-17T00:00:00"/>
    <x v="2"/>
    <x v="2"/>
    <x v="4"/>
    <x v="1"/>
    <s v="India"/>
    <x v="6"/>
    <x v="3"/>
    <s v="C00807"/>
    <n v="37"/>
    <s v="Male"/>
    <x v="4"/>
    <x v="0"/>
    <x v="1"/>
    <s v="Breakfast Only"/>
    <n v="43381.99"/>
    <n v="322.45"/>
    <x v="2"/>
    <s v="Cancelled"/>
    <x v="1"/>
    <x v="10"/>
    <x v="1"/>
    <x v="4"/>
    <x v="0"/>
  </r>
  <r>
    <s v="T000808"/>
    <d v="2025-03-18T00:00:00"/>
    <x v="2"/>
    <x v="2"/>
    <x v="4"/>
    <x v="1"/>
    <s v="India"/>
    <x v="6"/>
    <x v="7"/>
    <s v="C00808"/>
    <n v="45"/>
    <s v="Male"/>
    <x v="4"/>
    <x v="2"/>
    <x v="3"/>
    <s v="Half Board"/>
    <n v="19286"/>
    <n v="1006.5"/>
    <x v="3"/>
    <s v="Confirmed"/>
    <x v="0"/>
    <x v="7"/>
    <x v="3"/>
    <x v="3"/>
    <x v="0"/>
  </r>
  <r>
    <s v="T000809"/>
    <d v="2025-03-19T00:00:00"/>
    <x v="4"/>
    <x v="3"/>
    <x v="1"/>
    <x v="1"/>
    <s v="India"/>
    <x v="1"/>
    <x v="10"/>
    <s v="C00809"/>
    <n v="40"/>
    <s v="Male"/>
    <x v="0"/>
    <x v="2"/>
    <x v="0"/>
    <s v="Breakfast Only"/>
    <n v="31919.09"/>
    <n v="2234.0500000000002"/>
    <x v="2"/>
    <s v="Confirmed"/>
    <x v="0"/>
    <x v="33"/>
    <x v="4"/>
    <x v="2"/>
    <x v="0"/>
  </r>
  <r>
    <s v="T000810"/>
    <d v="2025-03-20T00:00:00"/>
    <x v="1"/>
    <x v="1"/>
    <x v="0"/>
    <x v="0"/>
    <s v="India"/>
    <x v="0"/>
    <x v="1"/>
    <s v="C00810"/>
    <n v="65"/>
    <s v="Female"/>
    <x v="2"/>
    <x v="2"/>
    <x v="2"/>
    <s v="Breakfast Only"/>
    <n v="22545.26"/>
    <n v="4781"/>
    <x v="1"/>
    <s v="Pending"/>
    <x v="2"/>
    <x v="23"/>
    <x v="1"/>
    <x v="1"/>
    <x v="0"/>
  </r>
  <r>
    <s v="T000811"/>
    <d v="2025-03-21T00:00:00"/>
    <x v="0"/>
    <x v="0"/>
    <x v="1"/>
    <x v="1"/>
    <s v="India"/>
    <x v="1"/>
    <x v="11"/>
    <s v="C00811"/>
    <n v="20"/>
    <s v="Other"/>
    <x v="5"/>
    <x v="1"/>
    <x v="3"/>
    <s v="No Meals"/>
    <n v="23104.68"/>
    <n v="3614.27"/>
    <x v="3"/>
    <s v="Cancelled"/>
    <x v="2"/>
    <x v="6"/>
    <x v="3"/>
    <x v="4"/>
    <x v="1"/>
  </r>
  <r>
    <s v="T000812"/>
    <d v="2025-03-22T00:00:00"/>
    <x v="3"/>
    <x v="1"/>
    <x v="1"/>
    <x v="1"/>
    <s v="India"/>
    <x v="1"/>
    <x v="7"/>
    <s v="C00812"/>
    <n v="59"/>
    <s v="Male"/>
    <x v="5"/>
    <x v="2"/>
    <x v="0"/>
    <s v="Breakfast Only"/>
    <n v="37960.9"/>
    <n v="4141.42"/>
    <x v="1"/>
    <s v="Confirmed"/>
    <x v="3"/>
    <x v="4"/>
    <x v="0"/>
    <x v="4"/>
    <x v="1"/>
  </r>
  <r>
    <s v="T000813"/>
    <d v="2025-03-23T00:00:00"/>
    <x v="4"/>
    <x v="3"/>
    <x v="0"/>
    <x v="0"/>
    <s v="India"/>
    <x v="0"/>
    <x v="0"/>
    <s v="C00813"/>
    <n v="41"/>
    <s v="Other"/>
    <x v="2"/>
    <x v="1"/>
    <x v="3"/>
    <s v="Full Board"/>
    <n v="21266.38"/>
    <n v="1386.47"/>
    <x v="1"/>
    <s v="Pending"/>
    <x v="1"/>
    <x v="38"/>
    <x v="0"/>
    <x v="1"/>
    <x v="1"/>
  </r>
  <r>
    <s v="T000814"/>
    <d v="2025-03-24T00:00:00"/>
    <x v="4"/>
    <x v="3"/>
    <x v="1"/>
    <x v="1"/>
    <s v="India"/>
    <x v="1"/>
    <x v="1"/>
    <s v="C00814"/>
    <n v="60"/>
    <s v="Other"/>
    <x v="0"/>
    <x v="3"/>
    <x v="3"/>
    <s v="Full Board"/>
    <n v="36188.379999999997"/>
    <n v="3419.12"/>
    <x v="2"/>
    <s v="Confirmed"/>
    <x v="2"/>
    <x v="35"/>
    <x v="2"/>
    <x v="1"/>
    <x v="1"/>
  </r>
  <r>
    <s v="T000815"/>
    <d v="2025-03-25T00:00:00"/>
    <x v="3"/>
    <x v="1"/>
    <x v="4"/>
    <x v="1"/>
    <s v="India"/>
    <x v="6"/>
    <x v="4"/>
    <s v="C00815"/>
    <n v="57"/>
    <s v="Other"/>
    <x v="4"/>
    <x v="0"/>
    <x v="1"/>
    <s v="Full Board"/>
    <n v="5644.78"/>
    <n v="4312.1899999999996"/>
    <x v="3"/>
    <s v="Pending"/>
    <x v="1"/>
    <x v="24"/>
    <x v="0"/>
    <x v="2"/>
    <x v="0"/>
  </r>
  <r>
    <s v="T000816"/>
    <d v="2025-03-26T00:00:00"/>
    <x v="0"/>
    <x v="0"/>
    <x v="1"/>
    <x v="1"/>
    <s v="India"/>
    <x v="1"/>
    <x v="4"/>
    <s v="C00816"/>
    <n v="23"/>
    <s v="Male"/>
    <x v="3"/>
    <x v="0"/>
    <x v="0"/>
    <s v="Full Board"/>
    <n v="19609.13"/>
    <n v="2397.06"/>
    <x v="1"/>
    <s v="Pending"/>
    <x v="2"/>
    <x v="17"/>
    <x v="1"/>
    <x v="0"/>
    <x v="0"/>
  </r>
  <r>
    <s v="T000817"/>
    <d v="2025-03-27T00:00:00"/>
    <x v="4"/>
    <x v="3"/>
    <x v="0"/>
    <x v="0"/>
    <s v="India"/>
    <x v="4"/>
    <x v="3"/>
    <s v="C00817"/>
    <n v="37"/>
    <s v="Female"/>
    <x v="6"/>
    <x v="3"/>
    <x v="1"/>
    <s v="No Meals"/>
    <n v="19356.98"/>
    <n v="2149.46"/>
    <x v="3"/>
    <s v="Cancelled"/>
    <x v="0"/>
    <x v="29"/>
    <x v="1"/>
    <x v="1"/>
    <x v="1"/>
  </r>
  <r>
    <s v="T000818"/>
    <d v="2025-03-28T00:00:00"/>
    <x v="4"/>
    <x v="3"/>
    <x v="3"/>
    <x v="1"/>
    <s v="India"/>
    <x v="5"/>
    <x v="3"/>
    <s v="C00818"/>
    <n v="28"/>
    <s v="Male"/>
    <x v="5"/>
    <x v="2"/>
    <x v="1"/>
    <s v="Full Board"/>
    <n v="38697.589999999997"/>
    <n v="3597.02"/>
    <x v="1"/>
    <s v="Cancelled"/>
    <x v="2"/>
    <x v="10"/>
    <x v="1"/>
    <x v="4"/>
    <x v="1"/>
  </r>
  <r>
    <s v="T000819"/>
    <d v="2025-03-29T00:00:00"/>
    <x v="1"/>
    <x v="1"/>
    <x v="1"/>
    <x v="1"/>
    <s v="India"/>
    <x v="1"/>
    <x v="3"/>
    <s v="C00819"/>
    <n v="49"/>
    <s v="Other"/>
    <x v="2"/>
    <x v="1"/>
    <x v="0"/>
    <s v="Breakfast Only"/>
    <n v="19155.07"/>
    <n v="2799.56"/>
    <x v="1"/>
    <s v="Pending"/>
    <x v="0"/>
    <x v="17"/>
    <x v="1"/>
    <x v="1"/>
    <x v="1"/>
  </r>
  <r>
    <s v="T000820"/>
    <d v="2025-03-30T00:00:00"/>
    <x v="0"/>
    <x v="0"/>
    <x v="2"/>
    <x v="0"/>
    <s v="India"/>
    <x v="2"/>
    <x v="11"/>
    <s v="C00820"/>
    <n v="44"/>
    <s v="Male"/>
    <x v="1"/>
    <x v="1"/>
    <x v="1"/>
    <s v="Full Board"/>
    <n v="33499.72"/>
    <n v="4965.8599999999997"/>
    <x v="2"/>
    <s v="Cancelled"/>
    <x v="3"/>
    <x v="27"/>
    <x v="0"/>
    <x v="2"/>
    <x v="0"/>
  </r>
  <r>
    <s v="T000821"/>
    <d v="2025-03-31T00:00:00"/>
    <x v="4"/>
    <x v="3"/>
    <x v="4"/>
    <x v="1"/>
    <s v="India"/>
    <x v="6"/>
    <x v="6"/>
    <s v="C00821"/>
    <n v="38"/>
    <s v="Male"/>
    <x v="6"/>
    <x v="1"/>
    <x v="1"/>
    <s v="No Meals"/>
    <n v="35983.599999999999"/>
    <n v="2125.5100000000002"/>
    <x v="3"/>
    <s v="Confirmed"/>
    <x v="3"/>
    <x v="18"/>
    <x v="0"/>
    <x v="2"/>
    <x v="0"/>
  </r>
  <r>
    <s v="T000822"/>
    <d v="2025-04-01T00:00:00"/>
    <x v="0"/>
    <x v="0"/>
    <x v="4"/>
    <x v="1"/>
    <s v="India"/>
    <x v="6"/>
    <x v="6"/>
    <s v="C00822"/>
    <n v="61"/>
    <s v="Other"/>
    <x v="1"/>
    <x v="0"/>
    <x v="2"/>
    <s v="Half Board"/>
    <n v="34629.15"/>
    <n v="879.72"/>
    <x v="2"/>
    <s v="Confirmed"/>
    <x v="3"/>
    <x v="37"/>
    <x v="2"/>
    <x v="4"/>
    <x v="0"/>
  </r>
  <r>
    <s v="T000823"/>
    <d v="2025-04-02T00:00:00"/>
    <x v="3"/>
    <x v="1"/>
    <x v="2"/>
    <x v="0"/>
    <s v="India"/>
    <x v="3"/>
    <x v="0"/>
    <s v="C00823"/>
    <n v="65"/>
    <s v="Other"/>
    <x v="1"/>
    <x v="2"/>
    <x v="0"/>
    <s v="Breakfast Only"/>
    <n v="32148.22"/>
    <n v="2359.6799999999998"/>
    <x v="2"/>
    <s v="Pending"/>
    <x v="2"/>
    <x v="27"/>
    <x v="0"/>
    <x v="4"/>
    <x v="1"/>
  </r>
  <r>
    <s v="T000824"/>
    <d v="2025-04-03T00:00:00"/>
    <x v="2"/>
    <x v="2"/>
    <x v="2"/>
    <x v="0"/>
    <s v="India"/>
    <x v="3"/>
    <x v="7"/>
    <s v="C00824"/>
    <n v="67"/>
    <s v="Male"/>
    <x v="5"/>
    <x v="1"/>
    <x v="0"/>
    <s v="Breakfast Only"/>
    <n v="23612.76"/>
    <n v="1176.02"/>
    <x v="2"/>
    <s v="Pending"/>
    <x v="3"/>
    <x v="1"/>
    <x v="1"/>
    <x v="4"/>
    <x v="0"/>
  </r>
  <r>
    <s v="T000825"/>
    <d v="2025-04-04T00:00:00"/>
    <x v="4"/>
    <x v="3"/>
    <x v="1"/>
    <x v="1"/>
    <s v="India"/>
    <x v="1"/>
    <x v="10"/>
    <s v="C00825"/>
    <n v="30"/>
    <s v="Male"/>
    <x v="4"/>
    <x v="1"/>
    <x v="1"/>
    <s v="No Meals"/>
    <n v="21798.720000000001"/>
    <n v="2806.27"/>
    <x v="2"/>
    <s v="Confirmed"/>
    <x v="2"/>
    <x v="29"/>
    <x v="1"/>
    <x v="0"/>
    <x v="0"/>
  </r>
  <r>
    <s v="T000826"/>
    <d v="2025-04-05T00:00:00"/>
    <x v="1"/>
    <x v="1"/>
    <x v="2"/>
    <x v="0"/>
    <s v="India"/>
    <x v="2"/>
    <x v="5"/>
    <s v="C00826"/>
    <n v="39"/>
    <s v="Male"/>
    <x v="1"/>
    <x v="1"/>
    <x v="1"/>
    <s v="Half Board"/>
    <n v="30406.28"/>
    <n v="628.98"/>
    <x v="2"/>
    <s v="Confirmed"/>
    <x v="1"/>
    <x v="16"/>
    <x v="4"/>
    <x v="4"/>
    <x v="0"/>
  </r>
  <r>
    <s v="T000827"/>
    <d v="2025-04-06T00:00:00"/>
    <x v="3"/>
    <x v="1"/>
    <x v="3"/>
    <x v="1"/>
    <s v="India"/>
    <x v="5"/>
    <x v="9"/>
    <s v="C00827"/>
    <n v="52"/>
    <s v="Male"/>
    <x v="4"/>
    <x v="3"/>
    <x v="0"/>
    <s v="Full Board"/>
    <n v="7866.64"/>
    <n v="4749.88"/>
    <x v="1"/>
    <s v="Pending"/>
    <x v="0"/>
    <x v="1"/>
    <x v="1"/>
    <x v="2"/>
    <x v="1"/>
  </r>
  <r>
    <s v="T000828"/>
    <d v="2025-04-07T00:00:00"/>
    <x v="0"/>
    <x v="0"/>
    <x v="0"/>
    <x v="0"/>
    <s v="India"/>
    <x v="4"/>
    <x v="10"/>
    <s v="C00828"/>
    <n v="64"/>
    <s v="Female"/>
    <x v="0"/>
    <x v="1"/>
    <x v="0"/>
    <s v="Half Board"/>
    <n v="44411.89"/>
    <n v="4299.1099999999997"/>
    <x v="3"/>
    <s v="Confirmed"/>
    <x v="1"/>
    <x v="32"/>
    <x v="4"/>
    <x v="2"/>
    <x v="0"/>
  </r>
  <r>
    <s v="T000829"/>
    <d v="2025-04-08T00:00:00"/>
    <x v="3"/>
    <x v="1"/>
    <x v="2"/>
    <x v="0"/>
    <s v="India"/>
    <x v="3"/>
    <x v="7"/>
    <s v="C00829"/>
    <n v="39"/>
    <s v="Male"/>
    <x v="3"/>
    <x v="3"/>
    <x v="3"/>
    <s v="Breakfast Only"/>
    <n v="42139.18"/>
    <n v="777.83"/>
    <x v="3"/>
    <s v="Confirmed"/>
    <x v="2"/>
    <x v="4"/>
    <x v="0"/>
    <x v="1"/>
    <x v="1"/>
  </r>
  <r>
    <s v="T000830"/>
    <d v="2025-04-09T00:00:00"/>
    <x v="4"/>
    <x v="3"/>
    <x v="2"/>
    <x v="0"/>
    <s v="India"/>
    <x v="3"/>
    <x v="0"/>
    <s v="C00830"/>
    <n v="45"/>
    <s v="Female"/>
    <x v="1"/>
    <x v="1"/>
    <x v="0"/>
    <s v="Breakfast Only"/>
    <n v="20587.310000000001"/>
    <n v="861.96"/>
    <x v="2"/>
    <s v="Pending"/>
    <x v="3"/>
    <x v="9"/>
    <x v="4"/>
    <x v="4"/>
    <x v="1"/>
  </r>
  <r>
    <s v="T000831"/>
    <d v="2025-04-10T00:00:00"/>
    <x v="0"/>
    <x v="0"/>
    <x v="3"/>
    <x v="1"/>
    <s v="India"/>
    <x v="5"/>
    <x v="11"/>
    <s v="C00831"/>
    <n v="38"/>
    <s v="Other"/>
    <x v="5"/>
    <x v="1"/>
    <x v="3"/>
    <s v="Breakfast Only"/>
    <n v="30506.86"/>
    <n v="2562.19"/>
    <x v="3"/>
    <s v="Cancelled"/>
    <x v="0"/>
    <x v="38"/>
    <x v="0"/>
    <x v="0"/>
    <x v="1"/>
  </r>
  <r>
    <s v="T000832"/>
    <d v="2025-04-11T00:00:00"/>
    <x v="2"/>
    <x v="2"/>
    <x v="4"/>
    <x v="1"/>
    <s v="India"/>
    <x v="6"/>
    <x v="1"/>
    <s v="C00832"/>
    <n v="63"/>
    <s v="Female"/>
    <x v="3"/>
    <x v="1"/>
    <x v="1"/>
    <s v="Half Board"/>
    <n v="46950.25"/>
    <n v="3864.41"/>
    <x v="1"/>
    <s v="Confirmed"/>
    <x v="3"/>
    <x v="10"/>
    <x v="1"/>
    <x v="3"/>
    <x v="0"/>
  </r>
  <r>
    <s v="T000833"/>
    <d v="2025-04-12T00:00:00"/>
    <x v="3"/>
    <x v="1"/>
    <x v="4"/>
    <x v="1"/>
    <s v="India"/>
    <x v="6"/>
    <x v="10"/>
    <s v="C00833"/>
    <n v="35"/>
    <s v="Other"/>
    <x v="4"/>
    <x v="3"/>
    <x v="2"/>
    <s v="Full Board"/>
    <n v="17223.66"/>
    <n v="1095.4000000000001"/>
    <x v="2"/>
    <s v="Cancelled"/>
    <x v="1"/>
    <x v="11"/>
    <x v="0"/>
    <x v="1"/>
    <x v="1"/>
  </r>
  <r>
    <s v="T000834"/>
    <d v="2025-04-13T00:00:00"/>
    <x v="4"/>
    <x v="3"/>
    <x v="1"/>
    <x v="1"/>
    <s v="India"/>
    <x v="1"/>
    <x v="1"/>
    <s v="C00834"/>
    <n v="48"/>
    <s v="Female"/>
    <x v="1"/>
    <x v="1"/>
    <x v="2"/>
    <s v="Breakfast Only"/>
    <n v="38410.49"/>
    <n v="304.86"/>
    <x v="0"/>
    <s v="Cancelled"/>
    <x v="2"/>
    <x v="15"/>
    <x v="0"/>
    <x v="0"/>
    <x v="0"/>
  </r>
  <r>
    <s v="T000835"/>
    <d v="2025-04-14T00:00:00"/>
    <x v="1"/>
    <x v="1"/>
    <x v="3"/>
    <x v="1"/>
    <s v="India"/>
    <x v="5"/>
    <x v="5"/>
    <s v="C00835"/>
    <n v="63"/>
    <s v="Other"/>
    <x v="6"/>
    <x v="2"/>
    <x v="3"/>
    <s v="No Meals"/>
    <n v="8722.93"/>
    <n v="2727.67"/>
    <x v="0"/>
    <s v="Confirmed"/>
    <x v="0"/>
    <x v="3"/>
    <x v="3"/>
    <x v="4"/>
    <x v="0"/>
  </r>
  <r>
    <s v="T000836"/>
    <d v="2025-04-15T00:00:00"/>
    <x v="0"/>
    <x v="0"/>
    <x v="0"/>
    <x v="0"/>
    <s v="India"/>
    <x v="0"/>
    <x v="6"/>
    <s v="C00836"/>
    <n v="54"/>
    <s v="Male"/>
    <x v="5"/>
    <x v="1"/>
    <x v="1"/>
    <s v="Full Board"/>
    <n v="28551.75"/>
    <n v="3457.99"/>
    <x v="1"/>
    <s v="Cancelled"/>
    <x v="0"/>
    <x v="38"/>
    <x v="0"/>
    <x v="0"/>
    <x v="1"/>
  </r>
  <r>
    <s v="T000837"/>
    <d v="2025-04-16T00:00:00"/>
    <x v="3"/>
    <x v="1"/>
    <x v="0"/>
    <x v="0"/>
    <s v="India"/>
    <x v="4"/>
    <x v="7"/>
    <s v="C00837"/>
    <n v="38"/>
    <s v="Female"/>
    <x v="0"/>
    <x v="3"/>
    <x v="1"/>
    <s v="Breakfast Only"/>
    <n v="44778.61"/>
    <n v="1221.83"/>
    <x v="1"/>
    <s v="Pending"/>
    <x v="2"/>
    <x v="12"/>
    <x v="1"/>
    <x v="3"/>
    <x v="1"/>
  </r>
  <r>
    <s v="T000838"/>
    <d v="2025-04-17T00:00:00"/>
    <x v="3"/>
    <x v="1"/>
    <x v="3"/>
    <x v="1"/>
    <s v="India"/>
    <x v="5"/>
    <x v="2"/>
    <s v="C00838"/>
    <n v="31"/>
    <s v="Female"/>
    <x v="2"/>
    <x v="3"/>
    <x v="1"/>
    <s v="Full Board"/>
    <n v="29826.92"/>
    <n v="3698.84"/>
    <x v="0"/>
    <s v="Confirmed"/>
    <x v="2"/>
    <x v="3"/>
    <x v="3"/>
    <x v="0"/>
    <x v="1"/>
  </r>
  <r>
    <s v="T000839"/>
    <d v="2025-04-18T00:00:00"/>
    <x v="2"/>
    <x v="2"/>
    <x v="0"/>
    <x v="0"/>
    <s v="India"/>
    <x v="0"/>
    <x v="0"/>
    <s v="C00839"/>
    <n v="42"/>
    <s v="Other"/>
    <x v="0"/>
    <x v="2"/>
    <x v="0"/>
    <s v="No Meals"/>
    <n v="32731.38"/>
    <n v="4753.22"/>
    <x v="2"/>
    <s v="Confirmed"/>
    <x v="0"/>
    <x v="9"/>
    <x v="4"/>
    <x v="3"/>
    <x v="0"/>
  </r>
  <r>
    <s v="T000840"/>
    <d v="2025-04-19T00:00:00"/>
    <x v="2"/>
    <x v="2"/>
    <x v="4"/>
    <x v="1"/>
    <s v="India"/>
    <x v="6"/>
    <x v="7"/>
    <s v="C00840"/>
    <n v="44"/>
    <s v="Other"/>
    <x v="1"/>
    <x v="0"/>
    <x v="1"/>
    <s v="Half Board"/>
    <n v="45843.77"/>
    <n v="685.37"/>
    <x v="1"/>
    <s v="Cancelled"/>
    <x v="1"/>
    <x v="33"/>
    <x v="4"/>
    <x v="3"/>
    <x v="1"/>
  </r>
  <r>
    <s v="T000841"/>
    <d v="2025-04-20T00:00:00"/>
    <x v="1"/>
    <x v="1"/>
    <x v="0"/>
    <x v="0"/>
    <s v="India"/>
    <x v="4"/>
    <x v="9"/>
    <s v="C00841"/>
    <n v="57"/>
    <s v="Female"/>
    <x v="5"/>
    <x v="2"/>
    <x v="0"/>
    <s v="Breakfast Only"/>
    <n v="37191.230000000003"/>
    <n v="2555.15"/>
    <x v="0"/>
    <s v="Confirmed"/>
    <x v="1"/>
    <x v="15"/>
    <x v="0"/>
    <x v="3"/>
    <x v="0"/>
  </r>
  <r>
    <s v="T000842"/>
    <d v="2025-04-21T00:00:00"/>
    <x v="1"/>
    <x v="1"/>
    <x v="0"/>
    <x v="0"/>
    <s v="India"/>
    <x v="0"/>
    <x v="11"/>
    <s v="C00842"/>
    <n v="40"/>
    <s v="Other"/>
    <x v="0"/>
    <x v="2"/>
    <x v="3"/>
    <s v="No Meals"/>
    <n v="36314.14"/>
    <n v="284.20999999999998"/>
    <x v="2"/>
    <s v="Confirmed"/>
    <x v="3"/>
    <x v="17"/>
    <x v="1"/>
    <x v="0"/>
    <x v="1"/>
  </r>
  <r>
    <s v="T000843"/>
    <d v="2025-04-22T00:00:00"/>
    <x v="4"/>
    <x v="3"/>
    <x v="3"/>
    <x v="1"/>
    <s v="India"/>
    <x v="5"/>
    <x v="9"/>
    <s v="C00843"/>
    <n v="48"/>
    <s v="Male"/>
    <x v="2"/>
    <x v="3"/>
    <x v="2"/>
    <s v="Breakfast Only"/>
    <n v="31387.279999999999"/>
    <n v="1033.31"/>
    <x v="1"/>
    <s v="Cancelled"/>
    <x v="0"/>
    <x v="5"/>
    <x v="1"/>
    <x v="4"/>
    <x v="0"/>
  </r>
  <r>
    <s v="T000844"/>
    <d v="2025-04-23T00:00:00"/>
    <x v="4"/>
    <x v="3"/>
    <x v="3"/>
    <x v="1"/>
    <s v="India"/>
    <x v="5"/>
    <x v="7"/>
    <s v="C00844"/>
    <n v="64"/>
    <s v="Female"/>
    <x v="6"/>
    <x v="1"/>
    <x v="3"/>
    <s v="Breakfast Only"/>
    <n v="33484.49"/>
    <n v="449.1"/>
    <x v="3"/>
    <s v="Cancelled"/>
    <x v="2"/>
    <x v="25"/>
    <x v="3"/>
    <x v="2"/>
    <x v="1"/>
  </r>
  <r>
    <s v="T000845"/>
    <d v="2025-04-24T00:00:00"/>
    <x v="1"/>
    <x v="1"/>
    <x v="0"/>
    <x v="0"/>
    <s v="India"/>
    <x v="0"/>
    <x v="9"/>
    <s v="C00845"/>
    <n v="46"/>
    <s v="Male"/>
    <x v="3"/>
    <x v="1"/>
    <x v="1"/>
    <s v="Half Board"/>
    <n v="41166.74"/>
    <n v="2020.03"/>
    <x v="3"/>
    <s v="Confirmed"/>
    <x v="2"/>
    <x v="25"/>
    <x v="3"/>
    <x v="2"/>
    <x v="1"/>
  </r>
  <r>
    <s v="T000846"/>
    <d v="2025-04-25T00:00:00"/>
    <x v="1"/>
    <x v="1"/>
    <x v="2"/>
    <x v="0"/>
    <s v="India"/>
    <x v="3"/>
    <x v="6"/>
    <s v="C00846"/>
    <n v="64"/>
    <s v="Female"/>
    <x v="6"/>
    <x v="0"/>
    <x v="1"/>
    <s v="Half Board"/>
    <n v="49065.49"/>
    <n v="4104.16"/>
    <x v="3"/>
    <s v="Confirmed"/>
    <x v="2"/>
    <x v="33"/>
    <x v="4"/>
    <x v="0"/>
    <x v="0"/>
  </r>
  <r>
    <s v="T000847"/>
    <d v="2025-04-26T00:00:00"/>
    <x v="0"/>
    <x v="0"/>
    <x v="3"/>
    <x v="1"/>
    <s v="India"/>
    <x v="5"/>
    <x v="8"/>
    <s v="C00847"/>
    <n v="47"/>
    <s v="Male"/>
    <x v="0"/>
    <x v="0"/>
    <x v="3"/>
    <s v="Full Board"/>
    <n v="40789.64"/>
    <n v="2885.65"/>
    <x v="2"/>
    <s v="Pending"/>
    <x v="2"/>
    <x v="8"/>
    <x v="0"/>
    <x v="4"/>
    <x v="1"/>
  </r>
  <r>
    <s v="T000848"/>
    <d v="2025-04-27T00:00:00"/>
    <x v="2"/>
    <x v="2"/>
    <x v="1"/>
    <x v="1"/>
    <s v="India"/>
    <x v="1"/>
    <x v="7"/>
    <s v="C00848"/>
    <n v="68"/>
    <s v="Female"/>
    <x v="2"/>
    <x v="0"/>
    <x v="0"/>
    <s v="No Meals"/>
    <n v="36839.160000000003"/>
    <n v="1112.92"/>
    <x v="1"/>
    <s v="Pending"/>
    <x v="0"/>
    <x v="32"/>
    <x v="4"/>
    <x v="2"/>
    <x v="1"/>
  </r>
  <r>
    <s v="T000849"/>
    <d v="2025-04-28T00:00:00"/>
    <x v="4"/>
    <x v="3"/>
    <x v="1"/>
    <x v="1"/>
    <s v="India"/>
    <x v="1"/>
    <x v="0"/>
    <s v="C00849"/>
    <n v="43"/>
    <s v="Other"/>
    <x v="3"/>
    <x v="0"/>
    <x v="0"/>
    <s v="No Meals"/>
    <n v="11099.52"/>
    <n v="200.55"/>
    <x v="0"/>
    <s v="Confirmed"/>
    <x v="1"/>
    <x v="25"/>
    <x v="2"/>
    <x v="3"/>
    <x v="1"/>
  </r>
  <r>
    <s v="T000850"/>
    <d v="2025-04-29T00:00:00"/>
    <x v="2"/>
    <x v="2"/>
    <x v="4"/>
    <x v="1"/>
    <s v="India"/>
    <x v="6"/>
    <x v="10"/>
    <s v="C00850"/>
    <n v="37"/>
    <s v="Female"/>
    <x v="5"/>
    <x v="2"/>
    <x v="0"/>
    <s v="Half Board"/>
    <n v="41768.620000000003"/>
    <n v="2766.99"/>
    <x v="1"/>
    <s v="Confirmed"/>
    <x v="3"/>
    <x v="15"/>
    <x v="0"/>
    <x v="0"/>
    <x v="1"/>
  </r>
  <r>
    <s v="T000851"/>
    <d v="2025-04-30T00:00:00"/>
    <x v="2"/>
    <x v="2"/>
    <x v="0"/>
    <x v="0"/>
    <s v="India"/>
    <x v="4"/>
    <x v="0"/>
    <s v="C00851"/>
    <n v="55"/>
    <s v="Male"/>
    <x v="2"/>
    <x v="2"/>
    <x v="2"/>
    <s v="Breakfast Only"/>
    <n v="38119.75"/>
    <n v="663.98"/>
    <x v="3"/>
    <s v="Pending"/>
    <x v="1"/>
    <x v="6"/>
    <x v="2"/>
    <x v="0"/>
    <x v="0"/>
  </r>
  <r>
    <s v="T000852"/>
    <d v="2025-05-01T00:00:00"/>
    <x v="1"/>
    <x v="1"/>
    <x v="2"/>
    <x v="0"/>
    <s v="India"/>
    <x v="2"/>
    <x v="8"/>
    <s v="C00852"/>
    <n v="36"/>
    <s v="Female"/>
    <x v="6"/>
    <x v="1"/>
    <x v="2"/>
    <s v="Full Board"/>
    <n v="39669.449999999997"/>
    <n v="1713.67"/>
    <x v="3"/>
    <s v="Cancelled"/>
    <x v="3"/>
    <x v="34"/>
    <x v="1"/>
    <x v="1"/>
    <x v="0"/>
  </r>
  <r>
    <s v="T000853"/>
    <d v="2025-05-02T00:00:00"/>
    <x v="0"/>
    <x v="0"/>
    <x v="4"/>
    <x v="1"/>
    <s v="India"/>
    <x v="6"/>
    <x v="2"/>
    <s v="C00853"/>
    <n v="44"/>
    <s v="Male"/>
    <x v="4"/>
    <x v="2"/>
    <x v="1"/>
    <s v="Half Board"/>
    <n v="15399.34"/>
    <n v="2550.96"/>
    <x v="2"/>
    <s v="Confirmed"/>
    <x v="2"/>
    <x v="28"/>
    <x v="3"/>
    <x v="1"/>
    <x v="0"/>
  </r>
  <r>
    <s v="T000854"/>
    <d v="2025-05-03T00:00:00"/>
    <x v="3"/>
    <x v="1"/>
    <x v="0"/>
    <x v="0"/>
    <s v="India"/>
    <x v="0"/>
    <x v="10"/>
    <s v="C00854"/>
    <n v="42"/>
    <s v="Male"/>
    <x v="4"/>
    <x v="1"/>
    <x v="3"/>
    <s v="Full Board"/>
    <n v="45654.97"/>
    <n v="4518.66"/>
    <x v="0"/>
    <s v="Pending"/>
    <x v="2"/>
    <x v="33"/>
    <x v="4"/>
    <x v="1"/>
    <x v="0"/>
  </r>
  <r>
    <s v="T000855"/>
    <d v="2025-05-04T00:00:00"/>
    <x v="0"/>
    <x v="0"/>
    <x v="3"/>
    <x v="1"/>
    <s v="India"/>
    <x v="5"/>
    <x v="8"/>
    <s v="C00855"/>
    <n v="57"/>
    <s v="Male"/>
    <x v="3"/>
    <x v="1"/>
    <x v="3"/>
    <s v="Full Board"/>
    <n v="9377.66"/>
    <n v="409.12"/>
    <x v="2"/>
    <s v="Pending"/>
    <x v="0"/>
    <x v="14"/>
    <x v="1"/>
    <x v="4"/>
    <x v="0"/>
  </r>
  <r>
    <s v="T000856"/>
    <d v="2025-05-05T00:00:00"/>
    <x v="0"/>
    <x v="0"/>
    <x v="1"/>
    <x v="1"/>
    <s v="India"/>
    <x v="1"/>
    <x v="10"/>
    <s v="C00856"/>
    <n v="55"/>
    <s v="Other"/>
    <x v="3"/>
    <x v="1"/>
    <x v="1"/>
    <s v="No Meals"/>
    <n v="16412.54"/>
    <n v="3343.04"/>
    <x v="0"/>
    <s v="Confirmed"/>
    <x v="2"/>
    <x v="40"/>
    <x v="3"/>
    <x v="0"/>
    <x v="1"/>
  </r>
  <r>
    <s v="T000857"/>
    <d v="2025-05-06T00:00:00"/>
    <x v="2"/>
    <x v="2"/>
    <x v="2"/>
    <x v="0"/>
    <s v="India"/>
    <x v="2"/>
    <x v="2"/>
    <s v="C00857"/>
    <n v="69"/>
    <s v="Female"/>
    <x v="3"/>
    <x v="1"/>
    <x v="0"/>
    <s v="Full Board"/>
    <n v="34836.050000000003"/>
    <n v="70.41"/>
    <x v="1"/>
    <s v="Confirmed"/>
    <x v="0"/>
    <x v="27"/>
    <x v="0"/>
    <x v="1"/>
    <x v="0"/>
  </r>
  <r>
    <s v="T000858"/>
    <d v="2025-05-07T00:00:00"/>
    <x v="0"/>
    <x v="0"/>
    <x v="1"/>
    <x v="1"/>
    <s v="India"/>
    <x v="1"/>
    <x v="0"/>
    <s v="C00858"/>
    <n v="40"/>
    <s v="Male"/>
    <x v="4"/>
    <x v="3"/>
    <x v="2"/>
    <s v="No Meals"/>
    <n v="35317.15"/>
    <n v="3149.54"/>
    <x v="2"/>
    <s v="Pending"/>
    <x v="0"/>
    <x v="25"/>
    <x v="3"/>
    <x v="0"/>
    <x v="1"/>
  </r>
  <r>
    <s v="T000859"/>
    <d v="2025-05-08T00:00:00"/>
    <x v="4"/>
    <x v="3"/>
    <x v="3"/>
    <x v="1"/>
    <s v="India"/>
    <x v="5"/>
    <x v="2"/>
    <s v="C00859"/>
    <n v="46"/>
    <s v="Other"/>
    <x v="6"/>
    <x v="1"/>
    <x v="3"/>
    <s v="Breakfast Only"/>
    <n v="19099.61"/>
    <n v="2757.66"/>
    <x v="2"/>
    <s v="Confirmed"/>
    <x v="0"/>
    <x v="35"/>
    <x v="3"/>
    <x v="3"/>
    <x v="0"/>
  </r>
  <r>
    <s v="T000860"/>
    <d v="2025-05-09T00:00:00"/>
    <x v="2"/>
    <x v="2"/>
    <x v="0"/>
    <x v="0"/>
    <s v="India"/>
    <x v="4"/>
    <x v="7"/>
    <s v="C00860"/>
    <n v="32"/>
    <s v="Male"/>
    <x v="3"/>
    <x v="2"/>
    <x v="1"/>
    <s v="Breakfast Only"/>
    <n v="36568.39"/>
    <n v="4059.33"/>
    <x v="2"/>
    <s v="Cancelled"/>
    <x v="2"/>
    <x v="9"/>
    <x v="4"/>
    <x v="1"/>
    <x v="1"/>
  </r>
  <r>
    <s v="T000861"/>
    <d v="2025-05-10T00:00:00"/>
    <x v="4"/>
    <x v="3"/>
    <x v="3"/>
    <x v="1"/>
    <s v="India"/>
    <x v="5"/>
    <x v="3"/>
    <s v="C00861"/>
    <n v="20"/>
    <s v="Female"/>
    <x v="4"/>
    <x v="2"/>
    <x v="0"/>
    <s v="Half Board"/>
    <n v="22456.87"/>
    <n v="2658.31"/>
    <x v="3"/>
    <s v="Confirmed"/>
    <x v="2"/>
    <x v="35"/>
    <x v="3"/>
    <x v="0"/>
    <x v="0"/>
  </r>
  <r>
    <s v="T000862"/>
    <d v="2025-05-11T00:00:00"/>
    <x v="3"/>
    <x v="1"/>
    <x v="3"/>
    <x v="1"/>
    <s v="India"/>
    <x v="5"/>
    <x v="4"/>
    <s v="C00862"/>
    <n v="27"/>
    <s v="Other"/>
    <x v="3"/>
    <x v="2"/>
    <x v="0"/>
    <s v="Breakfast Only"/>
    <n v="5007.8999999999996"/>
    <n v="1763.08"/>
    <x v="3"/>
    <s v="Pending"/>
    <x v="1"/>
    <x v="38"/>
    <x v="0"/>
    <x v="4"/>
    <x v="1"/>
  </r>
  <r>
    <s v="T000863"/>
    <d v="2025-05-12T00:00:00"/>
    <x v="2"/>
    <x v="2"/>
    <x v="1"/>
    <x v="1"/>
    <s v="India"/>
    <x v="1"/>
    <x v="4"/>
    <s v="C00863"/>
    <n v="32"/>
    <s v="Male"/>
    <x v="3"/>
    <x v="2"/>
    <x v="2"/>
    <s v="No Meals"/>
    <n v="12317.28"/>
    <n v="1213.75"/>
    <x v="0"/>
    <s v="Pending"/>
    <x v="3"/>
    <x v="31"/>
    <x v="1"/>
    <x v="4"/>
    <x v="0"/>
  </r>
  <r>
    <s v="T000864"/>
    <d v="2025-05-13T00:00:00"/>
    <x v="3"/>
    <x v="1"/>
    <x v="2"/>
    <x v="0"/>
    <s v="India"/>
    <x v="3"/>
    <x v="8"/>
    <s v="C00864"/>
    <n v="33"/>
    <s v="Male"/>
    <x v="2"/>
    <x v="3"/>
    <x v="2"/>
    <s v="Full Board"/>
    <n v="44717.82"/>
    <n v="426.25"/>
    <x v="1"/>
    <s v="Confirmed"/>
    <x v="1"/>
    <x v="19"/>
    <x v="3"/>
    <x v="4"/>
    <x v="1"/>
  </r>
  <r>
    <s v="T000865"/>
    <d v="2025-05-14T00:00:00"/>
    <x v="2"/>
    <x v="2"/>
    <x v="3"/>
    <x v="1"/>
    <s v="India"/>
    <x v="5"/>
    <x v="4"/>
    <s v="C00865"/>
    <n v="34"/>
    <s v="Male"/>
    <x v="3"/>
    <x v="0"/>
    <x v="1"/>
    <s v="Full Board"/>
    <n v="15021.23"/>
    <n v="2673.06"/>
    <x v="2"/>
    <s v="Pending"/>
    <x v="2"/>
    <x v="38"/>
    <x v="0"/>
    <x v="1"/>
    <x v="1"/>
  </r>
  <r>
    <s v="T000866"/>
    <d v="2025-05-15T00:00:00"/>
    <x v="1"/>
    <x v="1"/>
    <x v="1"/>
    <x v="1"/>
    <s v="India"/>
    <x v="1"/>
    <x v="0"/>
    <s v="C00866"/>
    <n v="36"/>
    <s v="Female"/>
    <x v="4"/>
    <x v="0"/>
    <x v="1"/>
    <s v="Breakfast Only"/>
    <n v="10080.969999999999"/>
    <n v="4441.6099999999997"/>
    <x v="3"/>
    <s v="Cancelled"/>
    <x v="3"/>
    <x v="2"/>
    <x v="3"/>
    <x v="4"/>
    <x v="1"/>
  </r>
  <r>
    <s v="T000867"/>
    <d v="2025-05-16T00:00:00"/>
    <x v="0"/>
    <x v="0"/>
    <x v="2"/>
    <x v="0"/>
    <s v="India"/>
    <x v="3"/>
    <x v="1"/>
    <s v="C00867"/>
    <n v="28"/>
    <s v="Other"/>
    <x v="6"/>
    <x v="1"/>
    <x v="0"/>
    <s v="No Meals"/>
    <n v="35699.03"/>
    <n v="2573.7199999999998"/>
    <x v="2"/>
    <s v="Confirmed"/>
    <x v="0"/>
    <x v="5"/>
    <x v="1"/>
    <x v="2"/>
    <x v="1"/>
  </r>
  <r>
    <s v="T000868"/>
    <d v="2025-05-17T00:00:00"/>
    <x v="1"/>
    <x v="1"/>
    <x v="0"/>
    <x v="0"/>
    <s v="India"/>
    <x v="0"/>
    <x v="8"/>
    <s v="C00868"/>
    <n v="65"/>
    <s v="Other"/>
    <x v="4"/>
    <x v="1"/>
    <x v="0"/>
    <s v="Full Board"/>
    <n v="24831.79"/>
    <n v="3695.51"/>
    <x v="0"/>
    <s v="Confirmed"/>
    <x v="3"/>
    <x v="16"/>
    <x v="4"/>
    <x v="3"/>
    <x v="1"/>
  </r>
  <r>
    <s v="T000869"/>
    <d v="2025-05-18T00:00:00"/>
    <x v="3"/>
    <x v="1"/>
    <x v="0"/>
    <x v="0"/>
    <s v="India"/>
    <x v="0"/>
    <x v="10"/>
    <s v="C00869"/>
    <n v="22"/>
    <s v="Other"/>
    <x v="4"/>
    <x v="2"/>
    <x v="3"/>
    <s v="Breakfast Only"/>
    <n v="40846.589999999997"/>
    <n v="1492.17"/>
    <x v="0"/>
    <s v="Pending"/>
    <x v="0"/>
    <x v="30"/>
    <x v="0"/>
    <x v="0"/>
    <x v="0"/>
  </r>
  <r>
    <s v="T000870"/>
    <d v="2025-05-19T00:00:00"/>
    <x v="0"/>
    <x v="0"/>
    <x v="4"/>
    <x v="1"/>
    <s v="India"/>
    <x v="6"/>
    <x v="2"/>
    <s v="C00870"/>
    <n v="22"/>
    <s v="Male"/>
    <x v="3"/>
    <x v="2"/>
    <x v="0"/>
    <s v="No Meals"/>
    <n v="43765.02"/>
    <n v="2240.65"/>
    <x v="1"/>
    <s v="Cancelled"/>
    <x v="2"/>
    <x v="9"/>
    <x v="4"/>
    <x v="2"/>
    <x v="1"/>
  </r>
  <r>
    <s v="T000871"/>
    <d v="2025-05-20T00:00:00"/>
    <x v="2"/>
    <x v="2"/>
    <x v="1"/>
    <x v="1"/>
    <s v="India"/>
    <x v="1"/>
    <x v="2"/>
    <s v="C00871"/>
    <n v="31"/>
    <s v="Other"/>
    <x v="2"/>
    <x v="0"/>
    <x v="1"/>
    <s v="No Meals"/>
    <n v="43069.5"/>
    <n v="1623.02"/>
    <x v="0"/>
    <s v="Confirmed"/>
    <x v="3"/>
    <x v="35"/>
    <x v="2"/>
    <x v="1"/>
    <x v="1"/>
  </r>
  <r>
    <s v="T000872"/>
    <d v="2025-05-21T00:00:00"/>
    <x v="0"/>
    <x v="0"/>
    <x v="2"/>
    <x v="0"/>
    <s v="India"/>
    <x v="3"/>
    <x v="11"/>
    <s v="C00872"/>
    <n v="67"/>
    <s v="Male"/>
    <x v="1"/>
    <x v="0"/>
    <x v="2"/>
    <s v="Full Board"/>
    <n v="19085.41"/>
    <n v="546.33000000000004"/>
    <x v="2"/>
    <s v="Pending"/>
    <x v="0"/>
    <x v="34"/>
    <x v="1"/>
    <x v="0"/>
    <x v="1"/>
  </r>
  <r>
    <s v="T000873"/>
    <d v="2025-05-22T00:00:00"/>
    <x v="4"/>
    <x v="3"/>
    <x v="3"/>
    <x v="1"/>
    <s v="India"/>
    <x v="5"/>
    <x v="9"/>
    <s v="C00873"/>
    <n v="43"/>
    <s v="Female"/>
    <x v="5"/>
    <x v="2"/>
    <x v="1"/>
    <s v="Half Board"/>
    <n v="27749.57"/>
    <n v="2084.94"/>
    <x v="1"/>
    <s v="Confirmed"/>
    <x v="1"/>
    <x v="8"/>
    <x v="0"/>
    <x v="0"/>
    <x v="0"/>
  </r>
  <r>
    <s v="T000874"/>
    <d v="2025-05-23T00:00:00"/>
    <x v="0"/>
    <x v="0"/>
    <x v="0"/>
    <x v="0"/>
    <s v="India"/>
    <x v="4"/>
    <x v="0"/>
    <s v="C00874"/>
    <n v="25"/>
    <s v="Other"/>
    <x v="1"/>
    <x v="1"/>
    <x v="3"/>
    <s v="Half Board"/>
    <n v="34256.379999999997"/>
    <n v="3821.44"/>
    <x v="1"/>
    <s v="Cancelled"/>
    <x v="1"/>
    <x v="16"/>
    <x v="4"/>
    <x v="4"/>
    <x v="1"/>
  </r>
  <r>
    <s v="T000875"/>
    <d v="2025-05-24T00:00:00"/>
    <x v="4"/>
    <x v="3"/>
    <x v="2"/>
    <x v="0"/>
    <s v="India"/>
    <x v="3"/>
    <x v="10"/>
    <s v="C00875"/>
    <n v="22"/>
    <s v="Male"/>
    <x v="1"/>
    <x v="3"/>
    <x v="3"/>
    <s v="No Meals"/>
    <n v="19489.240000000002"/>
    <n v="1974.87"/>
    <x v="3"/>
    <s v="Pending"/>
    <x v="0"/>
    <x v="19"/>
    <x v="3"/>
    <x v="0"/>
    <x v="1"/>
  </r>
  <r>
    <s v="T000876"/>
    <d v="2025-05-25T00:00:00"/>
    <x v="0"/>
    <x v="0"/>
    <x v="1"/>
    <x v="1"/>
    <s v="India"/>
    <x v="1"/>
    <x v="1"/>
    <s v="C00876"/>
    <n v="24"/>
    <s v="Other"/>
    <x v="4"/>
    <x v="3"/>
    <x v="2"/>
    <s v="No Meals"/>
    <n v="6849.47"/>
    <n v="3250.9"/>
    <x v="2"/>
    <s v="Confirmed"/>
    <x v="1"/>
    <x v="30"/>
    <x v="0"/>
    <x v="0"/>
    <x v="0"/>
  </r>
  <r>
    <s v="T000877"/>
    <d v="2025-05-26T00:00:00"/>
    <x v="4"/>
    <x v="3"/>
    <x v="4"/>
    <x v="1"/>
    <s v="India"/>
    <x v="6"/>
    <x v="11"/>
    <s v="C00877"/>
    <n v="33"/>
    <s v="Other"/>
    <x v="3"/>
    <x v="0"/>
    <x v="1"/>
    <s v="Breakfast Only"/>
    <n v="27304.9"/>
    <n v="3793.08"/>
    <x v="0"/>
    <s v="Pending"/>
    <x v="1"/>
    <x v="33"/>
    <x v="4"/>
    <x v="3"/>
    <x v="0"/>
  </r>
  <r>
    <s v="T000878"/>
    <d v="2025-05-27T00:00:00"/>
    <x v="3"/>
    <x v="1"/>
    <x v="0"/>
    <x v="0"/>
    <s v="India"/>
    <x v="4"/>
    <x v="4"/>
    <s v="C00878"/>
    <n v="31"/>
    <s v="Female"/>
    <x v="5"/>
    <x v="0"/>
    <x v="3"/>
    <s v="No Meals"/>
    <n v="5576.83"/>
    <n v="1613.68"/>
    <x v="3"/>
    <s v="Pending"/>
    <x v="3"/>
    <x v="24"/>
    <x v="0"/>
    <x v="1"/>
    <x v="1"/>
  </r>
  <r>
    <s v="T000879"/>
    <d v="2025-05-28T00:00:00"/>
    <x v="1"/>
    <x v="1"/>
    <x v="2"/>
    <x v="0"/>
    <s v="India"/>
    <x v="3"/>
    <x v="1"/>
    <s v="C00879"/>
    <n v="54"/>
    <s v="Other"/>
    <x v="1"/>
    <x v="0"/>
    <x v="1"/>
    <s v="Breakfast Only"/>
    <n v="47779.05"/>
    <n v="3987.57"/>
    <x v="2"/>
    <s v="Cancelled"/>
    <x v="1"/>
    <x v="39"/>
    <x v="0"/>
    <x v="2"/>
    <x v="1"/>
  </r>
  <r>
    <s v="T000880"/>
    <d v="2025-05-29T00:00:00"/>
    <x v="2"/>
    <x v="2"/>
    <x v="2"/>
    <x v="0"/>
    <s v="India"/>
    <x v="3"/>
    <x v="8"/>
    <s v="C00880"/>
    <n v="58"/>
    <s v="Female"/>
    <x v="0"/>
    <x v="3"/>
    <x v="3"/>
    <s v="Breakfast Only"/>
    <n v="40850.76"/>
    <n v="1694.63"/>
    <x v="2"/>
    <s v="Cancelled"/>
    <x v="3"/>
    <x v="40"/>
    <x v="3"/>
    <x v="4"/>
    <x v="0"/>
  </r>
  <r>
    <s v="T000881"/>
    <d v="2025-05-30T00:00:00"/>
    <x v="0"/>
    <x v="0"/>
    <x v="2"/>
    <x v="0"/>
    <s v="India"/>
    <x v="3"/>
    <x v="6"/>
    <s v="C00881"/>
    <n v="21"/>
    <s v="Other"/>
    <x v="0"/>
    <x v="3"/>
    <x v="2"/>
    <s v="Breakfast Only"/>
    <n v="13640.44"/>
    <n v="1280.54"/>
    <x v="1"/>
    <s v="Confirmed"/>
    <x v="2"/>
    <x v="29"/>
    <x v="1"/>
    <x v="3"/>
    <x v="1"/>
  </r>
  <r>
    <s v="T000882"/>
    <d v="2025-05-31T00:00:00"/>
    <x v="1"/>
    <x v="1"/>
    <x v="1"/>
    <x v="1"/>
    <s v="India"/>
    <x v="1"/>
    <x v="2"/>
    <s v="C00882"/>
    <n v="53"/>
    <s v="Other"/>
    <x v="0"/>
    <x v="2"/>
    <x v="3"/>
    <s v="No Meals"/>
    <n v="17940.73"/>
    <n v="1112.23"/>
    <x v="1"/>
    <s v="Pending"/>
    <x v="1"/>
    <x v="21"/>
    <x v="0"/>
    <x v="2"/>
    <x v="1"/>
  </r>
  <r>
    <s v="T000883"/>
    <d v="2025-06-01T00:00:00"/>
    <x v="2"/>
    <x v="2"/>
    <x v="1"/>
    <x v="1"/>
    <s v="India"/>
    <x v="1"/>
    <x v="5"/>
    <s v="C00883"/>
    <n v="65"/>
    <s v="Other"/>
    <x v="6"/>
    <x v="1"/>
    <x v="1"/>
    <s v="No Meals"/>
    <n v="49227.73"/>
    <n v="999.52"/>
    <x v="2"/>
    <s v="Pending"/>
    <x v="2"/>
    <x v="37"/>
    <x v="3"/>
    <x v="2"/>
    <x v="1"/>
  </r>
  <r>
    <s v="T000884"/>
    <d v="2025-06-02T00:00:00"/>
    <x v="2"/>
    <x v="2"/>
    <x v="1"/>
    <x v="1"/>
    <s v="India"/>
    <x v="1"/>
    <x v="5"/>
    <s v="C00884"/>
    <n v="34"/>
    <s v="Other"/>
    <x v="3"/>
    <x v="0"/>
    <x v="1"/>
    <s v="Breakfast Only"/>
    <n v="21809.68"/>
    <n v="3685.62"/>
    <x v="3"/>
    <s v="Pending"/>
    <x v="1"/>
    <x v="28"/>
    <x v="2"/>
    <x v="3"/>
    <x v="0"/>
  </r>
  <r>
    <s v="T000885"/>
    <d v="2025-06-03T00:00:00"/>
    <x v="4"/>
    <x v="3"/>
    <x v="3"/>
    <x v="1"/>
    <s v="India"/>
    <x v="5"/>
    <x v="4"/>
    <s v="C00885"/>
    <n v="64"/>
    <s v="Other"/>
    <x v="4"/>
    <x v="2"/>
    <x v="3"/>
    <s v="Full Board"/>
    <n v="40267.51"/>
    <n v="4437.55"/>
    <x v="1"/>
    <s v="Confirmed"/>
    <x v="0"/>
    <x v="14"/>
    <x v="1"/>
    <x v="4"/>
    <x v="1"/>
  </r>
  <r>
    <s v="T000886"/>
    <d v="2025-06-04T00:00:00"/>
    <x v="3"/>
    <x v="1"/>
    <x v="2"/>
    <x v="0"/>
    <s v="India"/>
    <x v="2"/>
    <x v="5"/>
    <s v="C00886"/>
    <n v="53"/>
    <s v="Other"/>
    <x v="4"/>
    <x v="3"/>
    <x v="0"/>
    <s v="No Meals"/>
    <n v="25106.7"/>
    <n v="1153.24"/>
    <x v="1"/>
    <s v="Cancelled"/>
    <x v="0"/>
    <x v="3"/>
    <x v="3"/>
    <x v="1"/>
    <x v="1"/>
  </r>
  <r>
    <s v="T000887"/>
    <d v="2025-06-05T00:00:00"/>
    <x v="3"/>
    <x v="1"/>
    <x v="0"/>
    <x v="0"/>
    <s v="India"/>
    <x v="0"/>
    <x v="5"/>
    <s v="C00887"/>
    <n v="23"/>
    <s v="Female"/>
    <x v="3"/>
    <x v="2"/>
    <x v="2"/>
    <s v="Half Board"/>
    <n v="43884.32"/>
    <n v="426.2"/>
    <x v="2"/>
    <s v="Cancelled"/>
    <x v="2"/>
    <x v="8"/>
    <x v="0"/>
    <x v="3"/>
    <x v="0"/>
  </r>
  <r>
    <s v="T000888"/>
    <d v="2025-06-06T00:00:00"/>
    <x v="1"/>
    <x v="1"/>
    <x v="1"/>
    <x v="1"/>
    <s v="India"/>
    <x v="1"/>
    <x v="10"/>
    <s v="C00888"/>
    <n v="33"/>
    <s v="Female"/>
    <x v="2"/>
    <x v="3"/>
    <x v="2"/>
    <s v="Full Board"/>
    <n v="36668.910000000003"/>
    <n v="1568.83"/>
    <x v="2"/>
    <s v="Pending"/>
    <x v="2"/>
    <x v="11"/>
    <x v="2"/>
    <x v="3"/>
    <x v="0"/>
  </r>
  <r>
    <s v="T000889"/>
    <d v="2025-06-07T00:00:00"/>
    <x v="3"/>
    <x v="1"/>
    <x v="1"/>
    <x v="1"/>
    <s v="India"/>
    <x v="1"/>
    <x v="10"/>
    <s v="C00889"/>
    <n v="46"/>
    <s v="Male"/>
    <x v="5"/>
    <x v="1"/>
    <x v="3"/>
    <s v="Half Board"/>
    <n v="6030.95"/>
    <n v="3289.24"/>
    <x v="1"/>
    <s v="Confirmed"/>
    <x v="2"/>
    <x v="25"/>
    <x v="3"/>
    <x v="3"/>
    <x v="0"/>
  </r>
  <r>
    <s v="T000890"/>
    <d v="2025-06-08T00:00:00"/>
    <x v="0"/>
    <x v="0"/>
    <x v="2"/>
    <x v="0"/>
    <s v="India"/>
    <x v="3"/>
    <x v="9"/>
    <s v="C00890"/>
    <n v="53"/>
    <s v="Other"/>
    <x v="2"/>
    <x v="3"/>
    <x v="3"/>
    <s v="No Meals"/>
    <n v="18247.54"/>
    <n v="1842.6"/>
    <x v="3"/>
    <s v="Pending"/>
    <x v="0"/>
    <x v="10"/>
    <x v="1"/>
    <x v="4"/>
    <x v="1"/>
  </r>
  <r>
    <s v="T000891"/>
    <d v="2025-06-09T00:00:00"/>
    <x v="3"/>
    <x v="1"/>
    <x v="1"/>
    <x v="1"/>
    <s v="India"/>
    <x v="1"/>
    <x v="7"/>
    <s v="C00891"/>
    <n v="55"/>
    <s v="Female"/>
    <x v="6"/>
    <x v="2"/>
    <x v="0"/>
    <s v="Full Board"/>
    <n v="30109.65"/>
    <n v="2745.88"/>
    <x v="1"/>
    <s v="Cancelled"/>
    <x v="2"/>
    <x v="40"/>
    <x v="3"/>
    <x v="3"/>
    <x v="1"/>
  </r>
  <r>
    <s v="T000892"/>
    <d v="2025-06-10T00:00:00"/>
    <x v="1"/>
    <x v="1"/>
    <x v="3"/>
    <x v="1"/>
    <s v="India"/>
    <x v="5"/>
    <x v="4"/>
    <s v="C00892"/>
    <n v="54"/>
    <s v="Other"/>
    <x v="3"/>
    <x v="1"/>
    <x v="2"/>
    <s v="No Meals"/>
    <n v="46677.83"/>
    <n v="3721.52"/>
    <x v="2"/>
    <s v="Pending"/>
    <x v="0"/>
    <x v="40"/>
    <x v="3"/>
    <x v="3"/>
    <x v="0"/>
  </r>
  <r>
    <s v="T000893"/>
    <d v="2025-06-11T00:00:00"/>
    <x v="3"/>
    <x v="1"/>
    <x v="3"/>
    <x v="1"/>
    <s v="India"/>
    <x v="5"/>
    <x v="5"/>
    <s v="C00893"/>
    <n v="65"/>
    <s v="Other"/>
    <x v="2"/>
    <x v="3"/>
    <x v="0"/>
    <s v="No Meals"/>
    <n v="9591.35"/>
    <n v="2042.39"/>
    <x v="1"/>
    <s v="Pending"/>
    <x v="2"/>
    <x v="37"/>
    <x v="3"/>
    <x v="0"/>
    <x v="1"/>
  </r>
  <r>
    <s v="T000894"/>
    <d v="2025-06-12T00:00:00"/>
    <x v="0"/>
    <x v="0"/>
    <x v="1"/>
    <x v="1"/>
    <s v="India"/>
    <x v="1"/>
    <x v="9"/>
    <s v="C00894"/>
    <n v="65"/>
    <s v="Female"/>
    <x v="5"/>
    <x v="0"/>
    <x v="2"/>
    <s v="Full Board"/>
    <n v="32052.31"/>
    <n v="4998.47"/>
    <x v="2"/>
    <s v="Pending"/>
    <x v="3"/>
    <x v="26"/>
    <x v="0"/>
    <x v="0"/>
    <x v="0"/>
  </r>
  <r>
    <s v="T000895"/>
    <d v="2025-06-13T00:00:00"/>
    <x v="4"/>
    <x v="3"/>
    <x v="2"/>
    <x v="0"/>
    <s v="India"/>
    <x v="2"/>
    <x v="4"/>
    <s v="C00895"/>
    <n v="27"/>
    <s v="Other"/>
    <x v="6"/>
    <x v="3"/>
    <x v="3"/>
    <s v="No Meals"/>
    <n v="18597.95"/>
    <n v="1489.75"/>
    <x v="1"/>
    <s v="Cancelled"/>
    <x v="3"/>
    <x v="38"/>
    <x v="0"/>
    <x v="0"/>
    <x v="1"/>
  </r>
  <r>
    <s v="T000896"/>
    <d v="2025-06-14T00:00:00"/>
    <x v="1"/>
    <x v="1"/>
    <x v="2"/>
    <x v="0"/>
    <s v="India"/>
    <x v="2"/>
    <x v="5"/>
    <s v="C00896"/>
    <n v="58"/>
    <s v="Female"/>
    <x v="1"/>
    <x v="1"/>
    <x v="2"/>
    <s v="Full Board"/>
    <n v="45019.75"/>
    <n v="4891.24"/>
    <x v="2"/>
    <s v="Confirmed"/>
    <x v="1"/>
    <x v="38"/>
    <x v="0"/>
    <x v="0"/>
    <x v="1"/>
  </r>
  <r>
    <s v="T000897"/>
    <d v="2025-06-15T00:00:00"/>
    <x v="4"/>
    <x v="3"/>
    <x v="2"/>
    <x v="0"/>
    <s v="India"/>
    <x v="3"/>
    <x v="0"/>
    <s v="C00897"/>
    <n v="53"/>
    <s v="Female"/>
    <x v="1"/>
    <x v="2"/>
    <x v="2"/>
    <s v="No Meals"/>
    <n v="39432.629999999997"/>
    <n v="1015.15"/>
    <x v="2"/>
    <s v="Pending"/>
    <x v="3"/>
    <x v="37"/>
    <x v="3"/>
    <x v="3"/>
    <x v="1"/>
  </r>
  <r>
    <s v="T000898"/>
    <d v="2025-06-16T00:00:00"/>
    <x v="4"/>
    <x v="3"/>
    <x v="4"/>
    <x v="1"/>
    <s v="India"/>
    <x v="6"/>
    <x v="2"/>
    <s v="C00898"/>
    <n v="46"/>
    <s v="Male"/>
    <x v="6"/>
    <x v="1"/>
    <x v="2"/>
    <s v="Breakfast Only"/>
    <n v="21636.62"/>
    <n v="554.66"/>
    <x v="3"/>
    <s v="Cancelled"/>
    <x v="2"/>
    <x v="26"/>
    <x v="0"/>
    <x v="0"/>
    <x v="1"/>
  </r>
  <r>
    <s v="T000899"/>
    <d v="2025-06-17T00:00:00"/>
    <x v="4"/>
    <x v="3"/>
    <x v="1"/>
    <x v="1"/>
    <s v="India"/>
    <x v="1"/>
    <x v="3"/>
    <s v="C00899"/>
    <n v="31"/>
    <s v="Male"/>
    <x v="3"/>
    <x v="2"/>
    <x v="0"/>
    <s v="Half Board"/>
    <n v="12519.64"/>
    <n v="3754.15"/>
    <x v="2"/>
    <s v="Pending"/>
    <x v="3"/>
    <x v="13"/>
    <x v="0"/>
    <x v="2"/>
    <x v="1"/>
  </r>
  <r>
    <s v="T000900"/>
    <d v="2025-06-18T00:00:00"/>
    <x v="2"/>
    <x v="2"/>
    <x v="2"/>
    <x v="0"/>
    <s v="India"/>
    <x v="2"/>
    <x v="0"/>
    <s v="C00900"/>
    <n v="21"/>
    <s v="Male"/>
    <x v="1"/>
    <x v="3"/>
    <x v="0"/>
    <s v="Breakfast Only"/>
    <n v="5517.41"/>
    <n v="3511.55"/>
    <x v="1"/>
    <s v="Confirmed"/>
    <x v="3"/>
    <x v="3"/>
    <x v="3"/>
    <x v="1"/>
    <x v="1"/>
  </r>
  <r>
    <s v="T000901"/>
    <d v="2025-06-19T00:00:00"/>
    <x v="2"/>
    <x v="2"/>
    <x v="3"/>
    <x v="1"/>
    <s v="India"/>
    <x v="5"/>
    <x v="11"/>
    <s v="C00901"/>
    <n v="61"/>
    <s v="Male"/>
    <x v="3"/>
    <x v="3"/>
    <x v="2"/>
    <s v="No Meals"/>
    <n v="32951.050000000003"/>
    <n v="4055.85"/>
    <x v="2"/>
    <s v="Pending"/>
    <x v="2"/>
    <x v="25"/>
    <x v="3"/>
    <x v="0"/>
    <x v="0"/>
  </r>
  <r>
    <s v="T000902"/>
    <d v="2025-06-20T00:00:00"/>
    <x v="4"/>
    <x v="3"/>
    <x v="0"/>
    <x v="0"/>
    <s v="India"/>
    <x v="0"/>
    <x v="4"/>
    <s v="C00902"/>
    <n v="59"/>
    <s v="Other"/>
    <x v="2"/>
    <x v="1"/>
    <x v="1"/>
    <s v="No Meals"/>
    <n v="23275.57"/>
    <n v="1717.95"/>
    <x v="0"/>
    <s v="Confirmed"/>
    <x v="3"/>
    <x v="12"/>
    <x v="1"/>
    <x v="4"/>
    <x v="1"/>
  </r>
  <r>
    <s v="T000903"/>
    <d v="2025-06-21T00:00:00"/>
    <x v="1"/>
    <x v="1"/>
    <x v="0"/>
    <x v="0"/>
    <s v="India"/>
    <x v="4"/>
    <x v="7"/>
    <s v="C00903"/>
    <n v="53"/>
    <s v="Other"/>
    <x v="1"/>
    <x v="0"/>
    <x v="0"/>
    <s v="No Meals"/>
    <n v="19164.04"/>
    <n v="4654.04"/>
    <x v="1"/>
    <s v="Cancelled"/>
    <x v="2"/>
    <x v="36"/>
    <x v="4"/>
    <x v="1"/>
    <x v="0"/>
  </r>
  <r>
    <s v="T000904"/>
    <d v="2025-06-22T00:00:00"/>
    <x v="0"/>
    <x v="0"/>
    <x v="2"/>
    <x v="0"/>
    <s v="India"/>
    <x v="2"/>
    <x v="11"/>
    <s v="C00904"/>
    <n v="67"/>
    <s v="Male"/>
    <x v="5"/>
    <x v="3"/>
    <x v="3"/>
    <s v="Breakfast Only"/>
    <n v="49347.6"/>
    <n v="597.41"/>
    <x v="3"/>
    <s v="Confirmed"/>
    <x v="3"/>
    <x v="5"/>
    <x v="1"/>
    <x v="2"/>
    <x v="1"/>
  </r>
  <r>
    <s v="T000905"/>
    <d v="2025-06-23T00:00:00"/>
    <x v="0"/>
    <x v="0"/>
    <x v="0"/>
    <x v="0"/>
    <s v="India"/>
    <x v="4"/>
    <x v="9"/>
    <s v="C00905"/>
    <n v="62"/>
    <s v="Female"/>
    <x v="5"/>
    <x v="0"/>
    <x v="3"/>
    <s v="No Meals"/>
    <n v="25976.400000000001"/>
    <n v="151.38999999999999"/>
    <x v="1"/>
    <s v="Confirmed"/>
    <x v="2"/>
    <x v="26"/>
    <x v="0"/>
    <x v="1"/>
    <x v="0"/>
  </r>
  <r>
    <s v="T000906"/>
    <d v="2025-06-24T00:00:00"/>
    <x v="3"/>
    <x v="1"/>
    <x v="0"/>
    <x v="0"/>
    <s v="India"/>
    <x v="0"/>
    <x v="9"/>
    <s v="C00906"/>
    <n v="30"/>
    <s v="Female"/>
    <x v="2"/>
    <x v="0"/>
    <x v="2"/>
    <s v="Full Board"/>
    <n v="38742.769999999997"/>
    <n v="1502.82"/>
    <x v="3"/>
    <s v="Cancelled"/>
    <x v="0"/>
    <x v="11"/>
    <x v="0"/>
    <x v="1"/>
    <x v="0"/>
  </r>
  <r>
    <s v="T000907"/>
    <d v="2025-06-25T00:00:00"/>
    <x v="1"/>
    <x v="1"/>
    <x v="4"/>
    <x v="1"/>
    <s v="India"/>
    <x v="6"/>
    <x v="5"/>
    <s v="C00907"/>
    <n v="63"/>
    <s v="Female"/>
    <x v="5"/>
    <x v="1"/>
    <x v="3"/>
    <s v="Half Board"/>
    <n v="12983.56"/>
    <n v="3986.62"/>
    <x v="0"/>
    <s v="Confirmed"/>
    <x v="0"/>
    <x v="14"/>
    <x v="1"/>
    <x v="2"/>
    <x v="1"/>
  </r>
  <r>
    <s v="T000908"/>
    <d v="2025-06-26T00:00:00"/>
    <x v="2"/>
    <x v="2"/>
    <x v="3"/>
    <x v="1"/>
    <s v="India"/>
    <x v="5"/>
    <x v="11"/>
    <s v="C00908"/>
    <n v="35"/>
    <s v="Female"/>
    <x v="3"/>
    <x v="3"/>
    <x v="0"/>
    <s v="No Meals"/>
    <n v="5605.49"/>
    <n v="3364.91"/>
    <x v="3"/>
    <s v="Confirmed"/>
    <x v="1"/>
    <x v="9"/>
    <x v="4"/>
    <x v="0"/>
    <x v="1"/>
  </r>
  <r>
    <s v="T000909"/>
    <d v="2025-06-27T00:00:00"/>
    <x v="4"/>
    <x v="3"/>
    <x v="3"/>
    <x v="1"/>
    <s v="India"/>
    <x v="5"/>
    <x v="2"/>
    <s v="C00909"/>
    <n v="50"/>
    <s v="Other"/>
    <x v="3"/>
    <x v="0"/>
    <x v="1"/>
    <s v="No Meals"/>
    <n v="23790.32"/>
    <n v="2181.04"/>
    <x v="2"/>
    <s v="Cancelled"/>
    <x v="3"/>
    <x v="18"/>
    <x v="0"/>
    <x v="2"/>
    <x v="1"/>
  </r>
  <r>
    <s v="T000910"/>
    <d v="2025-06-28T00:00:00"/>
    <x v="3"/>
    <x v="1"/>
    <x v="4"/>
    <x v="1"/>
    <s v="India"/>
    <x v="6"/>
    <x v="5"/>
    <s v="C00910"/>
    <n v="38"/>
    <s v="Female"/>
    <x v="5"/>
    <x v="3"/>
    <x v="1"/>
    <s v="Half Board"/>
    <n v="34954.92"/>
    <n v="1281.27"/>
    <x v="0"/>
    <s v="Confirmed"/>
    <x v="1"/>
    <x v="14"/>
    <x v="1"/>
    <x v="4"/>
    <x v="0"/>
  </r>
  <r>
    <s v="T000911"/>
    <d v="2025-06-29T00:00:00"/>
    <x v="0"/>
    <x v="0"/>
    <x v="4"/>
    <x v="1"/>
    <s v="India"/>
    <x v="6"/>
    <x v="4"/>
    <s v="C00911"/>
    <n v="33"/>
    <s v="Female"/>
    <x v="0"/>
    <x v="2"/>
    <x v="1"/>
    <s v="Half Board"/>
    <n v="27796.94"/>
    <n v="296.36"/>
    <x v="0"/>
    <s v="Confirmed"/>
    <x v="2"/>
    <x v="35"/>
    <x v="2"/>
    <x v="2"/>
    <x v="1"/>
  </r>
  <r>
    <s v="T000912"/>
    <d v="2025-06-30T00:00:00"/>
    <x v="2"/>
    <x v="2"/>
    <x v="0"/>
    <x v="0"/>
    <s v="India"/>
    <x v="0"/>
    <x v="9"/>
    <s v="C00912"/>
    <n v="32"/>
    <s v="Male"/>
    <x v="6"/>
    <x v="0"/>
    <x v="3"/>
    <s v="Half Board"/>
    <n v="45070.98"/>
    <n v="1687.53"/>
    <x v="3"/>
    <s v="Pending"/>
    <x v="0"/>
    <x v="2"/>
    <x v="3"/>
    <x v="3"/>
    <x v="1"/>
  </r>
  <r>
    <s v="T000913"/>
    <d v="2025-07-01T00:00:00"/>
    <x v="2"/>
    <x v="2"/>
    <x v="1"/>
    <x v="1"/>
    <s v="India"/>
    <x v="1"/>
    <x v="3"/>
    <s v="C00913"/>
    <n v="22"/>
    <s v="Female"/>
    <x v="4"/>
    <x v="1"/>
    <x v="2"/>
    <s v="Breakfast Only"/>
    <n v="24529.07"/>
    <n v="2300.1"/>
    <x v="1"/>
    <s v="Confirmed"/>
    <x v="2"/>
    <x v="36"/>
    <x v="4"/>
    <x v="3"/>
    <x v="1"/>
  </r>
  <r>
    <s v="T000914"/>
    <d v="2025-07-02T00:00:00"/>
    <x v="4"/>
    <x v="3"/>
    <x v="0"/>
    <x v="0"/>
    <s v="India"/>
    <x v="4"/>
    <x v="9"/>
    <s v="C00914"/>
    <n v="23"/>
    <s v="Other"/>
    <x v="6"/>
    <x v="1"/>
    <x v="3"/>
    <s v="Breakfast Only"/>
    <n v="18995.13"/>
    <n v="3435.12"/>
    <x v="3"/>
    <s v="Confirmed"/>
    <x v="1"/>
    <x v="4"/>
    <x v="0"/>
    <x v="1"/>
    <x v="1"/>
  </r>
  <r>
    <s v="T000915"/>
    <d v="2025-07-03T00:00:00"/>
    <x v="0"/>
    <x v="0"/>
    <x v="4"/>
    <x v="1"/>
    <s v="India"/>
    <x v="6"/>
    <x v="10"/>
    <s v="C00915"/>
    <n v="55"/>
    <s v="Female"/>
    <x v="5"/>
    <x v="0"/>
    <x v="2"/>
    <s v="No Meals"/>
    <n v="46222.19"/>
    <n v="3229.86"/>
    <x v="3"/>
    <s v="Confirmed"/>
    <x v="2"/>
    <x v="24"/>
    <x v="0"/>
    <x v="0"/>
    <x v="0"/>
  </r>
  <r>
    <s v="T000916"/>
    <d v="2025-07-04T00:00:00"/>
    <x v="1"/>
    <x v="1"/>
    <x v="3"/>
    <x v="1"/>
    <s v="India"/>
    <x v="5"/>
    <x v="6"/>
    <s v="C00916"/>
    <n v="20"/>
    <s v="Female"/>
    <x v="3"/>
    <x v="3"/>
    <x v="1"/>
    <s v="Half Board"/>
    <n v="23306.1"/>
    <n v="4736.72"/>
    <x v="0"/>
    <s v="Cancelled"/>
    <x v="2"/>
    <x v="12"/>
    <x v="1"/>
    <x v="0"/>
    <x v="1"/>
  </r>
  <r>
    <s v="T000917"/>
    <d v="2025-07-05T00:00:00"/>
    <x v="2"/>
    <x v="2"/>
    <x v="0"/>
    <x v="0"/>
    <s v="India"/>
    <x v="4"/>
    <x v="1"/>
    <s v="C00917"/>
    <n v="65"/>
    <s v="Other"/>
    <x v="3"/>
    <x v="2"/>
    <x v="0"/>
    <s v="No Meals"/>
    <n v="17134.150000000001"/>
    <n v="501.98"/>
    <x v="2"/>
    <s v="Confirmed"/>
    <x v="2"/>
    <x v="37"/>
    <x v="3"/>
    <x v="3"/>
    <x v="0"/>
  </r>
  <r>
    <s v="T000918"/>
    <d v="2025-07-06T00:00:00"/>
    <x v="4"/>
    <x v="3"/>
    <x v="1"/>
    <x v="1"/>
    <s v="India"/>
    <x v="1"/>
    <x v="7"/>
    <s v="C00918"/>
    <n v="29"/>
    <s v="Male"/>
    <x v="6"/>
    <x v="2"/>
    <x v="3"/>
    <s v="No Meals"/>
    <n v="9394.75"/>
    <n v="1681.7"/>
    <x v="1"/>
    <s v="Cancelled"/>
    <x v="2"/>
    <x v="3"/>
    <x v="3"/>
    <x v="4"/>
    <x v="0"/>
  </r>
  <r>
    <s v="T000919"/>
    <d v="2025-07-07T00:00:00"/>
    <x v="1"/>
    <x v="1"/>
    <x v="0"/>
    <x v="0"/>
    <s v="India"/>
    <x v="4"/>
    <x v="11"/>
    <s v="C00919"/>
    <n v="53"/>
    <s v="Other"/>
    <x v="3"/>
    <x v="1"/>
    <x v="0"/>
    <s v="No Meals"/>
    <n v="40698.94"/>
    <n v="2407.89"/>
    <x v="3"/>
    <s v="Cancelled"/>
    <x v="0"/>
    <x v="36"/>
    <x v="4"/>
    <x v="2"/>
    <x v="1"/>
  </r>
  <r>
    <s v="T000920"/>
    <d v="2025-07-08T00:00:00"/>
    <x v="0"/>
    <x v="0"/>
    <x v="2"/>
    <x v="0"/>
    <s v="India"/>
    <x v="2"/>
    <x v="5"/>
    <s v="C00920"/>
    <n v="50"/>
    <s v="Male"/>
    <x v="2"/>
    <x v="1"/>
    <x v="1"/>
    <s v="Breakfast Only"/>
    <n v="42129.120000000003"/>
    <n v="3353.48"/>
    <x v="2"/>
    <s v="Confirmed"/>
    <x v="2"/>
    <x v="35"/>
    <x v="3"/>
    <x v="2"/>
    <x v="1"/>
  </r>
  <r>
    <s v="T000921"/>
    <d v="2025-07-09T00:00:00"/>
    <x v="2"/>
    <x v="2"/>
    <x v="0"/>
    <x v="0"/>
    <s v="India"/>
    <x v="4"/>
    <x v="1"/>
    <s v="C00921"/>
    <n v="53"/>
    <s v="Female"/>
    <x v="1"/>
    <x v="3"/>
    <x v="2"/>
    <s v="Half Board"/>
    <n v="6498.4"/>
    <n v="2477.2600000000002"/>
    <x v="2"/>
    <s v="Confirmed"/>
    <x v="2"/>
    <x v="9"/>
    <x v="4"/>
    <x v="2"/>
    <x v="0"/>
  </r>
  <r>
    <s v="T000922"/>
    <d v="2025-07-10T00:00:00"/>
    <x v="1"/>
    <x v="1"/>
    <x v="4"/>
    <x v="1"/>
    <s v="India"/>
    <x v="6"/>
    <x v="1"/>
    <s v="C00922"/>
    <n v="50"/>
    <s v="Male"/>
    <x v="3"/>
    <x v="1"/>
    <x v="0"/>
    <s v="No Meals"/>
    <n v="21139.05"/>
    <n v="4563.79"/>
    <x v="1"/>
    <s v="Confirmed"/>
    <x v="0"/>
    <x v="22"/>
    <x v="4"/>
    <x v="4"/>
    <x v="1"/>
  </r>
  <r>
    <s v="T000923"/>
    <d v="2025-07-11T00:00:00"/>
    <x v="1"/>
    <x v="1"/>
    <x v="3"/>
    <x v="1"/>
    <s v="India"/>
    <x v="5"/>
    <x v="0"/>
    <s v="C00923"/>
    <n v="48"/>
    <s v="Male"/>
    <x v="5"/>
    <x v="3"/>
    <x v="3"/>
    <s v="Breakfast Only"/>
    <n v="38744.44"/>
    <n v="3043.36"/>
    <x v="2"/>
    <s v="Confirmed"/>
    <x v="2"/>
    <x v="30"/>
    <x v="0"/>
    <x v="4"/>
    <x v="0"/>
  </r>
  <r>
    <s v="T000924"/>
    <d v="2025-07-12T00:00:00"/>
    <x v="1"/>
    <x v="1"/>
    <x v="3"/>
    <x v="1"/>
    <s v="India"/>
    <x v="5"/>
    <x v="6"/>
    <s v="C00924"/>
    <n v="38"/>
    <s v="Male"/>
    <x v="5"/>
    <x v="0"/>
    <x v="0"/>
    <s v="Full Board"/>
    <n v="47587.18"/>
    <n v="198.33"/>
    <x v="3"/>
    <s v="Confirmed"/>
    <x v="2"/>
    <x v="14"/>
    <x v="1"/>
    <x v="2"/>
    <x v="0"/>
  </r>
  <r>
    <s v="T000925"/>
    <d v="2025-07-13T00:00:00"/>
    <x v="2"/>
    <x v="2"/>
    <x v="4"/>
    <x v="1"/>
    <s v="India"/>
    <x v="6"/>
    <x v="8"/>
    <s v="C00925"/>
    <n v="44"/>
    <s v="Female"/>
    <x v="6"/>
    <x v="2"/>
    <x v="0"/>
    <s v="Full Board"/>
    <n v="22001.82"/>
    <n v="568.28"/>
    <x v="0"/>
    <s v="Confirmed"/>
    <x v="1"/>
    <x v="1"/>
    <x v="1"/>
    <x v="2"/>
    <x v="1"/>
  </r>
  <r>
    <s v="T000926"/>
    <d v="2025-07-14T00:00:00"/>
    <x v="2"/>
    <x v="2"/>
    <x v="2"/>
    <x v="0"/>
    <s v="India"/>
    <x v="2"/>
    <x v="0"/>
    <s v="C00926"/>
    <n v="44"/>
    <s v="Male"/>
    <x v="6"/>
    <x v="0"/>
    <x v="3"/>
    <s v="No Meals"/>
    <n v="44242.400000000001"/>
    <n v="3767.48"/>
    <x v="2"/>
    <s v="Confirmed"/>
    <x v="0"/>
    <x v="27"/>
    <x v="0"/>
    <x v="4"/>
    <x v="1"/>
  </r>
  <r>
    <s v="T000927"/>
    <d v="2025-07-15T00:00:00"/>
    <x v="3"/>
    <x v="1"/>
    <x v="4"/>
    <x v="1"/>
    <s v="India"/>
    <x v="6"/>
    <x v="0"/>
    <s v="C00927"/>
    <n v="25"/>
    <s v="Male"/>
    <x v="6"/>
    <x v="1"/>
    <x v="2"/>
    <s v="No Meals"/>
    <n v="22717.42"/>
    <n v="3578.94"/>
    <x v="0"/>
    <s v="Cancelled"/>
    <x v="3"/>
    <x v="26"/>
    <x v="2"/>
    <x v="2"/>
    <x v="1"/>
  </r>
  <r>
    <s v="T000928"/>
    <d v="2025-07-16T00:00:00"/>
    <x v="0"/>
    <x v="0"/>
    <x v="0"/>
    <x v="0"/>
    <s v="India"/>
    <x v="4"/>
    <x v="7"/>
    <s v="C00928"/>
    <n v="54"/>
    <s v="Female"/>
    <x v="5"/>
    <x v="2"/>
    <x v="3"/>
    <s v="Half Board"/>
    <n v="13077.26"/>
    <n v="767.49"/>
    <x v="1"/>
    <s v="Pending"/>
    <x v="2"/>
    <x v="34"/>
    <x v="1"/>
    <x v="4"/>
    <x v="0"/>
  </r>
  <r>
    <s v="T000929"/>
    <d v="2025-07-17T00:00:00"/>
    <x v="4"/>
    <x v="3"/>
    <x v="4"/>
    <x v="1"/>
    <s v="India"/>
    <x v="6"/>
    <x v="10"/>
    <s v="C00929"/>
    <n v="49"/>
    <s v="Other"/>
    <x v="0"/>
    <x v="2"/>
    <x v="1"/>
    <s v="Half Board"/>
    <n v="5155.08"/>
    <n v="294.54000000000002"/>
    <x v="1"/>
    <s v="Cancelled"/>
    <x v="1"/>
    <x v="20"/>
    <x v="0"/>
    <x v="1"/>
    <x v="0"/>
  </r>
  <r>
    <s v="T000930"/>
    <d v="2025-07-18T00:00:00"/>
    <x v="1"/>
    <x v="1"/>
    <x v="4"/>
    <x v="1"/>
    <s v="India"/>
    <x v="6"/>
    <x v="9"/>
    <s v="C00930"/>
    <n v="43"/>
    <s v="Other"/>
    <x v="5"/>
    <x v="0"/>
    <x v="2"/>
    <s v="No Meals"/>
    <n v="19858.150000000001"/>
    <n v="2893.59"/>
    <x v="2"/>
    <s v="Confirmed"/>
    <x v="0"/>
    <x v="20"/>
    <x v="0"/>
    <x v="3"/>
    <x v="1"/>
  </r>
  <r>
    <s v="T000931"/>
    <d v="2025-07-19T00:00:00"/>
    <x v="3"/>
    <x v="1"/>
    <x v="2"/>
    <x v="0"/>
    <s v="India"/>
    <x v="3"/>
    <x v="0"/>
    <s v="C00931"/>
    <n v="19"/>
    <s v="Other"/>
    <x v="2"/>
    <x v="3"/>
    <x v="0"/>
    <s v="Breakfast Only"/>
    <n v="22031.38"/>
    <n v="3178.69"/>
    <x v="0"/>
    <s v="Pending"/>
    <x v="2"/>
    <x v="31"/>
    <x v="1"/>
    <x v="3"/>
    <x v="1"/>
  </r>
  <r>
    <s v="T000932"/>
    <d v="2025-07-20T00:00:00"/>
    <x v="4"/>
    <x v="3"/>
    <x v="0"/>
    <x v="0"/>
    <s v="India"/>
    <x v="0"/>
    <x v="4"/>
    <s v="C00932"/>
    <n v="29"/>
    <s v="Female"/>
    <x v="5"/>
    <x v="2"/>
    <x v="3"/>
    <s v="No Meals"/>
    <n v="47530.29"/>
    <n v="676.5"/>
    <x v="3"/>
    <s v="Pending"/>
    <x v="3"/>
    <x v="13"/>
    <x v="0"/>
    <x v="4"/>
    <x v="0"/>
  </r>
  <r>
    <s v="T000933"/>
    <d v="2025-07-21T00:00:00"/>
    <x v="3"/>
    <x v="1"/>
    <x v="1"/>
    <x v="1"/>
    <s v="India"/>
    <x v="1"/>
    <x v="9"/>
    <s v="C00933"/>
    <n v="39"/>
    <s v="Female"/>
    <x v="2"/>
    <x v="3"/>
    <x v="1"/>
    <s v="Half Board"/>
    <n v="14273.16"/>
    <n v="2368.1"/>
    <x v="0"/>
    <s v="Confirmed"/>
    <x v="2"/>
    <x v="34"/>
    <x v="1"/>
    <x v="2"/>
    <x v="0"/>
  </r>
  <r>
    <s v="T000934"/>
    <d v="2025-07-22T00:00:00"/>
    <x v="2"/>
    <x v="2"/>
    <x v="1"/>
    <x v="1"/>
    <s v="India"/>
    <x v="1"/>
    <x v="10"/>
    <s v="C00934"/>
    <n v="34"/>
    <s v="Other"/>
    <x v="5"/>
    <x v="0"/>
    <x v="3"/>
    <s v="Half Board"/>
    <n v="22200.38"/>
    <n v="1529.16"/>
    <x v="2"/>
    <s v="Confirmed"/>
    <x v="1"/>
    <x v="30"/>
    <x v="0"/>
    <x v="3"/>
    <x v="1"/>
  </r>
  <r>
    <s v="T000935"/>
    <d v="2025-07-23T00:00:00"/>
    <x v="1"/>
    <x v="1"/>
    <x v="3"/>
    <x v="1"/>
    <s v="India"/>
    <x v="5"/>
    <x v="5"/>
    <s v="C00935"/>
    <n v="24"/>
    <s v="Male"/>
    <x v="5"/>
    <x v="0"/>
    <x v="2"/>
    <s v="Breakfast Only"/>
    <n v="6131.94"/>
    <n v="4656.53"/>
    <x v="0"/>
    <s v="Cancelled"/>
    <x v="0"/>
    <x v="1"/>
    <x v="1"/>
    <x v="0"/>
    <x v="0"/>
  </r>
  <r>
    <s v="T000936"/>
    <d v="2025-07-24T00:00:00"/>
    <x v="4"/>
    <x v="3"/>
    <x v="4"/>
    <x v="1"/>
    <s v="India"/>
    <x v="6"/>
    <x v="8"/>
    <s v="C00936"/>
    <n v="60"/>
    <s v="Other"/>
    <x v="0"/>
    <x v="3"/>
    <x v="1"/>
    <s v="No Meals"/>
    <n v="39359.29"/>
    <n v="1096"/>
    <x v="0"/>
    <s v="Pending"/>
    <x v="1"/>
    <x v="25"/>
    <x v="2"/>
    <x v="2"/>
    <x v="1"/>
  </r>
  <r>
    <s v="T000937"/>
    <d v="2025-07-25T00:00:00"/>
    <x v="4"/>
    <x v="3"/>
    <x v="3"/>
    <x v="1"/>
    <s v="India"/>
    <x v="5"/>
    <x v="9"/>
    <s v="C00937"/>
    <n v="21"/>
    <s v="Female"/>
    <x v="2"/>
    <x v="0"/>
    <x v="0"/>
    <s v="Half Board"/>
    <n v="46181.36"/>
    <n v="3666.3"/>
    <x v="1"/>
    <s v="Pending"/>
    <x v="0"/>
    <x v="23"/>
    <x v="1"/>
    <x v="4"/>
    <x v="0"/>
  </r>
  <r>
    <s v="T000938"/>
    <d v="2025-07-26T00:00:00"/>
    <x v="4"/>
    <x v="3"/>
    <x v="2"/>
    <x v="0"/>
    <s v="India"/>
    <x v="3"/>
    <x v="11"/>
    <s v="C00938"/>
    <n v="54"/>
    <s v="Male"/>
    <x v="0"/>
    <x v="2"/>
    <x v="2"/>
    <s v="No Meals"/>
    <n v="15701.93"/>
    <n v="2590.67"/>
    <x v="2"/>
    <s v="Confirmed"/>
    <x v="3"/>
    <x v="32"/>
    <x v="4"/>
    <x v="0"/>
    <x v="1"/>
  </r>
  <r>
    <s v="T000939"/>
    <d v="2025-07-27T00:00:00"/>
    <x v="4"/>
    <x v="3"/>
    <x v="1"/>
    <x v="1"/>
    <s v="India"/>
    <x v="1"/>
    <x v="7"/>
    <s v="C00939"/>
    <n v="55"/>
    <s v="Male"/>
    <x v="2"/>
    <x v="0"/>
    <x v="1"/>
    <s v="Half Board"/>
    <n v="24304.78"/>
    <n v="57.61"/>
    <x v="0"/>
    <s v="Confirmed"/>
    <x v="2"/>
    <x v="8"/>
    <x v="0"/>
    <x v="4"/>
    <x v="1"/>
  </r>
  <r>
    <s v="T000940"/>
    <d v="2025-07-28T00:00:00"/>
    <x v="4"/>
    <x v="3"/>
    <x v="4"/>
    <x v="1"/>
    <s v="India"/>
    <x v="6"/>
    <x v="1"/>
    <s v="C00940"/>
    <n v="49"/>
    <s v="Female"/>
    <x v="0"/>
    <x v="0"/>
    <x v="2"/>
    <s v="Full Board"/>
    <n v="10495.07"/>
    <n v="2584.9899999999998"/>
    <x v="2"/>
    <s v="Pending"/>
    <x v="1"/>
    <x v="4"/>
    <x v="0"/>
    <x v="2"/>
    <x v="0"/>
  </r>
  <r>
    <s v="T000941"/>
    <d v="2025-07-29T00:00:00"/>
    <x v="3"/>
    <x v="1"/>
    <x v="2"/>
    <x v="0"/>
    <s v="India"/>
    <x v="2"/>
    <x v="2"/>
    <s v="C00941"/>
    <n v="28"/>
    <s v="Male"/>
    <x v="0"/>
    <x v="2"/>
    <x v="0"/>
    <s v="Full Board"/>
    <n v="25557.59"/>
    <n v="497.36"/>
    <x v="3"/>
    <s v="Pending"/>
    <x v="3"/>
    <x v="11"/>
    <x v="0"/>
    <x v="1"/>
    <x v="0"/>
  </r>
  <r>
    <s v="T000942"/>
    <d v="2025-07-30T00:00:00"/>
    <x v="1"/>
    <x v="1"/>
    <x v="2"/>
    <x v="0"/>
    <s v="India"/>
    <x v="3"/>
    <x v="6"/>
    <s v="C00942"/>
    <n v="18"/>
    <s v="Other"/>
    <x v="2"/>
    <x v="3"/>
    <x v="1"/>
    <s v="Full Board"/>
    <n v="11000.41"/>
    <n v="3295.31"/>
    <x v="2"/>
    <s v="Confirmed"/>
    <x v="3"/>
    <x v="39"/>
    <x v="0"/>
    <x v="1"/>
    <x v="1"/>
  </r>
  <r>
    <s v="T000943"/>
    <d v="2025-07-31T00:00:00"/>
    <x v="2"/>
    <x v="2"/>
    <x v="4"/>
    <x v="1"/>
    <s v="India"/>
    <x v="6"/>
    <x v="5"/>
    <s v="C00943"/>
    <n v="42"/>
    <s v="Female"/>
    <x v="0"/>
    <x v="0"/>
    <x v="3"/>
    <s v="Half Board"/>
    <n v="28550.68"/>
    <n v="2827.62"/>
    <x v="3"/>
    <s v="Confirmed"/>
    <x v="2"/>
    <x v="34"/>
    <x v="1"/>
    <x v="1"/>
    <x v="1"/>
  </r>
  <r>
    <s v="T000944"/>
    <d v="2025-08-01T00:00:00"/>
    <x v="2"/>
    <x v="2"/>
    <x v="2"/>
    <x v="0"/>
    <s v="India"/>
    <x v="3"/>
    <x v="10"/>
    <s v="C00944"/>
    <n v="59"/>
    <s v="Female"/>
    <x v="5"/>
    <x v="3"/>
    <x v="3"/>
    <s v="Breakfast Only"/>
    <n v="38057.99"/>
    <n v="52.14"/>
    <x v="2"/>
    <s v="Confirmed"/>
    <x v="1"/>
    <x v="6"/>
    <x v="2"/>
    <x v="2"/>
    <x v="1"/>
  </r>
  <r>
    <s v="T000945"/>
    <d v="2025-08-02T00:00:00"/>
    <x v="2"/>
    <x v="2"/>
    <x v="4"/>
    <x v="1"/>
    <s v="India"/>
    <x v="6"/>
    <x v="0"/>
    <s v="C00945"/>
    <n v="69"/>
    <s v="Female"/>
    <x v="2"/>
    <x v="2"/>
    <x v="0"/>
    <s v="Full Board"/>
    <n v="29900.42"/>
    <n v="1023.46"/>
    <x v="2"/>
    <s v="Cancelled"/>
    <x v="2"/>
    <x v="9"/>
    <x v="4"/>
    <x v="2"/>
    <x v="1"/>
  </r>
  <r>
    <s v="T000946"/>
    <d v="2025-08-03T00:00:00"/>
    <x v="2"/>
    <x v="2"/>
    <x v="4"/>
    <x v="1"/>
    <s v="India"/>
    <x v="6"/>
    <x v="4"/>
    <s v="C00946"/>
    <n v="41"/>
    <s v="Female"/>
    <x v="0"/>
    <x v="3"/>
    <x v="1"/>
    <s v="Half Board"/>
    <n v="16034.88"/>
    <n v="3881.13"/>
    <x v="0"/>
    <s v="Cancelled"/>
    <x v="2"/>
    <x v="33"/>
    <x v="4"/>
    <x v="0"/>
    <x v="0"/>
  </r>
  <r>
    <s v="T000947"/>
    <d v="2025-08-04T00:00:00"/>
    <x v="3"/>
    <x v="1"/>
    <x v="0"/>
    <x v="0"/>
    <s v="India"/>
    <x v="4"/>
    <x v="4"/>
    <s v="C00947"/>
    <n v="60"/>
    <s v="Male"/>
    <x v="5"/>
    <x v="3"/>
    <x v="0"/>
    <s v="No Meals"/>
    <n v="20920.82"/>
    <n v="1378.86"/>
    <x v="0"/>
    <s v="Confirmed"/>
    <x v="0"/>
    <x v="2"/>
    <x v="3"/>
    <x v="2"/>
    <x v="1"/>
  </r>
  <r>
    <s v="T000948"/>
    <d v="2025-08-05T00:00:00"/>
    <x v="0"/>
    <x v="0"/>
    <x v="3"/>
    <x v="1"/>
    <s v="India"/>
    <x v="5"/>
    <x v="8"/>
    <s v="C00948"/>
    <n v="34"/>
    <s v="Female"/>
    <x v="5"/>
    <x v="1"/>
    <x v="0"/>
    <s v="Full Board"/>
    <n v="33735.769999999997"/>
    <n v="2496.42"/>
    <x v="3"/>
    <s v="Cancelled"/>
    <x v="0"/>
    <x v="38"/>
    <x v="0"/>
    <x v="2"/>
    <x v="0"/>
  </r>
  <r>
    <s v="T000949"/>
    <d v="2025-08-06T00:00:00"/>
    <x v="1"/>
    <x v="1"/>
    <x v="2"/>
    <x v="0"/>
    <s v="India"/>
    <x v="3"/>
    <x v="10"/>
    <s v="C00949"/>
    <n v="25"/>
    <s v="Female"/>
    <x v="6"/>
    <x v="1"/>
    <x v="2"/>
    <s v="Breakfast Only"/>
    <n v="31538.99"/>
    <n v="1559.99"/>
    <x v="3"/>
    <s v="Pending"/>
    <x v="2"/>
    <x v="18"/>
    <x v="0"/>
    <x v="0"/>
    <x v="0"/>
  </r>
  <r>
    <s v="T000950"/>
    <d v="2025-08-07T00:00:00"/>
    <x v="4"/>
    <x v="3"/>
    <x v="2"/>
    <x v="0"/>
    <s v="India"/>
    <x v="2"/>
    <x v="5"/>
    <s v="C00950"/>
    <n v="62"/>
    <s v="Male"/>
    <x v="4"/>
    <x v="0"/>
    <x v="3"/>
    <s v="Breakfast Only"/>
    <n v="11154.87"/>
    <n v="4607.63"/>
    <x v="1"/>
    <s v="Pending"/>
    <x v="0"/>
    <x v="28"/>
    <x v="3"/>
    <x v="0"/>
    <x v="1"/>
  </r>
  <r>
    <s v="T000951"/>
    <d v="2025-08-08T00:00:00"/>
    <x v="0"/>
    <x v="0"/>
    <x v="0"/>
    <x v="0"/>
    <s v="India"/>
    <x v="0"/>
    <x v="11"/>
    <s v="C00951"/>
    <n v="44"/>
    <s v="Female"/>
    <x v="2"/>
    <x v="1"/>
    <x v="0"/>
    <s v="Breakfast Only"/>
    <n v="43022.73"/>
    <n v="2682.89"/>
    <x v="0"/>
    <s v="Confirmed"/>
    <x v="1"/>
    <x v="25"/>
    <x v="3"/>
    <x v="4"/>
    <x v="0"/>
  </r>
  <r>
    <s v="T000952"/>
    <d v="2025-08-09T00:00:00"/>
    <x v="2"/>
    <x v="2"/>
    <x v="0"/>
    <x v="0"/>
    <s v="India"/>
    <x v="0"/>
    <x v="1"/>
    <s v="C00952"/>
    <n v="69"/>
    <s v="Male"/>
    <x v="0"/>
    <x v="1"/>
    <x v="2"/>
    <s v="No Meals"/>
    <n v="26383.5"/>
    <n v="3480.87"/>
    <x v="3"/>
    <s v="Pending"/>
    <x v="0"/>
    <x v="39"/>
    <x v="0"/>
    <x v="3"/>
    <x v="0"/>
  </r>
  <r>
    <s v="T000953"/>
    <d v="2025-08-10T00:00:00"/>
    <x v="0"/>
    <x v="0"/>
    <x v="0"/>
    <x v="0"/>
    <s v="India"/>
    <x v="4"/>
    <x v="0"/>
    <s v="C00953"/>
    <n v="35"/>
    <s v="Male"/>
    <x v="6"/>
    <x v="1"/>
    <x v="0"/>
    <s v="No Meals"/>
    <n v="12306.62"/>
    <n v="417.38"/>
    <x v="0"/>
    <s v="Pending"/>
    <x v="3"/>
    <x v="9"/>
    <x v="4"/>
    <x v="3"/>
    <x v="1"/>
  </r>
  <r>
    <s v="T000954"/>
    <d v="2025-08-11T00:00:00"/>
    <x v="1"/>
    <x v="1"/>
    <x v="1"/>
    <x v="1"/>
    <s v="India"/>
    <x v="1"/>
    <x v="2"/>
    <s v="C00954"/>
    <n v="44"/>
    <s v="Female"/>
    <x v="4"/>
    <x v="3"/>
    <x v="0"/>
    <s v="Breakfast Only"/>
    <n v="10527.19"/>
    <n v="201.68"/>
    <x v="2"/>
    <s v="Pending"/>
    <x v="2"/>
    <x v="27"/>
    <x v="0"/>
    <x v="4"/>
    <x v="1"/>
  </r>
  <r>
    <s v="T000955"/>
    <d v="2025-08-12T00:00:00"/>
    <x v="4"/>
    <x v="3"/>
    <x v="1"/>
    <x v="1"/>
    <s v="India"/>
    <x v="1"/>
    <x v="6"/>
    <s v="C00955"/>
    <n v="39"/>
    <s v="Other"/>
    <x v="0"/>
    <x v="3"/>
    <x v="0"/>
    <s v="Breakfast Only"/>
    <n v="48449.83"/>
    <n v="1296.1400000000001"/>
    <x v="1"/>
    <s v="Pending"/>
    <x v="2"/>
    <x v="21"/>
    <x v="2"/>
    <x v="1"/>
    <x v="1"/>
  </r>
  <r>
    <s v="T000956"/>
    <d v="2025-08-13T00:00:00"/>
    <x v="4"/>
    <x v="3"/>
    <x v="1"/>
    <x v="1"/>
    <s v="India"/>
    <x v="1"/>
    <x v="7"/>
    <s v="C00956"/>
    <n v="33"/>
    <s v="Female"/>
    <x v="4"/>
    <x v="1"/>
    <x v="3"/>
    <s v="Breakfast Only"/>
    <n v="17669.080000000002"/>
    <n v="1545.67"/>
    <x v="0"/>
    <s v="Pending"/>
    <x v="1"/>
    <x v="33"/>
    <x v="4"/>
    <x v="2"/>
    <x v="1"/>
  </r>
  <r>
    <s v="T000957"/>
    <d v="2025-08-14T00:00:00"/>
    <x v="1"/>
    <x v="1"/>
    <x v="4"/>
    <x v="1"/>
    <s v="India"/>
    <x v="6"/>
    <x v="3"/>
    <s v="C00957"/>
    <n v="19"/>
    <s v="Other"/>
    <x v="2"/>
    <x v="2"/>
    <x v="1"/>
    <s v="No Meals"/>
    <n v="45886.71"/>
    <n v="3438.4"/>
    <x v="0"/>
    <s v="Cancelled"/>
    <x v="2"/>
    <x v="33"/>
    <x v="4"/>
    <x v="0"/>
    <x v="1"/>
  </r>
  <r>
    <s v="T000958"/>
    <d v="2025-08-15T00:00:00"/>
    <x v="1"/>
    <x v="1"/>
    <x v="2"/>
    <x v="0"/>
    <s v="India"/>
    <x v="2"/>
    <x v="3"/>
    <s v="C00958"/>
    <n v="22"/>
    <s v="Male"/>
    <x v="5"/>
    <x v="1"/>
    <x v="3"/>
    <s v="No Meals"/>
    <n v="23476.34"/>
    <n v="2845.65"/>
    <x v="0"/>
    <s v="Cancelled"/>
    <x v="0"/>
    <x v="35"/>
    <x v="3"/>
    <x v="0"/>
    <x v="0"/>
  </r>
  <r>
    <s v="T000959"/>
    <d v="2025-08-16T00:00:00"/>
    <x v="2"/>
    <x v="2"/>
    <x v="3"/>
    <x v="1"/>
    <s v="India"/>
    <x v="5"/>
    <x v="0"/>
    <s v="C00959"/>
    <n v="35"/>
    <s v="Other"/>
    <x v="5"/>
    <x v="2"/>
    <x v="2"/>
    <s v="Half Board"/>
    <n v="22366.46"/>
    <n v="1872.9"/>
    <x v="0"/>
    <s v="Confirmed"/>
    <x v="3"/>
    <x v="27"/>
    <x v="0"/>
    <x v="1"/>
    <x v="1"/>
  </r>
  <r>
    <s v="T000960"/>
    <d v="2025-08-17T00:00:00"/>
    <x v="4"/>
    <x v="3"/>
    <x v="4"/>
    <x v="1"/>
    <s v="India"/>
    <x v="6"/>
    <x v="5"/>
    <s v="C00960"/>
    <n v="20"/>
    <s v="Female"/>
    <x v="4"/>
    <x v="3"/>
    <x v="1"/>
    <s v="Full Board"/>
    <n v="36541.800000000003"/>
    <n v="3270.59"/>
    <x v="3"/>
    <s v="Pending"/>
    <x v="2"/>
    <x v="29"/>
    <x v="1"/>
    <x v="0"/>
    <x v="1"/>
  </r>
  <r>
    <s v="T000961"/>
    <d v="2025-08-18T00:00:00"/>
    <x v="0"/>
    <x v="0"/>
    <x v="2"/>
    <x v="0"/>
    <s v="India"/>
    <x v="2"/>
    <x v="0"/>
    <s v="C00961"/>
    <n v="44"/>
    <s v="Female"/>
    <x v="5"/>
    <x v="2"/>
    <x v="2"/>
    <s v="No Meals"/>
    <n v="5444.75"/>
    <n v="817.83"/>
    <x v="3"/>
    <s v="Cancelled"/>
    <x v="0"/>
    <x v="23"/>
    <x v="1"/>
    <x v="1"/>
    <x v="0"/>
  </r>
  <r>
    <s v="T000962"/>
    <d v="2025-08-19T00:00:00"/>
    <x v="3"/>
    <x v="1"/>
    <x v="2"/>
    <x v="0"/>
    <s v="India"/>
    <x v="3"/>
    <x v="10"/>
    <s v="C00962"/>
    <n v="34"/>
    <s v="Other"/>
    <x v="1"/>
    <x v="3"/>
    <x v="0"/>
    <s v="Breakfast Only"/>
    <n v="20214.03"/>
    <n v="317.45"/>
    <x v="1"/>
    <s v="Cancelled"/>
    <x v="3"/>
    <x v="35"/>
    <x v="3"/>
    <x v="4"/>
    <x v="1"/>
  </r>
  <r>
    <s v="T000963"/>
    <d v="2025-08-20T00:00:00"/>
    <x v="3"/>
    <x v="1"/>
    <x v="0"/>
    <x v="0"/>
    <s v="India"/>
    <x v="0"/>
    <x v="6"/>
    <s v="C00963"/>
    <n v="33"/>
    <s v="Female"/>
    <x v="3"/>
    <x v="2"/>
    <x v="1"/>
    <s v="Full Board"/>
    <n v="18619.060000000001"/>
    <n v="4272.53"/>
    <x v="2"/>
    <s v="Cancelled"/>
    <x v="2"/>
    <x v="26"/>
    <x v="0"/>
    <x v="1"/>
    <x v="1"/>
  </r>
  <r>
    <s v="T000964"/>
    <d v="2025-08-21T00:00:00"/>
    <x v="1"/>
    <x v="1"/>
    <x v="0"/>
    <x v="0"/>
    <s v="India"/>
    <x v="4"/>
    <x v="3"/>
    <s v="C00964"/>
    <n v="23"/>
    <s v="Other"/>
    <x v="5"/>
    <x v="3"/>
    <x v="2"/>
    <s v="No Meals"/>
    <n v="44064.41"/>
    <n v="2819.73"/>
    <x v="2"/>
    <s v="Pending"/>
    <x v="2"/>
    <x v="8"/>
    <x v="0"/>
    <x v="3"/>
    <x v="1"/>
  </r>
  <r>
    <s v="T000965"/>
    <d v="2025-08-22T00:00:00"/>
    <x v="2"/>
    <x v="2"/>
    <x v="4"/>
    <x v="1"/>
    <s v="India"/>
    <x v="6"/>
    <x v="8"/>
    <s v="C00965"/>
    <n v="68"/>
    <s v="Male"/>
    <x v="1"/>
    <x v="3"/>
    <x v="0"/>
    <s v="Full Board"/>
    <n v="28810.560000000001"/>
    <n v="3245.48"/>
    <x v="1"/>
    <s v="Cancelled"/>
    <x v="2"/>
    <x v="18"/>
    <x v="0"/>
    <x v="1"/>
    <x v="0"/>
  </r>
  <r>
    <s v="T000966"/>
    <d v="2025-08-23T00:00:00"/>
    <x v="3"/>
    <x v="1"/>
    <x v="0"/>
    <x v="0"/>
    <s v="India"/>
    <x v="0"/>
    <x v="10"/>
    <s v="C00966"/>
    <n v="24"/>
    <s v="Other"/>
    <x v="2"/>
    <x v="1"/>
    <x v="2"/>
    <s v="Half Board"/>
    <n v="21405.66"/>
    <n v="1536.21"/>
    <x v="2"/>
    <s v="Confirmed"/>
    <x v="3"/>
    <x v="18"/>
    <x v="0"/>
    <x v="4"/>
    <x v="1"/>
  </r>
  <r>
    <s v="T000967"/>
    <d v="2025-08-24T00:00:00"/>
    <x v="4"/>
    <x v="3"/>
    <x v="2"/>
    <x v="0"/>
    <s v="India"/>
    <x v="2"/>
    <x v="3"/>
    <s v="C00967"/>
    <n v="67"/>
    <s v="Other"/>
    <x v="2"/>
    <x v="0"/>
    <x v="2"/>
    <s v="No Meals"/>
    <n v="16973.57"/>
    <n v="1859.77"/>
    <x v="3"/>
    <s v="Confirmed"/>
    <x v="2"/>
    <x v="8"/>
    <x v="0"/>
    <x v="1"/>
    <x v="1"/>
  </r>
  <r>
    <s v="T000968"/>
    <d v="2025-08-25T00:00:00"/>
    <x v="1"/>
    <x v="1"/>
    <x v="0"/>
    <x v="0"/>
    <s v="India"/>
    <x v="0"/>
    <x v="11"/>
    <s v="C00968"/>
    <n v="31"/>
    <s v="Other"/>
    <x v="4"/>
    <x v="0"/>
    <x v="3"/>
    <s v="Breakfast Only"/>
    <n v="31572.94"/>
    <n v="411.84"/>
    <x v="0"/>
    <s v="Pending"/>
    <x v="2"/>
    <x v="9"/>
    <x v="4"/>
    <x v="4"/>
    <x v="1"/>
  </r>
  <r>
    <s v="T000969"/>
    <d v="2025-08-26T00:00:00"/>
    <x v="0"/>
    <x v="0"/>
    <x v="1"/>
    <x v="1"/>
    <s v="India"/>
    <x v="1"/>
    <x v="6"/>
    <s v="C00969"/>
    <n v="55"/>
    <s v="Other"/>
    <x v="5"/>
    <x v="3"/>
    <x v="0"/>
    <s v="Breakfast Only"/>
    <n v="11825.29"/>
    <n v="4284.9399999999996"/>
    <x v="2"/>
    <s v="Confirmed"/>
    <x v="0"/>
    <x v="17"/>
    <x v="1"/>
    <x v="3"/>
    <x v="1"/>
  </r>
  <r>
    <s v="T000970"/>
    <d v="2025-08-27T00:00:00"/>
    <x v="1"/>
    <x v="1"/>
    <x v="0"/>
    <x v="0"/>
    <s v="India"/>
    <x v="4"/>
    <x v="2"/>
    <s v="C00970"/>
    <n v="57"/>
    <s v="Male"/>
    <x v="5"/>
    <x v="1"/>
    <x v="3"/>
    <s v="Half Board"/>
    <n v="16079.21"/>
    <n v="2962.2"/>
    <x v="0"/>
    <s v="Cancelled"/>
    <x v="0"/>
    <x v="19"/>
    <x v="3"/>
    <x v="2"/>
    <x v="1"/>
  </r>
  <r>
    <s v="T000971"/>
    <d v="2025-08-28T00:00:00"/>
    <x v="0"/>
    <x v="0"/>
    <x v="2"/>
    <x v="0"/>
    <s v="India"/>
    <x v="2"/>
    <x v="1"/>
    <s v="C00971"/>
    <n v="32"/>
    <s v="Male"/>
    <x v="5"/>
    <x v="0"/>
    <x v="1"/>
    <s v="Half Board"/>
    <n v="18212.55"/>
    <n v="418.14"/>
    <x v="0"/>
    <s v="Pending"/>
    <x v="0"/>
    <x v="38"/>
    <x v="0"/>
    <x v="4"/>
    <x v="0"/>
  </r>
  <r>
    <s v="T000972"/>
    <d v="2025-08-29T00:00:00"/>
    <x v="1"/>
    <x v="1"/>
    <x v="4"/>
    <x v="1"/>
    <s v="India"/>
    <x v="6"/>
    <x v="4"/>
    <s v="C00972"/>
    <n v="64"/>
    <s v="Male"/>
    <x v="6"/>
    <x v="0"/>
    <x v="0"/>
    <s v="Half Board"/>
    <n v="32355.9"/>
    <n v="4022.65"/>
    <x v="3"/>
    <s v="Confirmed"/>
    <x v="0"/>
    <x v="40"/>
    <x v="3"/>
    <x v="2"/>
    <x v="1"/>
  </r>
  <r>
    <s v="T000973"/>
    <d v="2025-08-30T00:00:00"/>
    <x v="1"/>
    <x v="1"/>
    <x v="3"/>
    <x v="1"/>
    <s v="India"/>
    <x v="5"/>
    <x v="10"/>
    <s v="C00973"/>
    <n v="64"/>
    <s v="Other"/>
    <x v="0"/>
    <x v="1"/>
    <x v="3"/>
    <s v="Half Board"/>
    <n v="21796.47"/>
    <n v="2220.58"/>
    <x v="0"/>
    <s v="Pending"/>
    <x v="2"/>
    <x v="33"/>
    <x v="4"/>
    <x v="4"/>
    <x v="1"/>
  </r>
  <r>
    <s v="T000974"/>
    <d v="2025-08-31T00:00:00"/>
    <x v="1"/>
    <x v="1"/>
    <x v="0"/>
    <x v="0"/>
    <s v="India"/>
    <x v="4"/>
    <x v="4"/>
    <s v="C00974"/>
    <n v="65"/>
    <s v="Male"/>
    <x v="3"/>
    <x v="1"/>
    <x v="3"/>
    <s v="Half Board"/>
    <n v="27760.25"/>
    <n v="3825.51"/>
    <x v="2"/>
    <s v="Cancelled"/>
    <x v="3"/>
    <x v="20"/>
    <x v="0"/>
    <x v="1"/>
    <x v="1"/>
  </r>
  <r>
    <s v="T000975"/>
    <d v="2025-09-01T00:00:00"/>
    <x v="0"/>
    <x v="0"/>
    <x v="2"/>
    <x v="0"/>
    <s v="India"/>
    <x v="3"/>
    <x v="4"/>
    <s v="C00975"/>
    <n v="50"/>
    <s v="Female"/>
    <x v="5"/>
    <x v="0"/>
    <x v="1"/>
    <s v="No Meals"/>
    <n v="34269.72"/>
    <n v="63.1"/>
    <x v="3"/>
    <s v="Confirmed"/>
    <x v="2"/>
    <x v="5"/>
    <x v="1"/>
    <x v="2"/>
    <x v="1"/>
  </r>
  <r>
    <s v="T000976"/>
    <d v="2025-09-02T00:00:00"/>
    <x v="0"/>
    <x v="0"/>
    <x v="3"/>
    <x v="1"/>
    <s v="India"/>
    <x v="5"/>
    <x v="6"/>
    <s v="C00976"/>
    <n v="60"/>
    <s v="Male"/>
    <x v="0"/>
    <x v="0"/>
    <x v="2"/>
    <s v="No Meals"/>
    <n v="48032.22"/>
    <n v="143.69999999999999"/>
    <x v="1"/>
    <s v="Cancelled"/>
    <x v="1"/>
    <x v="29"/>
    <x v="1"/>
    <x v="4"/>
    <x v="1"/>
  </r>
  <r>
    <s v="T000977"/>
    <d v="2025-09-03T00:00:00"/>
    <x v="1"/>
    <x v="1"/>
    <x v="3"/>
    <x v="1"/>
    <s v="India"/>
    <x v="5"/>
    <x v="6"/>
    <s v="C00977"/>
    <n v="44"/>
    <s v="Other"/>
    <x v="6"/>
    <x v="2"/>
    <x v="2"/>
    <s v="Full Board"/>
    <n v="39417.68"/>
    <n v="853.91"/>
    <x v="3"/>
    <s v="Confirmed"/>
    <x v="3"/>
    <x v="29"/>
    <x v="1"/>
    <x v="4"/>
    <x v="0"/>
  </r>
  <r>
    <s v="T000978"/>
    <d v="2025-09-04T00:00:00"/>
    <x v="3"/>
    <x v="1"/>
    <x v="1"/>
    <x v="1"/>
    <s v="India"/>
    <x v="1"/>
    <x v="3"/>
    <s v="C00978"/>
    <n v="46"/>
    <s v="Female"/>
    <x v="2"/>
    <x v="2"/>
    <x v="2"/>
    <s v="Half Board"/>
    <n v="23236.560000000001"/>
    <n v="1054.58"/>
    <x v="2"/>
    <s v="Pending"/>
    <x v="1"/>
    <x v="40"/>
    <x v="2"/>
    <x v="2"/>
    <x v="0"/>
  </r>
  <r>
    <s v="T000979"/>
    <d v="2025-09-05T00:00:00"/>
    <x v="2"/>
    <x v="2"/>
    <x v="3"/>
    <x v="1"/>
    <s v="India"/>
    <x v="5"/>
    <x v="10"/>
    <s v="C00979"/>
    <n v="54"/>
    <s v="Other"/>
    <x v="3"/>
    <x v="3"/>
    <x v="1"/>
    <s v="Breakfast Only"/>
    <n v="38672.39"/>
    <n v="3819.78"/>
    <x v="3"/>
    <s v="Confirmed"/>
    <x v="2"/>
    <x v="12"/>
    <x v="1"/>
    <x v="4"/>
    <x v="1"/>
  </r>
  <r>
    <s v="T000980"/>
    <d v="2025-09-06T00:00:00"/>
    <x v="2"/>
    <x v="2"/>
    <x v="2"/>
    <x v="0"/>
    <s v="India"/>
    <x v="3"/>
    <x v="1"/>
    <s v="C00980"/>
    <n v="22"/>
    <s v="Female"/>
    <x v="1"/>
    <x v="0"/>
    <x v="3"/>
    <s v="Breakfast Only"/>
    <n v="47736.24"/>
    <n v="3533.47"/>
    <x v="2"/>
    <s v="Confirmed"/>
    <x v="3"/>
    <x v="12"/>
    <x v="1"/>
    <x v="2"/>
    <x v="1"/>
  </r>
  <r>
    <s v="T000981"/>
    <d v="2025-09-07T00:00:00"/>
    <x v="2"/>
    <x v="2"/>
    <x v="2"/>
    <x v="0"/>
    <s v="India"/>
    <x v="3"/>
    <x v="11"/>
    <s v="C00981"/>
    <n v="46"/>
    <s v="Other"/>
    <x v="2"/>
    <x v="1"/>
    <x v="0"/>
    <s v="Half Board"/>
    <n v="27472.12"/>
    <n v="3080.44"/>
    <x v="2"/>
    <s v="Confirmed"/>
    <x v="3"/>
    <x v="35"/>
    <x v="3"/>
    <x v="3"/>
    <x v="0"/>
  </r>
  <r>
    <s v="T000982"/>
    <d v="2025-09-08T00:00:00"/>
    <x v="0"/>
    <x v="0"/>
    <x v="0"/>
    <x v="0"/>
    <s v="India"/>
    <x v="4"/>
    <x v="9"/>
    <s v="C00982"/>
    <n v="49"/>
    <s v="Other"/>
    <x v="2"/>
    <x v="1"/>
    <x v="1"/>
    <s v="Half Board"/>
    <n v="23472.36"/>
    <n v="4424.29"/>
    <x v="3"/>
    <s v="Pending"/>
    <x v="0"/>
    <x v="11"/>
    <x v="2"/>
    <x v="0"/>
    <x v="0"/>
  </r>
  <r>
    <s v="T000983"/>
    <d v="2025-09-09T00:00:00"/>
    <x v="0"/>
    <x v="0"/>
    <x v="0"/>
    <x v="0"/>
    <s v="India"/>
    <x v="0"/>
    <x v="8"/>
    <s v="C00983"/>
    <n v="23"/>
    <s v="Female"/>
    <x v="4"/>
    <x v="0"/>
    <x v="2"/>
    <s v="Half Board"/>
    <n v="8510.84"/>
    <n v="1235.74"/>
    <x v="2"/>
    <s v="Confirmed"/>
    <x v="2"/>
    <x v="30"/>
    <x v="0"/>
    <x v="3"/>
    <x v="0"/>
  </r>
  <r>
    <s v="T000984"/>
    <d v="2025-09-10T00:00:00"/>
    <x v="3"/>
    <x v="1"/>
    <x v="0"/>
    <x v="0"/>
    <s v="India"/>
    <x v="0"/>
    <x v="4"/>
    <s v="C00984"/>
    <n v="19"/>
    <s v="Male"/>
    <x v="6"/>
    <x v="3"/>
    <x v="2"/>
    <s v="Half Board"/>
    <n v="45156.67"/>
    <n v="4522.0200000000004"/>
    <x v="1"/>
    <s v="Cancelled"/>
    <x v="1"/>
    <x v="8"/>
    <x v="2"/>
    <x v="2"/>
    <x v="1"/>
  </r>
  <r>
    <s v="T000985"/>
    <d v="2025-09-11T00:00:00"/>
    <x v="2"/>
    <x v="2"/>
    <x v="3"/>
    <x v="1"/>
    <s v="India"/>
    <x v="5"/>
    <x v="1"/>
    <s v="C00985"/>
    <n v="23"/>
    <s v="Female"/>
    <x v="4"/>
    <x v="1"/>
    <x v="0"/>
    <s v="Half Board"/>
    <n v="16089.54"/>
    <n v="4547.3599999999997"/>
    <x v="2"/>
    <s v="Pending"/>
    <x v="3"/>
    <x v="37"/>
    <x v="3"/>
    <x v="1"/>
    <x v="0"/>
  </r>
  <r>
    <s v="T000986"/>
    <d v="2025-09-12T00:00:00"/>
    <x v="2"/>
    <x v="2"/>
    <x v="3"/>
    <x v="1"/>
    <s v="India"/>
    <x v="5"/>
    <x v="6"/>
    <s v="C00986"/>
    <n v="63"/>
    <s v="Female"/>
    <x v="4"/>
    <x v="0"/>
    <x v="1"/>
    <s v="Breakfast Only"/>
    <n v="7878.11"/>
    <n v="2171.3000000000002"/>
    <x v="1"/>
    <s v="Pending"/>
    <x v="3"/>
    <x v="5"/>
    <x v="1"/>
    <x v="1"/>
    <x v="1"/>
  </r>
  <r>
    <s v="T000987"/>
    <d v="2025-09-13T00:00:00"/>
    <x v="1"/>
    <x v="1"/>
    <x v="1"/>
    <x v="1"/>
    <s v="India"/>
    <x v="1"/>
    <x v="7"/>
    <s v="C00987"/>
    <n v="60"/>
    <s v="Female"/>
    <x v="0"/>
    <x v="0"/>
    <x v="2"/>
    <s v="Full Board"/>
    <n v="29174.16"/>
    <n v="471.93"/>
    <x v="1"/>
    <s v="Cancelled"/>
    <x v="0"/>
    <x v="11"/>
    <x v="2"/>
    <x v="0"/>
    <x v="1"/>
  </r>
  <r>
    <s v="T000988"/>
    <d v="2025-09-14T00:00:00"/>
    <x v="0"/>
    <x v="0"/>
    <x v="0"/>
    <x v="0"/>
    <s v="India"/>
    <x v="0"/>
    <x v="7"/>
    <s v="C00988"/>
    <n v="21"/>
    <s v="Female"/>
    <x v="2"/>
    <x v="3"/>
    <x v="1"/>
    <s v="Half Board"/>
    <n v="43065.48"/>
    <n v="3632.8"/>
    <x v="2"/>
    <s v="Pending"/>
    <x v="3"/>
    <x v="25"/>
    <x v="3"/>
    <x v="2"/>
    <x v="0"/>
  </r>
  <r>
    <s v="T000989"/>
    <d v="2025-09-15T00:00:00"/>
    <x v="2"/>
    <x v="2"/>
    <x v="4"/>
    <x v="1"/>
    <s v="India"/>
    <x v="6"/>
    <x v="9"/>
    <s v="C00989"/>
    <n v="46"/>
    <s v="Female"/>
    <x v="6"/>
    <x v="0"/>
    <x v="3"/>
    <s v="Half Board"/>
    <n v="23298.58"/>
    <n v="1684.64"/>
    <x v="0"/>
    <s v="Confirmed"/>
    <x v="0"/>
    <x v="13"/>
    <x v="0"/>
    <x v="4"/>
    <x v="1"/>
  </r>
  <r>
    <s v="T000990"/>
    <d v="2025-09-16T00:00:00"/>
    <x v="3"/>
    <x v="1"/>
    <x v="1"/>
    <x v="1"/>
    <s v="India"/>
    <x v="1"/>
    <x v="9"/>
    <s v="C00990"/>
    <n v="42"/>
    <s v="Other"/>
    <x v="4"/>
    <x v="1"/>
    <x v="1"/>
    <s v="Half Board"/>
    <n v="40238.04"/>
    <n v="3974.65"/>
    <x v="1"/>
    <s v="Pending"/>
    <x v="3"/>
    <x v="6"/>
    <x v="3"/>
    <x v="3"/>
    <x v="1"/>
  </r>
  <r>
    <s v="T000991"/>
    <d v="2025-09-17T00:00:00"/>
    <x v="3"/>
    <x v="1"/>
    <x v="4"/>
    <x v="1"/>
    <s v="India"/>
    <x v="6"/>
    <x v="9"/>
    <s v="C00991"/>
    <n v="26"/>
    <s v="Other"/>
    <x v="1"/>
    <x v="2"/>
    <x v="3"/>
    <s v="No Meals"/>
    <n v="42637.82"/>
    <n v="818.45"/>
    <x v="1"/>
    <s v="Cancelled"/>
    <x v="3"/>
    <x v="7"/>
    <x v="3"/>
    <x v="3"/>
    <x v="0"/>
  </r>
  <r>
    <s v="T000992"/>
    <d v="2025-09-18T00:00:00"/>
    <x v="2"/>
    <x v="2"/>
    <x v="3"/>
    <x v="1"/>
    <s v="India"/>
    <x v="5"/>
    <x v="2"/>
    <s v="C00992"/>
    <n v="20"/>
    <s v="Male"/>
    <x v="3"/>
    <x v="3"/>
    <x v="0"/>
    <s v="Breakfast Only"/>
    <n v="25448.16"/>
    <n v="2697.58"/>
    <x v="3"/>
    <s v="Pending"/>
    <x v="2"/>
    <x v="25"/>
    <x v="3"/>
    <x v="0"/>
    <x v="1"/>
  </r>
  <r>
    <s v="T000993"/>
    <d v="2025-09-19T00:00:00"/>
    <x v="0"/>
    <x v="0"/>
    <x v="1"/>
    <x v="1"/>
    <s v="India"/>
    <x v="1"/>
    <x v="8"/>
    <s v="C00993"/>
    <n v="43"/>
    <s v="Male"/>
    <x v="5"/>
    <x v="0"/>
    <x v="3"/>
    <s v="Breakfast Only"/>
    <n v="31592.98"/>
    <n v="2540.37"/>
    <x v="1"/>
    <s v="Cancelled"/>
    <x v="3"/>
    <x v="28"/>
    <x v="2"/>
    <x v="0"/>
    <x v="0"/>
  </r>
  <r>
    <s v="T000994"/>
    <d v="2025-09-20T00:00:00"/>
    <x v="3"/>
    <x v="1"/>
    <x v="1"/>
    <x v="1"/>
    <s v="India"/>
    <x v="1"/>
    <x v="8"/>
    <s v="C00994"/>
    <n v="65"/>
    <s v="Female"/>
    <x v="6"/>
    <x v="3"/>
    <x v="3"/>
    <s v="Full Board"/>
    <n v="29026.05"/>
    <n v="501.57"/>
    <x v="1"/>
    <s v="Pending"/>
    <x v="0"/>
    <x v="37"/>
    <x v="2"/>
    <x v="0"/>
    <x v="0"/>
  </r>
  <r>
    <s v="T000995"/>
    <d v="2025-09-21T00:00:00"/>
    <x v="1"/>
    <x v="1"/>
    <x v="2"/>
    <x v="0"/>
    <s v="India"/>
    <x v="2"/>
    <x v="11"/>
    <s v="C00995"/>
    <n v="60"/>
    <s v="Male"/>
    <x v="0"/>
    <x v="0"/>
    <x v="0"/>
    <s v="No Meals"/>
    <n v="47263.81"/>
    <n v="1816.66"/>
    <x v="1"/>
    <s v="Cancelled"/>
    <x v="0"/>
    <x v="19"/>
    <x v="2"/>
    <x v="0"/>
    <x v="0"/>
  </r>
  <r>
    <s v="T000996"/>
    <d v="2025-09-22T00:00:00"/>
    <x v="3"/>
    <x v="1"/>
    <x v="3"/>
    <x v="1"/>
    <s v="India"/>
    <x v="5"/>
    <x v="4"/>
    <s v="C00996"/>
    <n v="44"/>
    <s v="Male"/>
    <x v="6"/>
    <x v="2"/>
    <x v="2"/>
    <s v="No Meals"/>
    <n v="37647.760000000002"/>
    <n v="423.78"/>
    <x v="1"/>
    <s v="Pending"/>
    <x v="0"/>
    <x v="37"/>
    <x v="2"/>
    <x v="0"/>
    <x v="1"/>
  </r>
  <r>
    <s v="T000997"/>
    <d v="2025-09-23T00:00:00"/>
    <x v="4"/>
    <x v="3"/>
    <x v="3"/>
    <x v="1"/>
    <s v="India"/>
    <x v="5"/>
    <x v="5"/>
    <s v="C00997"/>
    <n v="53"/>
    <s v="Female"/>
    <x v="2"/>
    <x v="3"/>
    <x v="0"/>
    <s v="No Meals"/>
    <n v="46640.43"/>
    <n v="2323.6999999999998"/>
    <x v="0"/>
    <s v="Confirmed"/>
    <x v="1"/>
    <x v="4"/>
    <x v="0"/>
    <x v="0"/>
    <x v="0"/>
  </r>
  <r>
    <s v="T000998"/>
    <d v="2025-09-24T00:00:00"/>
    <x v="4"/>
    <x v="3"/>
    <x v="1"/>
    <x v="1"/>
    <s v="India"/>
    <x v="1"/>
    <x v="2"/>
    <s v="C00998"/>
    <n v="49"/>
    <s v="Other"/>
    <x v="0"/>
    <x v="0"/>
    <x v="1"/>
    <s v="Full Board"/>
    <n v="14900.45"/>
    <n v="4214.5200000000004"/>
    <x v="1"/>
    <s v="Cancelled"/>
    <x v="3"/>
    <x v="14"/>
    <x v="1"/>
    <x v="4"/>
    <x v="0"/>
  </r>
  <r>
    <s v="T000999"/>
    <d v="2025-09-25T00:00:00"/>
    <x v="0"/>
    <x v="0"/>
    <x v="3"/>
    <x v="1"/>
    <s v="India"/>
    <x v="5"/>
    <x v="7"/>
    <s v="C00999"/>
    <n v="18"/>
    <s v="Other"/>
    <x v="3"/>
    <x v="2"/>
    <x v="0"/>
    <s v="Full Board"/>
    <n v="18960.66"/>
    <n v="1351.02"/>
    <x v="2"/>
    <s v="Cancelled"/>
    <x v="2"/>
    <x v="20"/>
    <x v="0"/>
    <x v="4"/>
    <x v="1"/>
  </r>
  <r>
    <s v="T001000"/>
    <d v="2025-09-26T00:00:00"/>
    <x v="2"/>
    <x v="2"/>
    <x v="1"/>
    <x v="1"/>
    <s v="India"/>
    <x v="1"/>
    <x v="3"/>
    <s v="C01000"/>
    <n v="33"/>
    <s v="Male"/>
    <x v="1"/>
    <x v="1"/>
    <x v="1"/>
    <s v="Full Board"/>
    <n v="8191.11"/>
    <n v="3824.31"/>
    <x v="0"/>
    <s v="Pending"/>
    <x v="2"/>
    <x v="1"/>
    <x v="1"/>
    <x v="3"/>
    <x v="0"/>
  </r>
  <r>
    <s v="T001001"/>
    <d v="2025-09-27T00:00:00"/>
    <x v="0"/>
    <x v="0"/>
    <x v="2"/>
    <x v="0"/>
    <s v="India"/>
    <x v="2"/>
    <x v="3"/>
    <s v="C01001"/>
    <n v="68"/>
    <s v="Other"/>
    <x v="4"/>
    <x v="0"/>
    <x v="2"/>
    <s v="No Meals"/>
    <n v="27495.86"/>
    <n v="917.14"/>
    <x v="1"/>
    <s v="Pending"/>
    <x v="1"/>
    <x v="13"/>
    <x v="0"/>
    <x v="3"/>
    <x v="1"/>
  </r>
  <r>
    <s v="T001002"/>
    <d v="2025-09-28T00:00:00"/>
    <x v="0"/>
    <x v="0"/>
    <x v="1"/>
    <x v="1"/>
    <s v="India"/>
    <x v="1"/>
    <x v="9"/>
    <s v="C01002"/>
    <n v="65"/>
    <s v="Other"/>
    <x v="6"/>
    <x v="2"/>
    <x v="1"/>
    <s v="Breakfast Only"/>
    <n v="44326.57"/>
    <n v="3368.67"/>
    <x v="2"/>
    <s v="Pending"/>
    <x v="3"/>
    <x v="26"/>
    <x v="0"/>
    <x v="0"/>
    <x v="1"/>
  </r>
  <r>
    <s v="T001003"/>
    <d v="2025-09-29T00:00:00"/>
    <x v="0"/>
    <x v="0"/>
    <x v="3"/>
    <x v="1"/>
    <s v="India"/>
    <x v="5"/>
    <x v="0"/>
    <s v="C01003"/>
    <n v="28"/>
    <s v="Male"/>
    <x v="0"/>
    <x v="2"/>
    <x v="0"/>
    <s v="No Meals"/>
    <n v="19708.099999999999"/>
    <n v="4577.6899999999996"/>
    <x v="2"/>
    <s v="Confirmed"/>
    <x v="0"/>
    <x v="33"/>
    <x v="4"/>
    <x v="3"/>
    <x v="0"/>
  </r>
  <r>
    <s v="T001004"/>
    <d v="2025-09-30T00:00:00"/>
    <x v="0"/>
    <x v="0"/>
    <x v="3"/>
    <x v="1"/>
    <s v="India"/>
    <x v="5"/>
    <x v="7"/>
    <s v="C01004"/>
    <n v="43"/>
    <s v="Female"/>
    <x v="3"/>
    <x v="3"/>
    <x v="0"/>
    <s v="Full Board"/>
    <n v="10772.69"/>
    <n v="1619.64"/>
    <x v="0"/>
    <s v="Pending"/>
    <x v="1"/>
    <x v="33"/>
    <x v="4"/>
    <x v="0"/>
    <x v="0"/>
  </r>
  <r>
    <s v="T001005"/>
    <d v="2025-10-01T00:00:00"/>
    <x v="1"/>
    <x v="1"/>
    <x v="1"/>
    <x v="1"/>
    <s v="India"/>
    <x v="1"/>
    <x v="5"/>
    <s v="C01005"/>
    <n v="57"/>
    <s v="Male"/>
    <x v="4"/>
    <x v="0"/>
    <x v="2"/>
    <s v="No Meals"/>
    <n v="8080.08"/>
    <n v="4502.0600000000004"/>
    <x v="0"/>
    <s v="Cancelled"/>
    <x v="1"/>
    <x v="6"/>
    <x v="3"/>
    <x v="4"/>
    <x v="1"/>
  </r>
  <r>
    <s v="T001006"/>
    <d v="2025-10-02T00:00:00"/>
    <x v="1"/>
    <x v="1"/>
    <x v="1"/>
    <x v="1"/>
    <s v="India"/>
    <x v="1"/>
    <x v="2"/>
    <s v="C01006"/>
    <n v="18"/>
    <s v="Male"/>
    <x v="5"/>
    <x v="1"/>
    <x v="0"/>
    <s v="Half Board"/>
    <n v="25137.51"/>
    <n v="2527.1"/>
    <x v="2"/>
    <s v="Pending"/>
    <x v="0"/>
    <x v="36"/>
    <x v="4"/>
    <x v="1"/>
    <x v="0"/>
  </r>
  <r>
    <s v="T001007"/>
    <d v="2025-10-03T00:00:00"/>
    <x v="3"/>
    <x v="1"/>
    <x v="1"/>
    <x v="1"/>
    <s v="India"/>
    <x v="1"/>
    <x v="5"/>
    <s v="C01007"/>
    <n v="43"/>
    <s v="Male"/>
    <x v="3"/>
    <x v="0"/>
    <x v="2"/>
    <s v="No Meals"/>
    <n v="12380.98"/>
    <n v="1584.03"/>
    <x v="0"/>
    <s v="Confirmed"/>
    <x v="1"/>
    <x v="22"/>
    <x v="4"/>
    <x v="4"/>
    <x v="1"/>
  </r>
  <r>
    <s v="T001008"/>
    <d v="2025-10-04T00:00:00"/>
    <x v="4"/>
    <x v="3"/>
    <x v="0"/>
    <x v="0"/>
    <s v="India"/>
    <x v="0"/>
    <x v="3"/>
    <s v="C01008"/>
    <n v="45"/>
    <s v="Female"/>
    <x v="1"/>
    <x v="2"/>
    <x v="2"/>
    <s v="No Meals"/>
    <n v="20574.68"/>
    <n v="4482.54"/>
    <x v="0"/>
    <s v="Pending"/>
    <x v="1"/>
    <x v="32"/>
    <x v="4"/>
    <x v="2"/>
    <x v="0"/>
  </r>
  <r>
    <s v="T001009"/>
    <d v="2025-10-05T00:00:00"/>
    <x v="0"/>
    <x v="0"/>
    <x v="3"/>
    <x v="1"/>
    <s v="India"/>
    <x v="5"/>
    <x v="0"/>
    <s v="C01009"/>
    <n v="26"/>
    <s v="Female"/>
    <x v="4"/>
    <x v="1"/>
    <x v="0"/>
    <s v="Breakfast Only"/>
    <n v="41899.089999999997"/>
    <n v="160.19"/>
    <x v="3"/>
    <s v="Pending"/>
    <x v="0"/>
    <x v="23"/>
    <x v="1"/>
    <x v="4"/>
    <x v="1"/>
  </r>
  <r>
    <s v="T001010"/>
    <d v="2025-10-06T00:00:00"/>
    <x v="3"/>
    <x v="1"/>
    <x v="3"/>
    <x v="1"/>
    <s v="India"/>
    <x v="5"/>
    <x v="5"/>
    <s v="C01010"/>
    <n v="61"/>
    <s v="Female"/>
    <x v="4"/>
    <x v="2"/>
    <x v="3"/>
    <s v="Breakfast Only"/>
    <n v="22282.13"/>
    <n v="140.09"/>
    <x v="0"/>
    <s v="Cancelled"/>
    <x v="3"/>
    <x v="30"/>
    <x v="0"/>
    <x v="2"/>
    <x v="0"/>
  </r>
  <r>
    <s v="T001011"/>
    <d v="2025-10-07T00:00:00"/>
    <x v="4"/>
    <x v="3"/>
    <x v="0"/>
    <x v="0"/>
    <s v="India"/>
    <x v="4"/>
    <x v="7"/>
    <s v="C01011"/>
    <n v="39"/>
    <s v="Female"/>
    <x v="5"/>
    <x v="3"/>
    <x v="1"/>
    <s v="Breakfast Only"/>
    <n v="32444.19"/>
    <n v="2999.15"/>
    <x v="3"/>
    <s v="Pending"/>
    <x v="2"/>
    <x v="21"/>
    <x v="0"/>
    <x v="3"/>
    <x v="0"/>
  </r>
  <r>
    <s v="T001012"/>
    <d v="2025-10-08T00:00:00"/>
    <x v="2"/>
    <x v="2"/>
    <x v="1"/>
    <x v="1"/>
    <s v="India"/>
    <x v="1"/>
    <x v="4"/>
    <s v="C01012"/>
    <n v="25"/>
    <s v="Male"/>
    <x v="4"/>
    <x v="0"/>
    <x v="3"/>
    <s v="Half Board"/>
    <n v="27597.200000000001"/>
    <n v="3983.75"/>
    <x v="0"/>
    <s v="Confirmed"/>
    <x v="2"/>
    <x v="34"/>
    <x v="1"/>
    <x v="4"/>
    <x v="1"/>
  </r>
  <r>
    <s v="T001013"/>
    <d v="2025-10-09T00:00:00"/>
    <x v="1"/>
    <x v="1"/>
    <x v="2"/>
    <x v="0"/>
    <s v="India"/>
    <x v="2"/>
    <x v="1"/>
    <s v="C01013"/>
    <n v="66"/>
    <s v="Other"/>
    <x v="0"/>
    <x v="2"/>
    <x v="2"/>
    <s v="Breakfast Only"/>
    <n v="37334"/>
    <n v="3757.73"/>
    <x v="0"/>
    <s v="Pending"/>
    <x v="0"/>
    <x v="19"/>
    <x v="3"/>
    <x v="1"/>
    <x v="0"/>
  </r>
  <r>
    <s v="T001014"/>
    <d v="2025-10-10T00:00:00"/>
    <x v="4"/>
    <x v="3"/>
    <x v="1"/>
    <x v="1"/>
    <s v="India"/>
    <x v="1"/>
    <x v="0"/>
    <s v="C01014"/>
    <n v="59"/>
    <s v="Male"/>
    <x v="4"/>
    <x v="2"/>
    <x v="1"/>
    <s v="Half Board"/>
    <n v="12027.42"/>
    <n v="397.35"/>
    <x v="2"/>
    <s v="Pending"/>
    <x v="0"/>
    <x v="14"/>
    <x v="1"/>
    <x v="4"/>
    <x v="0"/>
  </r>
  <r>
    <s v="T001015"/>
    <d v="2025-10-11T00:00:00"/>
    <x v="2"/>
    <x v="2"/>
    <x v="1"/>
    <x v="1"/>
    <s v="India"/>
    <x v="1"/>
    <x v="5"/>
    <s v="C01015"/>
    <n v="44"/>
    <s v="Female"/>
    <x v="3"/>
    <x v="0"/>
    <x v="3"/>
    <s v="Full Board"/>
    <n v="46419.85"/>
    <n v="4751.26"/>
    <x v="3"/>
    <s v="Cancelled"/>
    <x v="3"/>
    <x v="39"/>
    <x v="0"/>
    <x v="4"/>
    <x v="1"/>
  </r>
  <r>
    <s v="T001016"/>
    <d v="2025-10-12T00:00:00"/>
    <x v="4"/>
    <x v="3"/>
    <x v="0"/>
    <x v="0"/>
    <s v="India"/>
    <x v="4"/>
    <x v="6"/>
    <s v="C01016"/>
    <n v="56"/>
    <s v="Other"/>
    <x v="0"/>
    <x v="1"/>
    <x v="0"/>
    <s v="Breakfast Only"/>
    <n v="33963.480000000003"/>
    <n v="3515.32"/>
    <x v="0"/>
    <s v="Pending"/>
    <x v="1"/>
    <x v="23"/>
    <x v="1"/>
    <x v="4"/>
    <x v="1"/>
  </r>
  <r>
    <s v="T001017"/>
    <d v="2025-10-13T00:00:00"/>
    <x v="1"/>
    <x v="1"/>
    <x v="3"/>
    <x v="1"/>
    <s v="India"/>
    <x v="5"/>
    <x v="0"/>
    <s v="C01017"/>
    <n v="36"/>
    <s v="Male"/>
    <x v="4"/>
    <x v="2"/>
    <x v="3"/>
    <s v="No Meals"/>
    <n v="17192.919999999998"/>
    <n v="4745.5600000000004"/>
    <x v="1"/>
    <s v="Cancelled"/>
    <x v="3"/>
    <x v="21"/>
    <x v="0"/>
    <x v="0"/>
    <x v="1"/>
  </r>
  <r>
    <s v="T001018"/>
    <d v="2025-10-14T00:00:00"/>
    <x v="1"/>
    <x v="1"/>
    <x v="1"/>
    <x v="1"/>
    <s v="India"/>
    <x v="1"/>
    <x v="0"/>
    <s v="C01018"/>
    <n v="42"/>
    <s v="Other"/>
    <x v="3"/>
    <x v="0"/>
    <x v="1"/>
    <s v="No Meals"/>
    <n v="10546.42"/>
    <n v="1645.49"/>
    <x v="0"/>
    <s v="Cancelled"/>
    <x v="1"/>
    <x v="15"/>
    <x v="2"/>
    <x v="4"/>
    <x v="0"/>
  </r>
  <r>
    <s v="T001019"/>
    <d v="2025-10-15T00:00:00"/>
    <x v="3"/>
    <x v="1"/>
    <x v="3"/>
    <x v="1"/>
    <s v="India"/>
    <x v="5"/>
    <x v="4"/>
    <s v="C01019"/>
    <n v="55"/>
    <s v="Female"/>
    <x v="3"/>
    <x v="3"/>
    <x v="1"/>
    <s v="Half Board"/>
    <n v="11737.65"/>
    <n v="3469.7"/>
    <x v="2"/>
    <s v="Pending"/>
    <x v="1"/>
    <x v="37"/>
    <x v="2"/>
    <x v="4"/>
    <x v="0"/>
  </r>
  <r>
    <s v="T001020"/>
    <d v="2025-10-16T00:00:00"/>
    <x v="0"/>
    <x v="0"/>
    <x v="4"/>
    <x v="1"/>
    <s v="India"/>
    <x v="6"/>
    <x v="7"/>
    <s v="C01020"/>
    <n v="38"/>
    <s v="Other"/>
    <x v="6"/>
    <x v="3"/>
    <x v="1"/>
    <s v="Breakfast Only"/>
    <n v="40219.83"/>
    <n v="4299.6899999999996"/>
    <x v="2"/>
    <s v="Cancelled"/>
    <x v="3"/>
    <x v="13"/>
    <x v="0"/>
    <x v="1"/>
    <x v="1"/>
  </r>
  <r>
    <s v="T001021"/>
    <d v="2025-10-17T00:00:00"/>
    <x v="4"/>
    <x v="3"/>
    <x v="3"/>
    <x v="1"/>
    <s v="India"/>
    <x v="5"/>
    <x v="2"/>
    <s v="C01021"/>
    <n v="41"/>
    <s v="Other"/>
    <x v="3"/>
    <x v="0"/>
    <x v="1"/>
    <s v="No Meals"/>
    <n v="31464.95"/>
    <n v="1902.32"/>
    <x v="2"/>
    <s v="Cancelled"/>
    <x v="0"/>
    <x v="15"/>
    <x v="0"/>
    <x v="2"/>
    <x v="1"/>
  </r>
  <r>
    <s v="T001022"/>
    <d v="2025-10-18T00:00:00"/>
    <x v="4"/>
    <x v="3"/>
    <x v="2"/>
    <x v="0"/>
    <s v="India"/>
    <x v="2"/>
    <x v="3"/>
    <s v="C01022"/>
    <n v="41"/>
    <s v="Female"/>
    <x v="5"/>
    <x v="2"/>
    <x v="3"/>
    <s v="Full Board"/>
    <n v="22134.12"/>
    <n v="4824.3"/>
    <x v="3"/>
    <s v="Pending"/>
    <x v="0"/>
    <x v="37"/>
    <x v="2"/>
    <x v="2"/>
    <x v="0"/>
  </r>
  <r>
    <s v="T001023"/>
    <d v="2025-10-19T00:00:00"/>
    <x v="2"/>
    <x v="2"/>
    <x v="2"/>
    <x v="0"/>
    <s v="India"/>
    <x v="2"/>
    <x v="6"/>
    <s v="C01023"/>
    <n v="36"/>
    <s v="Other"/>
    <x v="2"/>
    <x v="0"/>
    <x v="0"/>
    <s v="Breakfast Only"/>
    <n v="19980.54"/>
    <n v="1324.96"/>
    <x v="3"/>
    <s v="Pending"/>
    <x v="3"/>
    <x v="40"/>
    <x v="3"/>
    <x v="1"/>
    <x v="1"/>
  </r>
  <r>
    <s v="T001024"/>
    <d v="2025-10-20T00:00:00"/>
    <x v="1"/>
    <x v="1"/>
    <x v="1"/>
    <x v="1"/>
    <s v="India"/>
    <x v="1"/>
    <x v="4"/>
    <s v="C01024"/>
    <n v="67"/>
    <s v="Male"/>
    <x v="1"/>
    <x v="0"/>
    <x v="0"/>
    <s v="Full Board"/>
    <n v="43509.11"/>
    <n v="1578.07"/>
    <x v="3"/>
    <s v="Confirmed"/>
    <x v="1"/>
    <x v="20"/>
    <x v="0"/>
    <x v="3"/>
    <x v="1"/>
  </r>
  <r>
    <s v="T001025"/>
    <d v="2025-10-21T00:00:00"/>
    <x v="4"/>
    <x v="3"/>
    <x v="3"/>
    <x v="1"/>
    <s v="India"/>
    <x v="5"/>
    <x v="5"/>
    <s v="C01025"/>
    <n v="64"/>
    <s v="Other"/>
    <x v="4"/>
    <x v="2"/>
    <x v="1"/>
    <s v="No Meals"/>
    <n v="44364.31"/>
    <n v="4601.6400000000003"/>
    <x v="1"/>
    <s v="Confirmed"/>
    <x v="1"/>
    <x v="23"/>
    <x v="1"/>
    <x v="4"/>
    <x v="1"/>
  </r>
  <r>
    <s v="T001026"/>
    <d v="2025-10-22T00:00:00"/>
    <x v="1"/>
    <x v="1"/>
    <x v="1"/>
    <x v="1"/>
    <s v="India"/>
    <x v="1"/>
    <x v="9"/>
    <s v="C01026"/>
    <n v="19"/>
    <s v="Male"/>
    <x v="5"/>
    <x v="1"/>
    <x v="0"/>
    <s v="Breakfast Only"/>
    <n v="31156.79"/>
    <n v="4848.3"/>
    <x v="3"/>
    <s v="Cancelled"/>
    <x v="1"/>
    <x v="12"/>
    <x v="1"/>
    <x v="3"/>
    <x v="0"/>
  </r>
  <r>
    <s v="T001027"/>
    <d v="2025-10-23T00:00:00"/>
    <x v="4"/>
    <x v="3"/>
    <x v="0"/>
    <x v="0"/>
    <s v="India"/>
    <x v="0"/>
    <x v="4"/>
    <s v="C01027"/>
    <n v="31"/>
    <s v="Other"/>
    <x v="4"/>
    <x v="1"/>
    <x v="3"/>
    <s v="Half Board"/>
    <n v="28604.48"/>
    <n v="1425.98"/>
    <x v="2"/>
    <s v="Cancelled"/>
    <x v="1"/>
    <x v="6"/>
    <x v="3"/>
    <x v="1"/>
    <x v="0"/>
  </r>
  <r>
    <s v="T001028"/>
    <d v="2025-10-24T00:00:00"/>
    <x v="3"/>
    <x v="1"/>
    <x v="2"/>
    <x v="0"/>
    <s v="India"/>
    <x v="3"/>
    <x v="9"/>
    <s v="C01028"/>
    <n v="49"/>
    <s v="Other"/>
    <x v="4"/>
    <x v="3"/>
    <x v="0"/>
    <s v="No Meals"/>
    <n v="41740.160000000003"/>
    <n v="681.95"/>
    <x v="3"/>
    <s v="Pending"/>
    <x v="3"/>
    <x v="39"/>
    <x v="0"/>
    <x v="3"/>
    <x v="1"/>
  </r>
  <r>
    <s v="T001029"/>
    <d v="2025-10-25T00:00:00"/>
    <x v="0"/>
    <x v="0"/>
    <x v="1"/>
    <x v="1"/>
    <s v="India"/>
    <x v="1"/>
    <x v="10"/>
    <s v="C01029"/>
    <n v="59"/>
    <s v="Female"/>
    <x v="3"/>
    <x v="1"/>
    <x v="2"/>
    <s v="Full Board"/>
    <n v="38720.080000000002"/>
    <n v="3795.28"/>
    <x v="3"/>
    <s v="Confirmed"/>
    <x v="2"/>
    <x v="34"/>
    <x v="1"/>
    <x v="2"/>
    <x v="0"/>
  </r>
  <r>
    <s v="T001030"/>
    <d v="2025-10-26T00:00:00"/>
    <x v="4"/>
    <x v="3"/>
    <x v="0"/>
    <x v="0"/>
    <s v="India"/>
    <x v="4"/>
    <x v="3"/>
    <s v="C01030"/>
    <n v="49"/>
    <s v="Female"/>
    <x v="3"/>
    <x v="0"/>
    <x v="0"/>
    <s v="Breakfast Only"/>
    <n v="23014.63"/>
    <n v="4648.33"/>
    <x v="0"/>
    <s v="Confirmed"/>
    <x v="0"/>
    <x v="10"/>
    <x v="1"/>
    <x v="0"/>
    <x v="0"/>
  </r>
  <r>
    <s v="T001031"/>
    <d v="2025-10-27T00:00:00"/>
    <x v="1"/>
    <x v="1"/>
    <x v="1"/>
    <x v="1"/>
    <s v="India"/>
    <x v="1"/>
    <x v="7"/>
    <s v="C01031"/>
    <n v="45"/>
    <s v="Male"/>
    <x v="4"/>
    <x v="2"/>
    <x v="1"/>
    <s v="Full Board"/>
    <n v="8723.24"/>
    <n v="3003.57"/>
    <x v="3"/>
    <s v="Pending"/>
    <x v="0"/>
    <x v="6"/>
    <x v="2"/>
    <x v="3"/>
    <x v="1"/>
  </r>
  <r>
    <s v="T001032"/>
    <d v="2025-10-28T00:00:00"/>
    <x v="3"/>
    <x v="1"/>
    <x v="3"/>
    <x v="1"/>
    <s v="India"/>
    <x v="5"/>
    <x v="1"/>
    <s v="C01032"/>
    <n v="65"/>
    <s v="Female"/>
    <x v="2"/>
    <x v="3"/>
    <x v="0"/>
    <s v="Full Board"/>
    <n v="39582.5"/>
    <n v="3172.59"/>
    <x v="0"/>
    <s v="Pending"/>
    <x v="2"/>
    <x v="15"/>
    <x v="0"/>
    <x v="0"/>
    <x v="0"/>
  </r>
  <r>
    <s v="T001033"/>
    <d v="2025-10-29T00:00:00"/>
    <x v="4"/>
    <x v="3"/>
    <x v="3"/>
    <x v="1"/>
    <s v="India"/>
    <x v="5"/>
    <x v="0"/>
    <s v="C01033"/>
    <n v="56"/>
    <s v="Female"/>
    <x v="0"/>
    <x v="1"/>
    <x v="0"/>
    <s v="Half Board"/>
    <n v="12591.55"/>
    <n v="3814.72"/>
    <x v="3"/>
    <s v="Pending"/>
    <x v="1"/>
    <x v="26"/>
    <x v="0"/>
    <x v="3"/>
    <x v="1"/>
  </r>
  <r>
    <s v="T001034"/>
    <d v="2025-10-30T00:00:00"/>
    <x v="2"/>
    <x v="2"/>
    <x v="3"/>
    <x v="1"/>
    <s v="India"/>
    <x v="5"/>
    <x v="9"/>
    <s v="C01034"/>
    <n v="57"/>
    <s v="Female"/>
    <x v="0"/>
    <x v="0"/>
    <x v="0"/>
    <s v="Half Board"/>
    <n v="5736.96"/>
    <n v="765.42"/>
    <x v="0"/>
    <s v="Pending"/>
    <x v="2"/>
    <x v="3"/>
    <x v="3"/>
    <x v="1"/>
    <x v="0"/>
  </r>
  <r>
    <s v="T001035"/>
    <d v="2025-10-31T00:00:00"/>
    <x v="0"/>
    <x v="0"/>
    <x v="3"/>
    <x v="1"/>
    <s v="India"/>
    <x v="5"/>
    <x v="1"/>
    <s v="C01035"/>
    <n v="59"/>
    <s v="Female"/>
    <x v="1"/>
    <x v="3"/>
    <x v="0"/>
    <s v="No Meals"/>
    <n v="42948.62"/>
    <n v="4867.34"/>
    <x v="2"/>
    <s v="Confirmed"/>
    <x v="2"/>
    <x v="34"/>
    <x v="1"/>
    <x v="0"/>
    <x v="1"/>
  </r>
  <r>
    <s v="T001036"/>
    <d v="2025-11-01T00:00:00"/>
    <x v="4"/>
    <x v="3"/>
    <x v="4"/>
    <x v="1"/>
    <s v="India"/>
    <x v="6"/>
    <x v="1"/>
    <s v="C01036"/>
    <n v="64"/>
    <s v="Female"/>
    <x v="6"/>
    <x v="2"/>
    <x v="2"/>
    <s v="Half Board"/>
    <n v="31021.42"/>
    <n v="1821.65"/>
    <x v="3"/>
    <s v="Pending"/>
    <x v="2"/>
    <x v="27"/>
    <x v="0"/>
    <x v="3"/>
    <x v="1"/>
  </r>
  <r>
    <s v="T001037"/>
    <d v="2025-11-02T00:00:00"/>
    <x v="3"/>
    <x v="1"/>
    <x v="0"/>
    <x v="0"/>
    <s v="India"/>
    <x v="4"/>
    <x v="9"/>
    <s v="C01037"/>
    <n v="57"/>
    <s v="Male"/>
    <x v="5"/>
    <x v="1"/>
    <x v="3"/>
    <s v="Half Board"/>
    <n v="45124.97"/>
    <n v="3141.2"/>
    <x v="2"/>
    <s v="Pending"/>
    <x v="0"/>
    <x v="39"/>
    <x v="0"/>
    <x v="1"/>
    <x v="1"/>
  </r>
  <r>
    <s v="T001038"/>
    <d v="2025-11-03T00:00:00"/>
    <x v="2"/>
    <x v="2"/>
    <x v="0"/>
    <x v="0"/>
    <s v="India"/>
    <x v="4"/>
    <x v="1"/>
    <s v="C01038"/>
    <n v="30"/>
    <s v="Male"/>
    <x v="1"/>
    <x v="0"/>
    <x v="1"/>
    <s v="No Meals"/>
    <n v="26806.46"/>
    <n v="2343.08"/>
    <x v="3"/>
    <s v="Confirmed"/>
    <x v="0"/>
    <x v="27"/>
    <x v="0"/>
    <x v="2"/>
    <x v="0"/>
  </r>
  <r>
    <s v="T001039"/>
    <d v="2025-11-04T00:00:00"/>
    <x v="3"/>
    <x v="1"/>
    <x v="3"/>
    <x v="1"/>
    <s v="India"/>
    <x v="5"/>
    <x v="0"/>
    <s v="C01039"/>
    <n v="29"/>
    <s v="Female"/>
    <x v="4"/>
    <x v="2"/>
    <x v="1"/>
    <s v="No Meals"/>
    <n v="46691.65"/>
    <n v="2340.9"/>
    <x v="1"/>
    <s v="Pending"/>
    <x v="2"/>
    <x v="32"/>
    <x v="4"/>
    <x v="4"/>
    <x v="1"/>
  </r>
  <r>
    <s v="T001040"/>
    <d v="2025-11-05T00:00:00"/>
    <x v="3"/>
    <x v="1"/>
    <x v="4"/>
    <x v="1"/>
    <s v="India"/>
    <x v="6"/>
    <x v="2"/>
    <s v="C01040"/>
    <n v="25"/>
    <s v="Female"/>
    <x v="5"/>
    <x v="0"/>
    <x v="0"/>
    <s v="No Meals"/>
    <n v="20928.73"/>
    <n v="3513.72"/>
    <x v="1"/>
    <s v="Confirmed"/>
    <x v="2"/>
    <x v="8"/>
    <x v="0"/>
    <x v="1"/>
    <x v="0"/>
  </r>
  <r>
    <s v="T001041"/>
    <d v="2025-11-06T00:00:00"/>
    <x v="2"/>
    <x v="2"/>
    <x v="3"/>
    <x v="1"/>
    <s v="India"/>
    <x v="5"/>
    <x v="11"/>
    <s v="C01041"/>
    <n v="32"/>
    <s v="Male"/>
    <x v="4"/>
    <x v="0"/>
    <x v="3"/>
    <s v="No Meals"/>
    <n v="37603.49"/>
    <n v="4973.3100000000004"/>
    <x v="2"/>
    <s v="Confirmed"/>
    <x v="2"/>
    <x v="37"/>
    <x v="3"/>
    <x v="1"/>
    <x v="1"/>
  </r>
  <r>
    <s v="T001042"/>
    <d v="2025-11-07T00:00:00"/>
    <x v="3"/>
    <x v="1"/>
    <x v="4"/>
    <x v="1"/>
    <s v="India"/>
    <x v="6"/>
    <x v="10"/>
    <s v="C01042"/>
    <n v="43"/>
    <s v="Other"/>
    <x v="4"/>
    <x v="0"/>
    <x v="0"/>
    <s v="Full Board"/>
    <n v="18544.39"/>
    <n v="3295.3"/>
    <x v="2"/>
    <s v="Pending"/>
    <x v="1"/>
    <x v="29"/>
    <x v="1"/>
    <x v="2"/>
    <x v="0"/>
  </r>
  <r>
    <s v="T001043"/>
    <d v="2025-11-08T00:00:00"/>
    <x v="2"/>
    <x v="2"/>
    <x v="3"/>
    <x v="1"/>
    <s v="India"/>
    <x v="5"/>
    <x v="9"/>
    <s v="C01043"/>
    <n v="29"/>
    <s v="Male"/>
    <x v="6"/>
    <x v="2"/>
    <x v="2"/>
    <s v="Full Board"/>
    <n v="5052.3599999999997"/>
    <n v="3970.3"/>
    <x v="1"/>
    <s v="Pending"/>
    <x v="1"/>
    <x v="24"/>
    <x v="0"/>
    <x v="0"/>
    <x v="1"/>
  </r>
  <r>
    <s v="T001044"/>
    <d v="2025-11-09T00:00:00"/>
    <x v="4"/>
    <x v="3"/>
    <x v="2"/>
    <x v="0"/>
    <s v="India"/>
    <x v="2"/>
    <x v="0"/>
    <s v="C01044"/>
    <n v="60"/>
    <s v="Other"/>
    <x v="3"/>
    <x v="3"/>
    <x v="3"/>
    <s v="No Meals"/>
    <n v="22088.5"/>
    <n v="138.08000000000001"/>
    <x v="1"/>
    <s v="Cancelled"/>
    <x v="1"/>
    <x v="29"/>
    <x v="1"/>
    <x v="3"/>
    <x v="1"/>
  </r>
  <r>
    <s v="T001045"/>
    <d v="2025-11-10T00:00:00"/>
    <x v="2"/>
    <x v="2"/>
    <x v="2"/>
    <x v="0"/>
    <s v="India"/>
    <x v="2"/>
    <x v="6"/>
    <s v="C01045"/>
    <n v="68"/>
    <s v="Female"/>
    <x v="6"/>
    <x v="0"/>
    <x v="3"/>
    <s v="No Meals"/>
    <n v="38199.449999999997"/>
    <n v="4052.14"/>
    <x v="0"/>
    <s v="Cancelled"/>
    <x v="0"/>
    <x v="35"/>
    <x v="3"/>
    <x v="0"/>
    <x v="0"/>
  </r>
  <r>
    <s v="T001046"/>
    <d v="2025-11-11T00:00:00"/>
    <x v="2"/>
    <x v="2"/>
    <x v="1"/>
    <x v="1"/>
    <s v="India"/>
    <x v="1"/>
    <x v="3"/>
    <s v="C01046"/>
    <n v="63"/>
    <s v="Female"/>
    <x v="1"/>
    <x v="3"/>
    <x v="3"/>
    <s v="Breakfast Only"/>
    <n v="11751.09"/>
    <n v="1499.88"/>
    <x v="3"/>
    <s v="Confirmed"/>
    <x v="3"/>
    <x v="13"/>
    <x v="0"/>
    <x v="1"/>
    <x v="1"/>
  </r>
  <r>
    <s v="T001047"/>
    <d v="2025-11-12T00:00:00"/>
    <x v="0"/>
    <x v="0"/>
    <x v="3"/>
    <x v="1"/>
    <s v="India"/>
    <x v="5"/>
    <x v="9"/>
    <s v="C01047"/>
    <n v="44"/>
    <s v="Male"/>
    <x v="3"/>
    <x v="3"/>
    <x v="3"/>
    <s v="Breakfast Only"/>
    <n v="27716.09"/>
    <n v="633.51"/>
    <x v="1"/>
    <s v="Confirmed"/>
    <x v="2"/>
    <x v="38"/>
    <x v="0"/>
    <x v="3"/>
    <x v="1"/>
  </r>
  <r>
    <s v="T001048"/>
    <d v="2025-11-13T00:00:00"/>
    <x v="2"/>
    <x v="2"/>
    <x v="0"/>
    <x v="0"/>
    <s v="India"/>
    <x v="0"/>
    <x v="2"/>
    <s v="C01048"/>
    <n v="35"/>
    <s v="Female"/>
    <x v="3"/>
    <x v="1"/>
    <x v="0"/>
    <s v="Breakfast Only"/>
    <n v="14554.47"/>
    <n v="566.66999999999996"/>
    <x v="2"/>
    <s v="Cancelled"/>
    <x v="2"/>
    <x v="35"/>
    <x v="2"/>
    <x v="4"/>
    <x v="0"/>
  </r>
  <r>
    <s v="T001049"/>
    <d v="2025-11-14T00:00:00"/>
    <x v="2"/>
    <x v="2"/>
    <x v="1"/>
    <x v="1"/>
    <s v="India"/>
    <x v="1"/>
    <x v="0"/>
    <s v="C01049"/>
    <n v="62"/>
    <s v="Other"/>
    <x v="1"/>
    <x v="1"/>
    <x v="2"/>
    <s v="Half Board"/>
    <n v="8358.09"/>
    <n v="3399.37"/>
    <x v="2"/>
    <s v="Confirmed"/>
    <x v="3"/>
    <x v="36"/>
    <x v="4"/>
    <x v="4"/>
    <x v="0"/>
  </r>
  <r>
    <s v="T001050"/>
    <d v="2025-11-15T00:00:00"/>
    <x v="4"/>
    <x v="3"/>
    <x v="2"/>
    <x v="0"/>
    <s v="India"/>
    <x v="3"/>
    <x v="0"/>
    <s v="C01050"/>
    <n v="53"/>
    <s v="Other"/>
    <x v="3"/>
    <x v="3"/>
    <x v="3"/>
    <s v="Full Board"/>
    <n v="32785.339999999997"/>
    <n v="4988.08"/>
    <x v="1"/>
    <s v="Cancelled"/>
    <x v="2"/>
    <x v="14"/>
    <x v="1"/>
    <x v="3"/>
    <x v="1"/>
  </r>
  <r>
    <s v="T001051"/>
    <d v="2025-11-16T00:00:00"/>
    <x v="0"/>
    <x v="0"/>
    <x v="3"/>
    <x v="1"/>
    <s v="India"/>
    <x v="5"/>
    <x v="6"/>
    <s v="C01051"/>
    <n v="66"/>
    <s v="Male"/>
    <x v="5"/>
    <x v="1"/>
    <x v="1"/>
    <s v="Full Board"/>
    <n v="47838.54"/>
    <n v="3330.98"/>
    <x v="2"/>
    <s v="Pending"/>
    <x v="1"/>
    <x v="23"/>
    <x v="1"/>
    <x v="1"/>
    <x v="1"/>
  </r>
  <r>
    <s v="T001052"/>
    <d v="2025-11-17T00:00:00"/>
    <x v="1"/>
    <x v="1"/>
    <x v="1"/>
    <x v="1"/>
    <s v="India"/>
    <x v="1"/>
    <x v="4"/>
    <s v="C01052"/>
    <n v="68"/>
    <s v="Other"/>
    <x v="0"/>
    <x v="1"/>
    <x v="1"/>
    <s v="Breakfast Only"/>
    <n v="18981.689999999999"/>
    <n v="1311.74"/>
    <x v="3"/>
    <s v="Pending"/>
    <x v="1"/>
    <x v="1"/>
    <x v="1"/>
    <x v="2"/>
    <x v="0"/>
  </r>
  <r>
    <s v="T001053"/>
    <d v="2025-11-18T00:00:00"/>
    <x v="4"/>
    <x v="3"/>
    <x v="3"/>
    <x v="1"/>
    <s v="India"/>
    <x v="5"/>
    <x v="11"/>
    <s v="C01053"/>
    <n v="44"/>
    <s v="Male"/>
    <x v="1"/>
    <x v="3"/>
    <x v="2"/>
    <s v="Breakfast Only"/>
    <n v="31129.06"/>
    <n v="1016.53"/>
    <x v="0"/>
    <s v="Pending"/>
    <x v="3"/>
    <x v="37"/>
    <x v="3"/>
    <x v="0"/>
    <x v="1"/>
  </r>
  <r>
    <s v="T001054"/>
    <d v="2025-11-19T00:00:00"/>
    <x v="4"/>
    <x v="3"/>
    <x v="2"/>
    <x v="0"/>
    <s v="India"/>
    <x v="2"/>
    <x v="2"/>
    <s v="C01054"/>
    <n v="26"/>
    <s v="Male"/>
    <x v="1"/>
    <x v="2"/>
    <x v="1"/>
    <s v="Full Board"/>
    <n v="47912.15"/>
    <n v="2629.79"/>
    <x v="3"/>
    <s v="Confirmed"/>
    <x v="1"/>
    <x v="1"/>
    <x v="1"/>
    <x v="0"/>
    <x v="1"/>
  </r>
  <r>
    <s v="T001055"/>
    <d v="2025-11-20T00:00:00"/>
    <x v="1"/>
    <x v="1"/>
    <x v="1"/>
    <x v="1"/>
    <s v="India"/>
    <x v="1"/>
    <x v="9"/>
    <s v="C01055"/>
    <n v="56"/>
    <s v="Other"/>
    <x v="0"/>
    <x v="1"/>
    <x v="0"/>
    <s v="Half Board"/>
    <n v="34271.75"/>
    <n v="325.2"/>
    <x v="0"/>
    <s v="Pending"/>
    <x v="3"/>
    <x v="8"/>
    <x v="0"/>
    <x v="2"/>
    <x v="0"/>
  </r>
  <r>
    <s v="T001056"/>
    <d v="2025-11-21T00:00:00"/>
    <x v="2"/>
    <x v="2"/>
    <x v="2"/>
    <x v="0"/>
    <s v="India"/>
    <x v="2"/>
    <x v="6"/>
    <s v="C01056"/>
    <n v="18"/>
    <s v="Other"/>
    <x v="6"/>
    <x v="1"/>
    <x v="0"/>
    <s v="Breakfast Only"/>
    <n v="35290.1"/>
    <n v="1996.65"/>
    <x v="0"/>
    <s v="Confirmed"/>
    <x v="1"/>
    <x v="15"/>
    <x v="0"/>
    <x v="2"/>
    <x v="1"/>
  </r>
  <r>
    <s v="T001057"/>
    <d v="2025-11-22T00:00:00"/>
    <x v="3"/>
    <x v="1"/>
    <x v="4"/>
    <x v="1"/>
    <s v="India"/>
    <x v="6"/>
    <x v="7"/>
    <s v="C01057"/>
    <n v="24"/>
    <s v="Other"/>
    <x v="6"/>
    <x v="2"/>
    <x v="2"/>
    <s v="No Meals"/>
    <n v="13051.78"/>
    <n v="3331.17"/>
    <x v="1"/>
    <s v="Pending"/>
    <x v="2"/>
    <x v="20"/>
    <x v="0"/>
    <x v="4"/>
    <x v="1"/>
  </r>
  <r>
    <s v="T001058"/>
    <d v="2025-11-23T00:00:00"/>
    <x v="0"/>
    <x v="0"/>
    <x v="2"/>
    <x v="0"/>
    <s v="India"/>
    <x v="2"/>
    <x v="0"/>
    <s v="C01058"/>
    <n v="43"/>
    <s v="Other"/>
    <x v="6"/>
    <x v="2"/>
    <x v="3"/>
    <s v="Breakfast Only"/>
    <n v="27167.439999999999"/>
    <n v="4838.3100000000004"/>
    <x v="2"/>
    <s v="Confirmed"/>
    <x v="0"/>
    <x v="23"/>
    <x v="1"/>
    <x v="2"/>
    <x v="0"/>
  </r>
  <r>
    <s v="T001059"/>
    <d v="2025-11-24T00:00:00"/>
    <x v="3"/>
    <x v="1"/>
    <x v="3"/>
    <x v="1"/>
    <s v="India"/>
    <x v="5"/>
    <x v="10"/>
    <s v="C01059"/>
    <n v="24"/>
    <s v="Other"/>
    <x v="3"/>
    <x v="2"/>
    <x v="1"/>
    <s v="Full Board"/>
    <n v="21518.720000000001"/>
    <n v="2128.27"/>
    <x v="0"/>
    <s v="Confirmed"/>
    <x v="1"/>
    <x v="38"/>
    <x v="0"/>
    <x v="3"/>
    <x v="1"/>
  </r>
  <r>
    <s v="T001060"/>
    <d v="2025-11-25T00:00:00"/>
    <x v="1"/>
    <x v="1"/>
    <x v="0"/>
    <x v="0"/>
    <s v="India"/>
    <x v="4"/>
    <x v="4"/>
    <s v="C01060"/>
    <n v="69"/>
    <s v="Other"/>
    <x v="0"/>
    <x v="3"/>
    <x v="1"/>
    <s v="Full Board"/>
    <n v="26193.06"/>
    <n v="1001.12"/>
    <x v="1"/>
    <s v="Cancelled"/>
    <x v="3"/>
    <x v="10"/>
    <x v="1"/>
    <x v="4"/>
    <x v="1"/>
  </r>
  <r>
    <s v="T001061"/>
    <d v="2025-11-26T00:00:00"/>
    <x v="4"/>
    <x v="3"/>
    <x v="2"/>
    <x v="0"/>
    <s v="India"/>
    <x v="2"/>
    <x v="0"/>
    <s v="C01061"/>
    <n v="24"/>
    <s v="Other"/>
    <x v="5"/>
    <x v="2"/>
    <x v="2"/>
    <s v="Breakfast Only"/>
    <n v="41037.199999999997"/>
    <n v="4086.81"/>
    <x v="2"/>
    <s v="Cancelled"/>
    <x v="0"/>
    <x v="10"/>
    <x v="1"/>
    <x v="1"/>
    <x v="1"/>
  </r>
  <r>
    <s v="T001062"/>
    <d v="2025-11-27T00:00:00"/>
    <x v="4"/>
    <x v="3"/>
    <x v="0"/>
    <x v="0"/>
    <s v="India"/>
    <x v="0"/>
    <x v="9"/>
    <s v="C01062"/>
    <n v="25"/>
    <s v="Female"/>
    <x v="1"/>
    <x v="3"/>
    <x v="2"/>
    <s v="Breakfast Only"/>
    <n v="25731.45"/>
    <n v="3721"/>
    <x v="2"/>
    <s v="Cancelled"/>
    <x v="2"/>
    <x v="21"/>
    <x v="0"/>
    <x v="4"/>
    <x v="1"/>
  </r>
  <r>
    <s v="T001063"/>
    <d v="2025-11-28T00:00:00"/>
    <x v="0"/>
    <x v="0"/>
    <x v="4"/>
    <x v="1"/>
    <s v="India"/>
    <x v="6"/>
    <x v="5"/>
    <s v="C01063"/>
    <n v="33"/>
    <s v="Male"/>
    <x v="1"/>
    <x v="0"/>
    <x v="1"/>
    <s v="No Meals"/>
    <n v="7828.28"/>
    <n v="4298.5200000000004"/>
    <x v="0"/>
    <s v="Confirmed"/>
    <x v="0"/>
    <x v="2"/>
    <x v="3"/>
    <x v="4"/>
    <x v="1"/>
  </r>
  <r>
    <s v="T001064"/>
    <d v="2025-11-29T00:00:00"/>
    <x v="4"/>
    <x v="3"/>
    <x v="1"/>
    <x v="1"/>
    <s v="India"/>
    <x v="1"/>
    <x v="0"/>
    <s v="C01064"/>
    <n v="20"/>
    <s v="Male"/>
    <x v="1"/>
    <x v="0"/>
    <x v="3"/>
    <s v="No Meals"/>
    <n v="45749.37"/>
    <n v="1073.5899999999999"/>
    <x v="2"/>
    <s v="Cancelled"/>
    <x v="3"/>
    <x v="23"/>
    <x v="1"/>
    <x v="0"/>
    <x v="0"/>
  </r>
  <r>
    <s v="T001065"/>
    <d v="2025-11-30T00:00:00"/>
    <x v="4"/>
    <x v="3"/>
    <x v="1"/>
    <x v="1"/>
    <s v="India"/>
    <x v="1"/>
    <x v="8"/>
    <s v="C01065"/>
    <n v="62"/>
    <s v="Other"/>
    <x v="3"/>
    <x v="2"/>
    <x v="2"/>
    <s v="Half Board"/>
    <n v="29516.71"/>
    <n v="2024.16"/>
    <x v="3"/>
    <s v="Cancelled"/>
    <x v="2"/>
    <x v="8"/>
    <x v="0"/>
    <x v="2"/>
    <x v="1"/>
  </r>
  <r>
    <s v="T001066"/>
    <d v="2025-12-01T00:00:00"/>
    <x v="0"/>
    <x v="0"/>
    <x v="0"/>
    <x v="0"/>
    <s v="India"/>
    <x v="4"/>
    <x v="5"/>
    <s v="C01066"/>
    <n v="27"/>
    <s v="Male"/>
    <x v="3"/>
    <x v="2"/>
    <x v="0"/>
    <s v="Half Board"/>
    <n v="46602.25"/>
    <n v="4907.7700000000004"/>
    <x v="2"/>
    <s v="Cancelled"/>
    <x v="2"/>
    <x v="0"/>
    <x v="0"/>
    <x v="3"/>
    <x v="1"/>
  </r>
  <r>
    <s v="T001067"/>
    <d v="2025-12-02T00:00:00"/>
    <x v="0"/>
    <x v="0"/>
    <x v="1"/>
    <x v="1"/>
    <s v="India"/>
    <x v="1"/>
    <x v="0"/>
    <s v="C01067"/>
    <n v="67"/>
    <s v="Other"/>
    <x v="2"/>
    <x v="0"/>
    <x v="1"/>
    <s v="No Meals"/>
    <n v="30755.95"/>
    <n v="790.21"/>
    <x v="3"/>
    <s v="Confirmed"/>
    <x v="1"/>
    <x v="2"/>
    <x v="3"/>
    <x v="2"/>
    <x v="0"/>
  </r>
  <r>
    <s v="T001068"/>
    <d v="2025-12-03T00:00:00"/>
    <x v="1"/>
    <x v="1"/>
    <x v="2"/>
    <x v="0"/>
    <s v="India"/>
    <x v="3"/>
    <x v="1"/>
    <s v="C01068"/>
    <n v="24"/>
    <s v="Female"/>
    <x v="5"/>
    <x v="3"/>
    <x v="2"/>
    <s v="Half Board"/>
    <n v="8133.63"/>
    <n v="3357.25"/>
    <x v="2"/>
    <s v="Confirmed"/>
    <x v="0"/>
    <x v="19"/>
    <x v="2"/>
    <x v="0"/>
    <x v="1"/>
  </r>
  <r>
    <s v="T001069"/>
    <d v="2025-12-04T00:00:00"/>
    <x v="4"/>
    <x v="3"/>
    <x v="0"/>
    <x v="0"/>
    <s v="India"/>
    <x v="4"/>
    <x v="2"/>
    <s v="C01069"/>
    <n v="38"/>
    <s v="Male"/>
    <x v="6"/>
    <x v="3"/>
    <x v="2"/>
    <s v="Half Board"/>
    <n v="29879.119999999999"/>
    <n v="1185.92"/>
    <x v="0"/>
    <s v="Cancelled"/>
    <x v="1"/>
    <x v="19"/>
    <x v="3"/>
    <x v="2"/>
    <x v="1"/>
  </r>
  <r>
    <s v="T001070"/>
    <d v="2025-12-05T00:00:00"/>
    <x v="4"/>
    <x v="3"/>
    <x v="3"/>
    <x v="1"/>
    <s v="India"/>
    <x v="5"/>
    <x v="0"/>
    <s v="C01070"/>
    <n v="54"/>
    <s v="Male"/>
    <x v="2"/>
    <x v="2"/>
    <x v="2"/>
    <s v="Breakfast Only"/>
    <n v="30908.25"/>
    <n v="2500.8000000000002"/>
    <x v="0"/>
    <s v="Cancelled"/>
    <x v="2"/>
    <x v="39"/>
    <x v="0"/>
    <x v="3"/>
    <x v="1"/>
  </r>
  <r>
    <s v="T001071"/>
    <d v="2025-12-06T00:00:00"/>
    <x v="1"/>
    <x v="1"/>
    <x v="2"/>
    <x v="0"/>
    <s v="India"/>
    <x v="2"/>
    <x v="3"/>
    <s v="C01071"/>
    <n v="48"/>
    <s v="Female"/>
    <x v="2"/>
    <x v="2"/>
    <x v="1"/>
    <s v="No Meals"/>
    <n v="14645.29"/>
    <n v="4002.55"/>
    <x v="1"/>
    <s v="Confirmed"/>
    <x v="1"/>
    <x v="8"/>
    <x v="0"/>
    <x v="2"/>
    <x v="0"/>
  </r>
  <r>
    <s v="T001072"/>
    <d v="2025-12-07T00:00:00"/>
    <x v="2"/>
    <x v="2"/>
    <x v="2"/>
    <x v="0"/>
    <s v="India"/>
    <x v="3"/>
    <x v="1"/>
    <s v="C01072"/>
    <n v="40"/>
    <s v="Female"/>
    <x v="3"/>
    <x v="2"/>
    <x v="0"/>
    <s v="Breakfast Only"/>
    <n v="26196.31"/>
    <n v="2442.9299999999998"/>
    <x v="3"/>
    <s v="Confirmed"/>
    <x v="1"/>
    <x v="19"/>
    <x v="3"/>
    <x v="0"/>
    <x v="1"/>
  </r>
  <r>
    <s v="T001073"/>
    <d v="2025-12-08T00:00:00"/>
    <x v="2"/>
    <x v="2"/>
    <x v="2"/>
    <x v="0"/>
    <s v="India"/>
    <x v="2"/>
    <x v="9"/>
    <s v="C01073"/>
    <n v="44"/>
    <s v="Female"/>
    <x v="6"/>
    <x v="0"/>
    <x v="0"/>
    <s v="Breakfast Only"/>
    <n v="25674.87"/>
    <n v="4027.41"/>
    <x v="3"/>
    <s v="Cancelled"/>
    <x v="3"/>
    <x v="12"/>
    <x v="1"/>
    <x v="3"/>
    <x v="0"/>
  </r>
  <r>
    <s v="T001074"/>
    <d v="2025-12-09T00:00:00"/>
    <x v="2"/>
    <x v="2"/>
    <x v="3"/>
    <x v="1"/>
    <s v="India"/>
    <x v="5"/>
    <x v="10"/>
    <s v="C01074"/>
    <n v="39"/>
    <s v="Male"/>
    <x v="6"/>
    <x v="1"/>
    <x v="1"/>
    <s v="Half Board"/>
    <n v="33029.43"/>
    <n v="2131.67"/>
    <x v="0"/>
    <s v="Cancelled"/>
    <x v="1"/>
    <x v="15"/>
    <x v="0"/>
    <x v="2"/>
    <x v="0"/>
  </r>
  <r>
    <s v="T001075"/>
    <d v="2025-12-10T00:00:00"/>
    <x v="1"/>
    <x v="1"/>
    <x v="4"/>
    <x v="1"/>
    <s v="India"/>
    <x v="6"/>
    <x v="5"/>
    <s v="C01075"/>
    <n v="56"/>
    <s v="Male"/>
    <x v="1"/>
    <x v="2"/>
    <x v="2"/>
    <s v="Breakfast Only"/>
    <n v="16682.63"/>
    <n v="4996.76"/>
    <x v="0"/>
    <s v="Cancelled"/>
    <x v="2"/>
    <x v="25"/>
    <x v="3"/>
    <x v="0"/>
    <x v="1"/>
  </r>
  <r>
    <s v="T001076"/>
    <d v="2025-12-11T00:00:00"/>
    <x v="4"/>
    <x v="3"/>
    <x v="1"/>
    <x v="1"/>
    <s v="India"/>
    <x v="1"/>
    <x v="7"/>
    <s v="C01076"/>
    <n v="44"/>
    <s v="Female"/>
    <x v="3"/>
    <x v="3"/>
    <x v="1"/>
    <s v="Full Board"/>
    <n v="31178.68"/>
    <n v="2179.14"/>
    <x v="0"/>
    <s v="Confirmed"/>
    <x v="1"/>
    <x v="39"/>
    <x v="0"/>
    <x v="0"/>
    <x v="0"/>
  </r>
  <r>
    <s v="T001077"/>
    <d v="2025-12-12T00:00:00"/>
    <x v="1"/>
    <x v="1"/>
    <x v="0"/>
    <x v="0"/>
    <s v="India"/>
    <x v="4"/>
    <x v="4"/>
    <s v="C01077"/>
    <n v="66"/>
    <s v="Female"/>
    <x v="6"/>
    <x v="1"/>
    <x v="1"/>
    <s v="Half Board"/>
    <n v="15842.84"/>
    <n v="746.9"/>
    <x v="3"/>
    <s v="Cancelled"/>
    <x v="2"/>
    <x v="4"/>
    <x v="0"/>
    <x v="4"/>
    <x v="0"/>
  </r>
  <r>
    <s v="T001078"/>
    <d v="2025-12-13T00:00:00"/>
    <x v="1"/>
    <x v="1"/>
    <x v="4"/>
    <x v="1"/>
    <s v="India"/>
    <x v="6"/>
    <x v="6"/>
    <s v="C01078"/>
    <n v="21"/>
    <s v="Female"/>
    <x v="2"/>
    <x v="3"/>
    <x v="2"/>
    <s v="Full Board"/>
    <n v="25090.04"/>
    <n v="2009.35"/>
    <x v="1"/>
    <s v="Confirmed"/>
    <x v="2"/>
    <x v="35"/>
    <x v="2"/>
    <x v="3"/>
    <x v="0"/>
  </r>
  <r>
    <s v="T001079"/>
    <d v="2025-12-14T00:00:00"/>
    <x v="2"/>
    <x v="2"/>
    <x v="0"/>
    <x v="0"/>
    <s v="India"/>
    <x v="0"/>
    <x v="10"/>
    <s v="C01079"/>
    <n v="41"/>
    <s v="Female"/>
    <x v="0"/>
    <x v="1"/>
    <x v="1"/>
    <s v="Half Board"/>
    <n v="10521.76"/>
    <n v="3712.97"/>
    <x v="3"/>
    <s v="Pending"/>
    <x v="3"/>
    <x v="23"/>
    <x v="1"/>
    <x v="3"/>
    <x v="0"/>
  </r>
  <r>
    <s v="T001080"/>
    <d v="2025-12-15T00:00:00"/>
    <x v="3"/>
    <x v="1"/>
    <x v="1"/>
    <x v="1"/>
    <s v="India"/>
    <x v="1"/>
    <x v="1"/>
    <s v="C01080"/>
    <n v="40"/>
    <s v="Female"/>
    <x v="0"/>
    <x v="0"/>
    <x v="3"/>
    <s v="Breakfast Only"/>
    <n v="6678.52"/>
    <n v="4239.6899999999996"/>
    <x v="0"/>
    <s v="Cancelled"/>
    <x v="2"/>
    <x v="39"/>
    <x v="0"/>
    <x v="2"/>
    <x v="1"/>
  </r>
  <r>
    <s v="T001081"/>
    <d v="2025-12-16T00:00:00"/>
    <x v="4"/>
    <x v="3"/>
    <x v="3"/>
    <x v="1"/>
    <s v="India"/>
    <x v="5"/>
    <x v="4"/>
    <s v="C01081"/>
    <n v="65"/>
    <s v="Other"/>
    <x v="3"/>
    <x v="1"/>
    <x v="0"/>
    <s v="Half Board"/>
    <n v="19426.43"/>
    <n v="2300.52"/>
    <x v="1"/>
    <s v="Pending"/>
    <x v="2"/>
    <x v="20"/>
    <x v="0"/>
    <x v="4"/>
    <x v="1"/>
  </r>
  <r>
    <s v="T001082"/>
    <d v="2025-12-17T00:00:00"/>
    <x v="2"/>
    <x v="2"/>
    <x v="2"/>
    <x v="0"/>
    <s v="India"/>
    <x v="2"/>
    <x v="5"/>
    <s v="C01082"/>
    <n v="36"/>
    <s v="Female"/>
    <x v="1"/>
    <x v="3"/>
    <x v="3"/>
    <s v="Full Board"/>
    <n v="17355.73"/>
    <n v="2972.38"/>
    <x v="2"/>
    <s v="Confirmed"/>
    <x v="3"/>
    <x v="17"/>
    <x v="1"/>
    <x v="3"/>
    <x v="1"/>
  </r>
  <r>
    <s v="T001083"/>
    <d v="2025-12-18T00:00:00"/>
    <x v="3"/>
    <x v="1"/>
    <x v="2"/>
    <x v="0"/>
    <s v="India"/>
    <x v="2"/>
    <x v="7"/>
    <s v="C01083"/>
    <n v="59"/>
    <s v="Other"/>
    <x v="1"/>
    <x v="1"/>
    <x v="3"/>
    <s v="Half Board"/>
    <n v="23312.12"/>
    <n v="4224.45"/>
    <x v="2"/>
    <s v="Pending"/>
    <x v="2"/>
    <x v="1"/>
    <x v="1"/>
    <x v="0"/>
    <x v="1"/>
  </r>
  <r>
    <s v="T001084"/>
    <d v="2025-12-19T00:00:00"/>
    <x v="3"/>
    <x v="1"/>
    <x v="3"/>
    <x v="1"/>
    <s v="India"/>
    <x v="5"/>
    <x v="8"/>
    <s v="C01084"/>
    <n v="20"/>
    <s v="Male"/>
    <x v="6"/>
    <x v="0"/>
    <x v="3"/>
    <s v="Full Board"/>
    <n v="48289.22"/>
    <n v="4067.73"/>
    <x v="0"/>
    <s v="Cancelled"/>
    <x v="3"/>
    <x v="38"/>
    <x v="0"/>
    <x v="3"/>
    <x v="0"/>
  </r>
  <r>
    <s v="T001085"/>
    <d v="2025-12-20T00:00:00"/>
    <x v="0"/>
    <x v="0"/>
    <x v="4"/>
    <x v="1"/>
    <s v="India"/>
    <x v="6"/>
    <x v="8"/>
    <s v="C01085"/>
    <n v="44"/>
    <s v="Male"/>
    <x v="5"/>
    <x v="3"/>
    <x v="1"/>
    <s v="No Meals"/>
    <n v="28500.32"/>
    <n v="3288.62"/>
    <x v="1"/>
    <s v="Pending"/>
    <x v="0"/>
    <x v="1"/>
    <x v="1"/>
    <x v="4"/>
    <x v="1"/>
  </r>
  <r>
    <s v="T001086"/>
    <d v="2025-12-21T00:00:00"/>
    <x v="4"/>
    <x v="3"/>
    <x v="4"/>
    <x v="1"/>
    <s v="India"/>
    <x v="6"/>
    <x v="2"/>
    <s v="C01086"/>
    <n v="20"/>
    <s v="Other"/>
    <x v="3"/>
    <x v="2"/>
    <x v="2"/>
    <s v="Breakfast Only"/>
    <n v="29892.95"/>
    <n v="4075.14"/>
    <x v="0"/>
    <s v="Pending"/>
    <x v="0"/>
    <x v="15"/>
    <x v="0"/>
    <x v="1"/>
    <x v="1"/>
  </r>
  <r>
    <s v="T001087"/>
    <d v="2025-12-22T00:00:00"/>
    <x v="3"/>
    <x v="1"/>
    <x v="0"/>
    <x v="0"/>
    <s v="India"/>
    <x v="0"/>
    <x v="7"/>
    <s v="C01087"/>
    <n v="45"/>
    <s v="Female"/>
    <x v="5"/>
    <x v="1"/>
    <x v="1"/>
    <s v="Full Board"/>
    <n v="47372.05"/>
    <n v="2879.55"/>
    <x v="3"/>
    <s v="Pending"/>
    <x v="0"/>
    <x v="4"/>
    <x v="0"/>
    <x v="0"/>
    <x v="0"/>
  </r>
  <r>
    <s v="T001088"/>
    <d v="2025-12-23T00:00:00"/>
    <x v="2"/>
    <x v="2"/>
    <x v="3"/>
    <x v="1"/>
    <s v="India"/>
    <x v="5"/>
    <x v="4"/>
    <s v="C01088"/>
    <n v="34"/>
    <s v="Male"/>
    <x v="0"/>
    <x v="3"/>
    <x v="0"/>
    <s v="No Meals"/>
    <n v="46451.62"/>
    <n v="23.24"/>
    <x v="3"/>
    <s v="Confirmed"/>
    <x v="2"/>
    <x v="12"/>
    <x v="1"/>
    <x v="3"/>
    <x v="1"/>
  </r>
  <r>
    <s v="T001089"/>
    <d v="2025-12-24T00:00:00"/>
    <x v="0"/>
    <x v="0"/>
    <x v="4"/>
    <x v="1"/>
    <s v="India"/>
    <x v="6"/>
    <x v="9"/>
    <s v="C01089"/>
    <n v="48"/>
    <s v="Female"/>
    <x v="2"/>
    <x v="1"/>
    <x v="1"/>
    <s v="Breakfast Only"/>
    <n v="44785.04"/>
    <n v="206.33"/>
    <x v="1"/>
    <s v="Cancelled"/>
    <x v="1"/>
    <x v="24"/>
    <x v="0"/>
    <x v="0"/>
    <x v="0"/>
  </r>
  <r>
    <s v="T001090"/>
    <d v="2025-12-25T00:00:00"/>
    <x v="4"/>
    <x v="3"/>
    <x v="3"/>
    <x v="1"/>
    <s v="India"/>
    <x v="5"/>
    <x v="4"/>
    <s v="C01090"/>
    <n v="27"/>
    <s v="Female"/>
    <x v="6"/>
    <x v="0"/>
    <x v="1"/>
    <s v="No Meals"/>
    <n v="9409.76"/>
    <n v="4899.04"/>
    <x v="0"/>
    <s v="Confirmed"/>
    <x v="3"/>
    <x v="17"/>
    <x v="1"/>
    <x v="2"/>
    <x v="1"/>
  </r>
  <r>
    <s v="T001091"/>
    <d v="2025-12-26T00:00:00"/>
    <x v="1"/>
    <x v="1"/>
    <x v="1"/>
    <x v="1"/>
    <s v="India"/>
    <x v="1"/>
    <x v="2"/>
    <s v="C01091"/>
    <n v="66"/>
    <s v="Other"/>
    <x v="2"/>
    <x v="3"/>
    <x v="1"/>
    <s v="Full Board"/>
    <n v="33543.379999999997"/>
    <n v="724.96"/>
    <x v="0"/>
    <s v="Pending"/>
    <x v="0"/>
    <x v="13"/>
    <x v="0"/>
    <x v="0"/>
    <x v="1"/>
  </r>
  <r>
    <s v="T001092"/>
    <d v="2025-12-27T00:00:00"/>
    <x v="2"/>
    <x v="2"/>
    <x v="2"/>
    <x v="0"/>
    <s v="India"/>
    <x v="2"/>
    <x v="0"/>
    <s v="C01092"/>
    <n v="39"/>
    <s v="Male"/>
    <x v="5"/>
    <x v="2"/>
    <x v="1"/>
    <s v="Breakfast Only"/>
    <n v="41364.449999999997"/>
    <n v="2022.58"/>
    <x v="2"/>
    <s v="Pending"/>
    <x v="3"/>
    <x v="0"/>
    <x v="0"/>
    <x v="3"/>
    <x v="1"/>
  </r>
  <r>
    <s v="T001093"/>
    <d v="2025-12-28T00:00:00"/>
    <x v="3"/>
    <x v="1"/>
    <x v="2"/>
    <x v="0"/>
    <s v="India"/>
    <x v="2"/>
    <x v="4"/>
    <s v="C01093"/>
    <n v="47"/>
    <s v="Male"/>
    <x v="6"/>
    <x v="2"/>
    <x v="3"/>
    <s v="No Meals"/>
    <n v="42600.86"/>
    <n v="4669.0600000000004"/>
    <x v="1"/>
    <s v="Confirmed"/>
    <x v="0"/>
    <x v="35"/>
    <x v="3"/>
    <x v="2"/>
    <x v="0"/>
  </r>
  <r>
    <s v="T001094"/>
    <d v="2025-12-29T00:00:00"/>
    <x v="3"/>
    <x v="1"/>
    <x v="2"/>
    <x v="0"/>
    <s v="India"/>
    <x v="3"/>
    <x v="9"/>
    <s v="C01094"/>
    <n v="66"/>
    <s v="Other"/>
    <x v="4"/>
    <x v="1"/>
    <x v="2"/>
    <s v="Full Board"/>
    <n v="31005.82"/>
    <n v="975.2"/>
    <x v="0"/>
    <s v="Confirmed"/>
    <x v="0"/>
    <x v="20"/>
    <x v="0"/>
    <x v="2"/>
    <x v="1"/>
  </r>
  <r>
    <s v="T001095"/>
    <d v="2025-12-30T00:00:00"/>
    <x v="2"/>
    <x v="2"/>
    <x v="3"/>
    <x v="1"/>
    <s v="India"/>
    <x v="5"/>
    <x v="10"/>
    <s v="C01095"/>
    <n v="38"/>
    <s v="Female"/>
    <x v="2"/>
    <x v="0"/>
    <x v="0"/>
    <s v="No Meals"/>
    <n v="5787.3"/>
    <n v="4218.96"/>
    <x v="3"/>
    <s v="Pending"/>
    <x v="2"/>
    <x v="39"/>
    <x v="0"/>
    <x v="2"/>
    <x v="1"/>
  </r>
  <r>
    <s v="T001096"/>
    <d v="2025-12-31T00:00:00"/>
    <x v="3"/>
    <x v="1"/>
    <x v="3"/>
    <x v="1"/>
    <s v="India"/>
    <x v="5"/>
    <x v="5"/>
    <s v="C01096"/>
    <n v="53"/>
    <s v="Female"/>
    <x v="3"/>
    <x v="0"/>
    <x v="0"/>
    <s v="Breakfast Only"/>
    <n v="48817.08"/>
    <n v="4091.34"/>
    <x v="0"/>
    <s v="Cancelled"/>
    <x v="3"/>
    <x v="37"/>
    <x v="3"/>
    <x v="1"/>
    <x v="0"/>
  </r>
  <r>
    <s v="T001097"/>
    <d v="2026-01-01T00:00:00"/>
    <x v="0"/>
    <x v="0"/>
    <x v="0"/>
    <x v="0"/>
    <s v="India"/>
    <x v="0"/>
    <x v="4"/>
    <s v="C01097"/>
    <n v="40"/>
    <s v="Male"/>
    <x v="2"/>
    <x v="1"/>
    <x v="0"/>
    <s v="Breakfast Only"/>
    <n v="26248.85"/>
    <n v="4931.6499999999996"/>
    <x v="0"/>
    <s v="Confirmed"/>
    <x v="2"/>
    <x v="18"/>
    <x v="0"/>
    <x v="1"/>
    <x v="1"/>
  </r>
  <r>
    <s v="T001098"/>
    <d v="2026-01-02T00:00:00"/>
    <x v="4"/>
    <x v="3"/>
    <x v="2"/>
    <x v="0"/>
    <s v="India"/>
    <x v="3"/>
    <x v="6"/>
    <s v="C01098"/>
    <n v="55"/>
    <s v="Other"/>
    <x v="2"/>
    <x v="3"/>
    <x v="1"/>
    <s v="Breakfast Only"/>
    <n v="22711.82"/>
    <n v="1408.41"/>
    <x v="3"/>
    <s v="Pending"/>
    <x v="3"/>
    <x v="11"/>
    <x v="0"/>
    <x v="2"/>
    <x v="1"/>
  </r>
  <r>
    <s v="T001099"/>
    <d v="2026-01-03T00:00:00"/>
    <x v="0"/>
    <x v="0"/>
    <x v="0"/>
    <x v="0"/>
    <s v="India"/>
    <x v="4"/>
    <x v="5"/>
    <s v="C01099"/>
    <n v="29"/>
    <s v="Other"/>
    <x v="6"/>
    <x v="3"/>
    <x v="0"/>
    <s v="Full Board"/>
    <n v="22772.69"/>
    <n v="1576.63"/>
    <x v="3"/>
    <s v="Pending"/>
    <x v="3"/>
    <x v="7"/>
    <x v="2"/>
    <x v="3"/>
    <x v="0"/>
  </r>
  <r>
    <s v="T001100"/>
    <d v="2026-01-04T00:00:00"/>
    <x v="3"/>
    <x v="1"/>
    <x v="2"/>
    <x v="0"/>
    <s v="India"/>
    <x v="2"/>
    <x v="1"/>
    <s v="C01100"/>
    <n v="42"/>
    <s v="Female"/>
    <x v="0"/>
    <x v="1"/>
    <x v="3"/>
    <s v="No Meals"/>
    <n v="24086.79"/>
    <n v="4514.3900000000003"/>
    <x v="0"/>
    <s v="Cancelled"/>
    <x v="1"/>
    <x v="1"/>
    <x v="1"/>
    <x v="2"/>
    <x v="0"/>
  </r>
  <r>
    <s v="T001101"/>
    <d v="2026-01-05T00:00:00"/>
    <x v="1"/>
    <x v="1"/>
    <x v="0"/>
    <x v="0"/>
    <s v="India"/>
    <x v="4"/>
    <x v="8"/>
    <s v="C01101"/>
    <n v="37"/>
    <s v="Female"/>
    <x v="5"/>
    <x v="3"/>
    <x v="2"/>
    <s v="No Meals"/>
    <n v="15898.13"/>
    <n v="1170.4000000000001"/>
    <x v="3"/>
    <s v="Pending"/>
    <x v="0"/>
    <x v="22"/>
    <x v="4"/>
    <x v="2"/>
    <x v="1"/>
  </r>
  <r>
    <s v="T001102"/>
    <d v="2026-01-06T00:00:00"/>
    <x v="4"/>
    <x v="3"/>
    <x v="0"/>
    <x v="0"/>
    <s v="India"/>
    <x v="4"/>
    <x v="8"/>
    <s v="C01102"/>
    <n v="66"/>
    <s v="Other"/>
    <x v="4"/>
    <x v="3"/>
    <x v="1"/>
    <s v="Full Board"/>
    <n v="19730.009999999998"/>
    <n v="2739.5"/>
    <x v="2"/>
    <s v="Confirmed"/>
    <x v="2"/>
    <x v="16"/>
    <x v="4"/>
    <x v="0"/>
    <x v="0"/>
  </r>
  <r>
    <s v="T001103"/>
    <d v="2026-01-07T00:00:00"/>
    <x v="4"/>
    <x v="3"/>
    <x v="1"/>
    <x v="1"/>
    <s v="India"/>
    <x v="1"/>
    <x v="9"/>
    <s v="C01103"/>
    <n v="66"/>
    <s v="Male"/>
    <x v="2"/>
    <x v="3"/>
    <x v="1"/>
    <s v="Breakfast Only"/>
    <n v="49341.09"/>
    <n v="3536.72"/>
    <x v="2"/>
    <s v="Pending"/>
    <x v="1"/>
    <x v="24"/>
    <x v="0"/>
    <x v="0"/>
    <x v="0"/>
  </r>
  <r>
    <s v="T001104"/>
    <d v="2026-01-08T00:00:00"/>
    <x v="2"/>
    <x v="2"/>
    <x v="0"/>
    <x v="0"/>
    <s v="India"/>
    <x v="4"/>
    <x v="1"/>
    <s v="C01104"/>
    <n v="59"/>
    <s v="Female"/>
    <x v="5"/>
    <x v="1"/>
    <x v="3"/>
    <s v="Half Board"/>
    <n v="21567.56"/>
    <n v="1359.42"/>
    <x v="2"/>
    <s v="Pending"/>
    <x v="3"/>
    <x v="16"/>
    <x v="4"/>
    <x v="0"/>
    <x v="0"/>
  </r>
  <r>
    <s v="T001105"/>
    <d v="2026-01-09T00:00:00"/>
    <x v="2"/>
    <x v="2"/>
    <x v="3"/>
    <x v="1"/>
    <s v="India"/>
    <x v="5"/>
    <x v="8"/>
    <s v="C01105"/>
    <n v="24"/>
    <s v="Other"/>
    <x v="5"/>
    <x v="2"/>
    <x v="0"/>
    <s v="Breakfast Only"/>
    <n v="28702.63"/>
    <n v="4692.0600000000004"/>
    <x v="3"/>
    <s v="Pending"/>
    <x v="0"/>
    <x v="40"/>
    <x v="3"/>
    <x v="4"/>
    <x v="1"/>
  </r>
  <r>
    <s v="T001106"/>
    <d v="2026-01-10T00:00:00"/>
    <x v="1"/>
    <x v="1"/>
    <x v="0"/>
    <x v="0"/>
    <s v="India"/>
    <x v="0"/>
    <x v="2"/>
    <s v="C01106"/>
    <n v="46"/>
    <s v="Other"/>
    <x v="0"/>
    <x v="0"/>
    <x v="1"/>
    <s v="Half Board"/>
    <n v="43173.24"/>
    <n v="3328.49"/>
    <x v="3"/>
    <s v="Pending"/>
    <x v="2"/>
    <x v="9"/>
    <x v="4"/>
    <x v="0"/>
    <x v="1"/>
  </r>
  <r>
    <s v="T001107"/>
    <d v="2026-01-11T00:00:00"/>
    <x v="4"/>
    <x v="3"/>
    <x v="2"/>
    <x v="0"/>
    <s v="India"/>
    <x v="2"/>
    <x v="9"/>
    <s v="C01107"/>
    <n v="65"/>
    <s v="Other"/>
    <x v="1"/>
    <x v="2"/>
    <x v="1"/>
    <s v="Breakfast Only"/>
    <n v="28734.25"/>
    <n v="235.7"/>
    <x v="3"/>
    <s v="Cancelled"/>
    <x v="1"/>
    <x v="35"/>
    <x v="3"/>
    <x v="0"/>
    <x v="0"/>
  </r>
  <r>
    <s v="T001108"/>
    <d v="2026-01-12T00:00:00"/>
    <x v="1"/>
    <x v="1"/>
    <x v="0"/>
    <x v="0"/>
    <s v="India"/>
    <x v="4"/>
    <x v="4"/>
    <s v="C01108"/>
    <n v="46"/>
    <s v="Male"/>
    <x v="4"/>
    <x v="3"/>
    <x v="3"/>
    <s v="Full Board"/>
    <n v="19600.400000000001"/>
    <n v="678.69"/>
    <x v="1"/>
    <s v="Confirmed"/>
    <x v="3"/>
    <x v="2"/>
    <x v="2"/>
    <x v="3"/>
    <x v="0"/>
  </r>
  <r>
    <s v="T001109"/>
    <d v="2026-01-13T00:00:00"/>
    <x v="2"/>
    <x v="2"/>
    <x v="4"/>
    <x v="1"/>
    <s v="India"/>
    <x v="6"/>
    <x v="1"/>
    <s v="C01109"/>
    <n v="30"/>
    <s v="Female"/>
    <x v="4"/>
    <x v="1"/>
    <x v="3"/>
    <s v="Half Board"/>
    <n v="28568.79"/>
    <n v="953.91"/>
    <x v="3"/>
    <s v="Pending"/>
    <x v="1"/>
    <x v="31"/>
    <x v="1"/>
    <x v="1"/>
    <x v="1"/>
  </r>
  <r>
    <s v="T001110"/>
    <d v="2026-01-14T00:00:00"/>
    <x v="2"/>
    <x v="2"/>
    <x v="2"/>
    <x v="0"/>
    <s v="India"/>
    <x v="2"/>
    <x v="2"/>
    <s v="C01110"/>
    <n v="20"/>
    <s v="Female"/>
    <x v="5"/>
    <x v="0"/>
    <x v="0"/>
    <s v="Full Board"/>
    <n v="10133.879999999999"/>
    <n v="1224.79"/>
    <x v="2"/>
    <s v="Confirmed"/>
    <x v="3"/>
    <x v="18"/>
    <x v="0"/>
    <x v="1"/>
    <x v="0"/>
  </r>
  <r>
    <s v="T001111"/>
    <d v="2026-01-15T00:00:00"/>
    <x v="4"/>
    <x v="3"/>
    <x v="4"/>
    <x v="1"/>
    <s v="India"/>
    <x v="6"/>
    <x v="0"/>
    <s v="C01111"/>
    <n v="19"/>
    <s v="Female"/>
    <x v="6"/>
    <x v="3"/>
    <x v="2"/>
    <s v="Half Board"/>
    <n v="10850.31"/>
    <n v="3653.39"/>
    <x v="2"/>
    <s v="Cancelled"/>
    <x v="3"/>
    <x v="1"/>
    <x v="1"/>
    <x v="1"/>
    <x v="0"/>
  </r>
  <r>
    <s v="T001112"/>
    <d v="2026-01-16T00:00:00"/>
    <x v="0"/>
    <x v="0"/>
    <x v="2"/>
    <x v="0"/>
    <s v="India"/>
    <x v="2"/>
    <x v="0"/>
    <s v="C01112"/>
    <n v="33"/>
    <s v="Male"/>
    <x v="2"/>
    <x v="0"/>
    <x v="2"/>
    <s v="No Meals"/>
    <n v="36234.839999999997"/>
    <n v="444.68"/>
    <x v="2"/>
    <s v="Confirmed"/>
    <x v="0"/>
    <x v="27"/>
    <x v="0"/>
    <x v="4"/>
    <x v="1"/>
  </r>
  <r>
    <s v="T001113"/>
    <d v="2026-01-17T00:00:00"/>
    <x v="3"/>
    <x v="1"/>
    <x v="3"/>
    <x v="1"/>
    <s v="India"/>
    <x v="5"/>
    <x v="0"/>
    <s v="C01113"/>
    <n v="47"/>
    <s v="Female"/>
    <x v="1"/>
    <x v="0"/>
    <x v="0"/>
    <s v="Half Board"/>
    <n v="46285.73"/>
    <n v="1752.97"/>
    <x v="1"/>
    <s v="Cancelled"/>
    <x v="2"/>
    <x v="36"/>
    <x v="4"/>
    <x v="2"/>
    <x v="1"/>
  </r>
  <r>
    <s v="T001114"/>
    <d v="2026-01-18T00:00:00"/>
    <x v="2"/>
    <x v="2"/>
    <x v="3"/>
    <x v="1"/>
    <s v="India"/>
    <x v="5"/>
    <x v="10"/>
    <s v="C01114"/>
    <n v="55"/>
    <s v="Female"/>
    <x v="6"/>
    <x v="2"/>
    <x v="2"/>
    <s v="Half Board"/>
    <n v="37655.519999999997"/>
    <n v="4556.92"/>
    <x v="0"/>
    <s v="Confirmed"/>
    <x v="0"/>
    <x v="23"/>
    <x v="1"/>
    <x v="0"/>
    <x v="1"/>
  </r>
  <r>
    <s v="T001115"/>
    <d v="2026-01-19T00:00:00"/>
    <x v="2"/>
    <x v="2"/>
    <x v="3"/>
    <x v="1"/>
    <s v="India"/>
    <x v="5"/>
    <x v="0"/>
    <s v="C01115"/>
    <n v="23"/>
    <s v="Female"/>
    <x v="3"/>
    <x v="3"/>
    <x v="3"/>
    <s v="Half Board"/>
    <n v="8357.6"/>
    <n v="2783.34"/>
    <x v="2"/>
    <s v="Confirmed"/>
    <x v="2"/>
    <x v="37"/>
    <x v="3"/>
    <x v="3"/>
    <x v="0"/>
  </r>
  <r>
    <s v="T001116"/>
    <d v="2026-01-20T00:00:00"/>
    <x v="0"/>
    <x v="0"/>
    <x v="4"/>
    <x v="1"/>
    <s v="India"/>
    <x v="6"/>
    <x v="1"/>
    <s v="C01116"/>
    <n v="62"/>
    <s v="Female"/>
    <x v="0"/>
    <x v="0"/>
    <x v="3"/>
    <s v="No Meals"/>
    <n v="23130.3"/>
    <n v="1327.48"/>
    <x v="1"/>
    <s v="Pending"/>
    <x v="2"/>
    <x v="10"/>
    <x v="1"/>
    <x v="4"/>
    <x v="0"/>
  </r>
  <r>
    <s v="T001117"/>
    <d v="2026-01-21T00:00:00"/>
    <x v="0"/>
    <x v="0"/>
    <x v="1"/>
    <x v="1"/>
    <s v="India"/>
    <x v="1"/>
    <x v="3"/>
    <s v="C01117"/>
    <n v="24"/>
    <s v="Male"/>
    <x v="0"/>
    <x v="2"/>
    <x v="3"/>
    <s v="Full Board"/>
    <n v="5114.91"/>
    <n v="4785.28"/>
    <x v="0"/>
    <s v="Confirmed"/>
    <x v="3"/>
    <x v="31"/>
    <x v="1"/>
    <x v="1"/>
    <x v="0"/>
  </r>
  <r>
    <s v="T001118"/>
    <d v="2026-01-22T00:00:00"/>
    <x v="1"/>
    <x v="1"/>
    <x v="2"/>
    <x v="0"/>
    <s v="India"/>
    <x v="2"/>
    <x v="8"/>
    <s v="C01118"/>
    <n v="22"/>
    <s v="Other"/>
    <x v="6"/>
    <x v="1"/>
    <x v="2"/>
    <s v="No Meals"/>
    <n v="28004.3"/>
    <n v="1221.58"/>
    <x v="1"/>
    <s v="Pending"/>
    <x v="1"/>
    <x v="26"/>
    <x v="0"/>
    <x v="4"/>
    <x v="1"/>
  </r>
  <r>
    <s v="T001119"/>
    <d v="2026-01-23T00:00:00"/>
    <x v="1"/>
    <x v="1"/>
    <x v="3"/>
    <x v="1"/>
    <s v="India"/>
    <x v="5"/>
    <x v="0"/>
    <s v="C01119"/>
    <n v="24"/>
    <s v="Other"/>
    <x v="5"/>
    <x v="0"/>
    <x v="2"/>
    <s v="Half Board"/>
    <n v="13694.2"/>
    <n v="4525.5"/>
    <x v="1"/>
    <s v="Pending"/>
    <x v="2"/>
    <x v="14"/>
    <x v="1"/>
    <x v="3"/>
    <x v="0"/>
  </r>
  <r>
    <s v="T001120"/>
    <d v="2026-01-24T00:00:00"/>
    <x v="3"/>
    <x v="1"/>
    <x v="2"/>
    <x v="0"/>
    <s v="India"/>
    <x v="2"/>
    <x v="1"/>
    <s v="C01120"/>
    <n v="51"/>
    <s v="Female"/>
    <x v="0"/>
    <x v="3"/>
    <x v="1"/>
    <s v="Breakfast Only"/>
    <n v="44066.6"/>
    <n v="3628.85"/>
    <x v="0"/>
    <s v="Confirmed"/>
    <x v="2"/>
    <x v="36"/>
    <x v="4"/>
    <x v="4"/>
    <x v="1"/>
  </r>
  <r>
    <s v="T001121"/>
    <d v="2026-01-25T00:00:00"/>
    <x v="3"/>
    <x v="1"/>
    <x v="4"/>
    <x v="1"/>
    <s v="India"/>
    <x v="6"/>
    <x v="2"/>
    <s v="C01121"/>
    <n v="49"/>
    <s v="Female"/>
    <x v="2"/>
    <x v="1"/>
    <x v="1"/>
    <s v="No Meals"/>
    <n v="9695.08"/>
    <n v="3702.61"/>
    <x v="3"/>
    <s v="Pending"/>
    <x v="2"/>
    <x v="1"/>
    <x v="1"/>
    <x v="1"/>
    <x v="1"/>
  </r>
  <r>
    <s v="T001122"/>
    <d v="2026-01-26T00:00:00"/>
    <x v="4"/>
    <x v="3"/>
    <x v="1"/>
    <x v="1"/>
    <s v="India"/>
    <x v="1"/>
    <x v="11"/>
    <s v="C01122"/>
    <n v="66"/>
    <s v="Female"/>
    <x v="0"/>
    <x v="0"/>
    <x v="1"/>
    <s v="Breakfast Only"/>
    <n v="5064.5"/>
    <n v="3824.7"/>
    <x v="3"/>
    <s v="Confirmed"/>
    <x v="2"/>
    <x v="1"/>
    <x v="1"/>
    <x v="2"/>
    <x v="0"/>
  </r>
  <r>
    <s v="T001123"/>
    <d v="2026-01-27T00:00:00"/>
    <x v="1"/>
    <x v="1"/>
    <x v="4"/>
    <x v="1"/>
    <s v="India"/>
    <x v="6"/>
    <x v="2"/>
    <s v="C01123"/>
    <n v="30"/>
    <s v="Male"/>
    <x v="2"/>
    <x v="0"/>
    <x v="2"/>
    <s v="No Meals"/>
    <n v="25301.57"/>
    <n v="2532.85"/>
    <x v="2"/>
    <s v="Pending"/>
    <x v="3"/>
    <x v="17"/>
    <x v="1"/>
    <x v="1"/>
    <x v="1"/>
  </r>
  <r>
    <s v="T001124"/>
    <d v="2026-01-28T00:00:00"/>
    <x v="2"/>
    <x v="2"/>
    <x v="2"/>
    <x v="0"/>
    <s v="India"/>
    <x v="2"/>
    <x v="4"/>
    <s v="C01124"/>
    <n v="47"/>
    <s v="Female"/>
    <x v="3"/>
    <x v="3"/>
    <x v="1"/>
    <s v="No Meals"/>
    <n v="11994.5"/>
    <n v="4072.89"/>
    <x v="0"/>
    <s v="Pending"/>
    <x v="0"/>
    <x v="27"/>
    <x v="0"/>
    <x v="1"/>
    <x v="0"/>
  </r>
  <r>
    <s v="T001125"/>
    <d v="2026-01-29T00:00:00"/>
    <x v="1"/>
    <x v="1"/>
    <x v="1"/>
    <x v="1"/>
    <s v="India"/>
    <x v="1"/>
    <x v="2"/>
    <s v="C01125"/>
    <n v="42"/>
    <s v="Male"/>
    <x v="1"/>
    <x v="0"/>
    <x v="3"/>
    <s v="Half Board"/>
    <n v="38209.39"/>
    <n v="4180.97"/>
    <x v="2"/>
    <s v="Cancelled"/>
    <x v="1"/>
    <x v="17"/>
    <x v="1"/>
    <x v="1"/>
    <x v="0"/>
  </r>
  <r>
    <s v="T001126"/>
    <d v="2026-01-30T00:00:00"/>
    <x v="2"/>
    <x v="2"/>
    <x v="1"/>
    <x v="1"/>
    <s v="India"/>
    <x v="1"/>
    <x v="10"/>
    <s v="C01126"/>
    <n v="38"/>
    <s v="Female"/>
    <x v="4"/>
    <x v="3"/>
    <x v="2"/>
    <s v="Full Board"/>
    <n v="46397.06"/>
    <n v="1802.43"/>
    <x v="1"/>
    <s v="Cancelled"/>
    <x v="3"/>
    <x v="26"/>
    <x v="0"/>
    <x v="4"/>
    <x v="1"/>
  </r>
  <r>
    <s v="T001127"/>
    <d v="2026-01-31T00:00:00"/>
    <x v="0"/>
    <x v="0"/>
    <x v="4"/>
    <x v="1"/>
    <s v="India"/>
    <x v="6"/>
    <x v="5"/>
    <s v="C01127"/>
    <n v="38"/>
    <s v="Female"/>
    <x v="6"/>
    <x v="3"/>
    <x v="0"/>
    <s v="Full Board"/>
    <n v="6887.21"/>
    <n v="2001.72"/>
    <x v="3"/>
    <s v="Confirmed"/>
    <x v="3"/>
    <x v="26"/>
    <x v="2"/>
    <x v="3"/>
    <x v="0"/>
  </r>
  <r>
    <s v="T001128"/>
    <d v="2026-02-01T00:00:00"/>
    <x v="1"/>
    <x v="1"/>
    <x v="3"/>
    <x v="1"/>
    <s v="India"/>
    <x v="5"/>
    <x v="9"/>
    <s v="C01128"/>
    <n v="45"/>
    <s v="Other"/>
    <x v="6"/>
    <x v="3"/>
    <x v="2"/>
    <s v="Half Board"/>
    <n v="22801.200000000001"/>
    <n v="4443.78"/>
    <x v="2"/>
    <s v="Pending"/>
    <x v="3"/>
    <x v="12"/>
    <x v="1"/>
    <x v="1"/>
    <x v="1"/>
  </r>
  <r>
    <s v="T001129"/>
    <d v="2026-02-02T00:00:00"/>
    <x v="0"/>
    <x v="0"/>
    <x v="2"/>
    <x v="0"/>
    <s v="India"/>
    <x v="2"/>
    <x v="11"/>
    <s v="C01129"/>
    <n v="65"/>
    <s v="Female"/>
    <x v="2"/>
    <x v="3"/>
    <x v="1"/>
    <s v="No Meals"/>
    <n v="49856.67"/>
    <n v="2623.65"/>
    <x v="2"/>
    <s v="Cancelled"/>
    <x v="2"/>
    <x v="0"/>
    <x v="0"/>
    <x v="4"/>
    <x v="1"/>
  </r>
  <r>
    <s v="T001130"/>
    <d v="2026-02-03T00:00:00"/>
    <x v="3"/>
    <x v="1"/>
    <x v="0"/>
    <x v="0"/>
    <s v="India"/>
    <x v="4"/>
    <x v="2"/>
    <s v="C01130"/>
    <n v="37"/>
    <s v="Male"/>
    <x v="3"/>
    <x v="0"/>
    <x v="2"/>
    <s v="Full Board"/>
    <n v="37970.239999999998"/>
    <n v="4334.72"/>
    <x v="3"/>
    <s v="Cancelled"/>
    <x v="1"/>
    <x v="25"/>
    <x v="2"/>
    <x v="3"/>
    <x v="1"/>
  </r>
  <r>
    <s v="T001131"/>
    <d v="2026-02-04T00:00:00"/>
    <x v="3"/>
    <x v="1"/>
    <x v="0"/>
    <x v="0"/>
    <s v="India"/>
    <x v="0"/>
    <x v="11"/>
    <s v="C01131"/>
    <n v="51"/>
    <s v="Other"/>
    <x v="3"/>
    <x v="1"/>
    <x v="1"/>
    <s v="Full Board"/>
    <n v="47893.440000000002"/>
    <n v="3133.85"/>
    <x v="1"/>
    <s v="Cancelled"/>
    <x v="3"/>
    <x v="18"/>
    <x v="0"/>
    <x v="2"/>
    <x v="0"/>
  </r>
  <r>
    <s v="T001132"/>
    <d v="2026-02-05T00:00:00"/>
    <x v="4"/>
    <x v="3"/>
    <x v="4"/>
    <x v="1"/>
    <s v="India"/>
    <x v="6"/>
    <x v="10"/>
    <s v="C01132"/>
    <n v="22"/>
    <s v="Male"/>
    <x v="5"/>
    <x v="1"/>
    <x v="1"/>
    <s v="Full Board"/>
    <n v="12383.75"/>
    <n v="2967.84"/>
    <x v="2"/>
    <s v="Pending"/>
    <x v="3"/>
    <x v="30"/>
    <x v="0"/>
    <x v="1"/>
    <x v="0"/>
  </r>
  <r>
    <s v="T001133"/>
    <d v="2026-02-06T00:00:00"/>
    <x v="1"/>
    <x v="1"/>
    <x v="2"/>
    <x v="0"/>
    <s v="India"/>
    <x v="2"/>
    <x v="9"/>
    <s v="C01133"/>
    <n v="35"/>
    <s v="Other"/>
    <x v="4"/>
    <x v="2"/>
    <x v="0"/>
    <s v="Half Board"/>
    <n v="14961.59"/>
    <n v="154.9"/>
    <x v="2"/>
    <s v="Confirmed"/>
    <x v="3"/>
    <x v="35"/>
    <x v="3"/>
    <x v="0"/>
    <x v="0"/>
  </r>
  <r>
    <s v="T001134"/>
    <d v="2026-02-07T00:00:00"/>
    <x v="0"/>
    <x v="0"/>
    <x v="2"/>
    <x v="0"/>
    <s v="India"/>
    <x v="3"/>
    <x v="10"/>
    <s v="C01134"/>
    <n v="56"/>
    <s v="Male"/>
    <x v="1"/>
    <x v="3"/>
    <x v="0"/>
    <s v="Breakfast Only"/>
    <n v="11966.51"/>
    <n v="1389.47"/>
    <x v="0"/>
    <s v="Pending"/>
    <x v="2"/>
    <x v="37"/>
    <x v="3"/>
    <x v="4"/>
    <x v="1"/>
  </r>
  <r>
    <s v="T001135"/>
    <d v="2026-02-08T00:00:00"/>
    <x v="2"/>
    <x v="2"/>
    <x v="4"/>
    <x v="1"/>
    <s v="India"/>
    <x v="6"/>
    <x v="0"/>
    <s v="C01135"/>
    <n v="60"/>
    <s v="Other"/>
    <x v="6"/>
    <x v="0"/>
    <x v="3"/>
    <s v="Breakfast Only"/>
    <n v="18606.61"/>
    <n v="2510.29"/>
    <x v="0"/>
    <s v="Pending"/>
    <x v="2"/>
    <x v="40"/>
    <x v="2"/>
    <x v="2"/>
    <x v="1"/>
  </r>
  <r>
    <s v="T001136"/>
    <d v="2026-02-09T00:00:00"/>
    <x v="3"/>
    <x v="1"/>
    <x v="2"/>
    <x v="0"/>
    <s v="India"/>
    <x v="2"/>
    <x v="5"/>
    <s v="C01136"/>
    <n v="28"/>
    <s v="Male"/>
    <x v="2"/>
    <x v="0"/>
    <x v="1"/>
    <s v="Breakfast Only"/>
    <n v="37597.279999999999"/>
    <n v="2936.59"/>
    <x v="3"/>
    <s v="Cancelled"/>
    <x v="3"/>
    <x v="25"/>
    <x v="3"/>
    <x v="2"/>
    <x v="0"/>
  </r>
  <r>
    <s v="T001137"/>
    <d v="2026-02-10T00:00:00"/>
    <x v="3"/>
    <x v="1"/>
    <x v="3"/>
    <x v="1"/>
    <s v="India"/>
    <x v="5"/>
    <x v="9"/>
    <s v="C01137"/>
    <n v="34"/>
    <s v="Male"/>
    <x v="3"/>
    <x v="2"/>
    <x v="2"/>
    <s v="Breakfast Only"/>
    <n v="12422.6"/>
    <n v="3152.17"/>
    <x v="3"/>
    <s v="Pending"/>
    <x v="2"/>
    <x v="29"/>
    <x v="1"/>
    <x v="2"/>
    <x v="1"/>
  </r>
  <r>
    <s v="T001138"/>
    <d v="2026-02-11T00:00:00"/>
    <x v="2"/>
    <x v="2"/>
    <x v="4"/>
    <x v="1"/>
    <s v="India"/>
    <x v="6"/>
    <x v="1"/>
    <s v="C01138"/>
    <n v="65"/>
    <s v="Female"/>
    <x v="6"/>
    <x v="1"/>
    <x v="0"/>
    <s v="Breakfast Only"/>
    <n v="28590.53"/>
    <n v="3581.11"/>
    <x v="1"/>
    <s v="Pending"/>
    <x v="1"/>
    <x v="23"/>
    <x v="1"/>
    <x v="4"/>
    <x v="0"/>
  </r>
  <r>
    <s v="T001139"/>
    <d v="2026-02-12T00:00:00"/>
    <x v="0"/>
    <x v="0"/>
    <x v="3"/>
    <x v="1"/>
    <s v="India"/>
    <x v="5"/>
    <x v="2"/>
    <s v="C01139"/>
    <n v="62"/>
    <s v="Other"/>
    <x v="2"/>
    <x v="0"/>
    <x v="0"/>
    <s v="Full Board"/>
    <n v="17114.45"/>
    <n v="3281.17"/>
    <x v="1"/>
    <s v="Cancelled"/>
    <x v="2"/>
    <x v="39"/>
    <x v="0"/>
    <x v="3"/>
    <x v="0"/>
  </r>
  <r>
    <s v="T001140"/>
    <d v="2026-02-13T00:00:00"/>
    <x v="0"/>
    <x v="0"/>
    <x v="2"/>
    <x v="0"/>
    <s v="India"/>
    <x v="2"/>
    <x v="2"/>
    <s v="C01140"/>
    <n v="39"/>
    <s v="Other"/>
    <x v="0"/>
    <x v="2"/>
    <x v="1"/>
    <s v="Full Board"/>
    <n v="42313.81"/>
    <n v="4242.88"/>
    <x v="2"/>
    <s v="Cancelled"/>
    <x v="3"/>
    <x v="7"/>
    <x v="3"/>
    <x v="0"/>
    <x v="0"/>
  </r>
  <r>
    <s v="T001141"/>
    <d v="2026-02-14T00:00:00"/>
    <x v="1"/>
    <x v="1"/>
    <x v="4"/>
    <x v="1"/>
    <s v="India"/>
    <x v="6"/>
    <x v="8"/>
    <s v="C01141"/>
    <n v="54"/>
    <s v="Female"/>
    <x v="6"/>
    <x v="1"/>
    <x v="2"/>
    <s v="No Meals"/>
    <n v="5296.66"/>
    <n v="1477.35"/>
    <x v="0"/>
    <s v="Pending"/>
    <x v="1"/>
    <x v="23"/>
    <x v="1"/>
    <x v="3"/>
    <x v="0"/>
  </r>
  <r>
    <s v="T001142"/>
    <d v="2026-02-15T00:00:00"/>
    <x v="1"/>
    <x v="1"/>
    <x v="2"/>
    <x v="0"/>
    <s v="India"/>
    <x v="2"/>
    <x v="10"/>
    <s v="C01142"/>
    <n v="37"/>
    <s v="Male"/>
    <x v="1"/>
    <x v="0"/>
    <x v="0"/>
    <s v="Full Board"/>
    <n v="15040.17"/>
    <n v="3207.85"/>
    <x v="1"/>
    <s v="Cancelled"/>
    <x v="2"/>
    <x v="8"/>
    <x v="0"/>
    <x v="1"/>
    <x v="1"/>
  </r>
  <r>
    <s v="T001143"/>
    <d v="2026-02-16T00:00:00"/>
    <x v="4"/>
    <x v="3"/>
    <x v="4"/>
    <x v="1"/>
    <s v="India"/>
    <x v="6"/>
    <x v="5"/>
    <s v="C01143"/>
    <n v="65"/>
    <s v="Male"/>
    <x v="2"/>
    <x v="3"/>
    <x v="0"/>
    <s v="Half Board"/>
    <n v="32235.83"/>
    <n v="255.8"/>
    <x v="2"/>
    <s v="Confirmed"/>
    <x v="3"/>
    <x v="35"/>
    <x v="2"/>
    <x v="0"/>
    <x v="0"/>
  </r>
  <r>
    <s v="T001144"/>
    <d v="2026-02-17T00:00:00"/>
    <x v="3"/>
    <x v="1"/>
    <x v="2"/>
    <x v="0"/>
    <s v="India"/>
    <x v="3"/>
    <x v="4"/>
    <s v="C01144"/>
    <n v="65"/>
    <s v="Other"/>
    <x v="1"/>
    <x v="2"/>
    <x v="2"/>
    <s v="No Meals"/>
    <n v="9351.9699999999993"/>
    <n v="2400.9499999999998"/>
    <x v="2"/>
    <s v="Confirmed"/>
    <x v="0"/>
    <x v="18"/>
    <x v="0"/>
    <x v="3"/>
    <x v="1"/>
  </r>
  <r>
    <s v="T001145"/>
    <d v="2026-02-18T00:00:00"/>
    <x v="1"/>
    <x v="1"/>
    <x v="3"/>
    <x v="1"/>
    <s v="India"/>
    <x v="5"/>
    <x v="3"/>
    <s v="C01145"/>
    <n v="65"/>
    <s v="Male"/>
    <x v="6"/>
    <x v="0"/>
    <x v="0"/>
    <s v="Full Board"/>
    <n v="25984.05"/>
    <n v="1340.16"/>
    <x v="3"/>
    <s v="Confirmed"/>
    <x v="0"/>
    <x v="0"/>
    <x v="0"/>
    <x v="1"/>
    <x v="1"/>
  </r>
  <r>
    <s v="T001146"/>
    <d v="2026-02-19T00:00:00"/>
    <x v="0"/>
    <x v="0"/>
    <x v="3"/>
    <x v="1"/>
    <s v="India"/>
    <x v="5"/>
    <x v="4"/>
    <s v="C01146"/>
    <n v="63"/>
    <s v="Other"/>
    <x v="0"/>
    <x v="2"/>
    <x v="2"/>
    <s v="No Meals"/>
    <n v="24629.33"/>
    <n v="1904.44"/>
    <x v="0"/>
    <s v="Confirmed"/>
    <x v="1"/>
    <x v="27"/>
    <x v="0"/>
    <x v="0"/>
    <x v="0"/>
  </r>
  <r>
    <s v="T001147"/>
    <d v="2026-02-20T00:00:00"/>
    <x v="2"/>
    <x v="2"/>
    <x v="2"/>
    <x v="0"/>
    <s v="India"/>
    <x v="3"/>
    <x v="3"/>
    <s v="C01147"/>
    <n v="23"/>
    <s v="Other"/>
    <x v="1"/>
    <x v="2"/>
    <x v="1"/>
    <s v="No Meals"/>
    <n v="43363.54"/>
    <n v="1773.31"/>
    <x v="2"/>
    <s v="Confirmed"/>
    <x v="1"/>
    <x v="23"/>
    <x v="1"/>
    <x v="4"/>
    <x v="0"/>
  </r>
  <r>
    <s v="T001148"/>
    <d v="2026-02-21T00:00:00"/>
    <x v="0"/>
    <x v="0"/>
    <x v="4"/>
    <x v="1"/>
    <s v="India"/>
    <x v="6"/>
    <x v="7"/>
    <s v="C01148"/>
    <n v="51"/>
    <s v="Male"/>
    <x v="3"/>
    <x v="2"/>
    <x v="0"/>
    <s v="Breakfast Only"/>
    <n v="33142.870000000003"/>
    <n v="302.14999999999998"/>
    <x v="3"/>
    <s v="Cancelled"/>
    <x v="1"/>
    <x v="20"/>
    <x v="0"/>
    <x v="1"/>
    <x v="1"/>
  </r>
  <r>
    <s v="T001149"/>
    <d v="2026-02-22T00:00:00"/>
    <x v="3"/>
    <x v="1"/>
    <x v="0"/>
    <x v="0"/>
    <s v="India"/>
    <x v="4"/>
    <x v="1"/>
    <s v="C01149"/>
    <n v="31"/>
    <s v="Male"/>
    <x v="2"/>
    <x v="3"/>
    <x v="1"/>
    <s v="No Meals"/>
    <n v="33786.589999999997"/>
    <n v="2333.23"/>
    <x v="2"/>
    <s v="Cancelled"/>
    <x v="2"/>
    <x v="12"/>
    <x v="1"/>
    <x v="3"/>
    <x v="0"/>
  </r>
  <r>
    <s v="T001150"/>
    <d v="2026-02-23T00:00:00"/>
    <x v="0"/>
    <x v="0"/>
    <x v="3"/>
    <x v="1"/>
    <s v="India"/>
    <x v="5"/>
    <x v="7"/>
    <s v="C01150"/>
    <n v="65"/>
    <s v="Male"/>
    <x v="6"/>
    <x v="1"/>
    <x v="2"/>
    <s v="Full Board"/>
    <n v="47831.34"/>
    <n v="4973.1499999999996"/>
    <x v="0"/>
    <s v="Confirmed"/>
    <x v="1"/>
    <x v="37"/>
    <x v="3"/>
    <x v="0"/>
    <x v="1"/>
  </r>
  <r>
    <s v="T001151"/>
    <d v="2026-02-24T00:00:00"/>
    <x v="4"/>
    <x v="3"/>
    <x v="3"/>
    <x v="1"/>
    <s v="India"/>
    <x v="5"/>
    <x v="10"/>
    <s v="C01151"/>
    <n v="40"/>
    <s v="Female"/>
    <x v="0"/>
    <x v="1"/>
    <x v="1"/>
    <s v="Breakfast Only"/>
    <n v="49206.22"/>
    <n v="1494.68"/>
    <x v="2"/>
    <s v="Confirmed"/>
    <x v="2"/>
    <x v="16"/>
    <x v="4"/>
    <x v="1"/>
    <x v="1"/>
  </r>
  <r>
    <s v="T001152"/>
    <d v="2026-02-25T00:00:00"/>
    <x v="3"/>
    <x v="1"/>
    <x v="0"/>
    <x v="0"/>
    <s v="India"/>
    <x v="4"/>
    <x v="10"/>
    <s v="C01152"/>
    <n v="37"/>
    <s v="Other"/>
    <x v="3"/>
    <x v="0"/>
    <x v="1"/>
    <s v="Full Board"/>
    <n v="34402.76"/>
    <n v="3680.73"/>
    <x v="2"/>
    <s v="Confirmed"/>
    <x v="3"/>
    <x v="3"/>
    <x v="3"/>
    <x v="1"/>
    <x v="1"/>
  </r>
  <r>
    <s v="T001153"/>
    <d v="2026-02-26T00:00:00"/>
    <x v="2"/>
    <x v="2"/>
    <x v="2"/>
    <x v="0"/>
    <s v="India"/>
    <x v="3"/>
    <x v="2"/>
    <s v="C01153"/>
    <n v="30"/>
    <s v="Male"/>
    <x v="6"/>
    <x v="3"/>
    <x v="1"/>
    <s v="Breakfast Only"/>
    <n v="28490.07"/>
    <n v="2738.94"/>
    <x v="1"/>
    <s v="Cancelled"/>
    <x v="2"/>
    <x v="28"/>
    <x v="3"/>
    <x v="4"/>
    <x v="1"/>
  </r>
  <r>
    <s v="T001154"/>
    <d v="2026-02-27T00:00:00"/>
    <x v="4"/>
    <x v="3"/>
    <x v="4"/>
    <x v="1"/>
    <s v="India"/>
    <x v="6"/>
    <x v="3"/>
    <s v="C01154"/>
    <n v="64"/>
    <s v="Female"/>
    <x v="5"/>
    <x v="1"/>
    <x v="3"/>
    <s v="Full Board"/>
    <n v="32356.400000000001"/>
    <n v="1626.13"/>
    <x v="1"/>
    <s v="Cancelled"/>
    <x v="2"/>
    <x v="18"/>
    <x v="0"/>
    <x v="1"/>
    <x v="0"/>
  </r>
  <r>
    <s v="T001155"/>
    <d v="2026-02-28T00:00:00"/>
    <x v="3"/>
    <x v="1"/>
    <x v="2"/>
    <x v="0"/>
    <s v="India"/>
    <x v="2"/>
    <x v="9"/>
    <s v="C01155"/>
    <n v="61"/>
    <s v="Male"/>
    <x v="0"/>
    <x v="0"/>
    <x v="2"/>
    <s v="Breakfast Only"/>
    <n v="22209.97"/>
    <n v="448.04"/>
    <x v="3"/>
    <s v="Pending"/>
    <x v="3"/>
    <x v="14"/>
    <x v="1"/>
    <x v="0"/>
    <x v="0"/>
  </r>
  <r>
    <s v="T001156"/>
    <d v="2026-03-01T00:00:00"/>
    <x v="2"/>
    <x v="2"/>
    <x v="1"/>
    <x v="1"/>
    <s v="India"/>
    <x v="1"/>
    <x v="6"/>
    <s v="C01156"/>
    <n v="58"/>
    <s v="Other"/>
    <x v="3"/>
    <x v="0"/>
    <x v="2"/>
    <s v="Breakfast Only"/>
    <n v="49435.55"/>
    <n v="1079.29"/>
    <x v="2"/>
    <s v="Pending"/>
    <x v="0"/>
    <x v="31"/>
    <x v="1"/>
    <x v="2"/>
    <x v="0"/>
  </r>
  <r>
    <s v="T001157"/>
    <d v="2026-03-02T00:00:00"/>
    <x v="4"/>
    <x v="3"/>
    <x v="3"/>
    <x v="1"/>
    <s v="India"/>
    <x v="5"/>
    <x v="5"/>
    <s v="C01157"/>
    <n v="49"/>
    <s v="Female"/>
    <x v="1"/>
    <x v="2"/>
    <x v="2"/>
    <s v="Half Board"/>
    <n v="36725.96"/>
    <n v="3909.27"/>
    <x v="3"/>
    <s v="Pending"/>
    <x v="2"/>
    <x v="13"/>
    <x v="0"/>
    <x v="0"/>
    <x v="1"/>
  </r>
  <r>
    <s v="T001158"/>
    <d v="2026-03-03T00:00:00"/>
    <x v="4"/>
    <x v="3"/>
    <x v="1"/>
    <x v="1"/>
    <s v="India"/>
    <x v="1"/>
    <x v="0"/>
    <s v="C01158"/>
    <n v="43"/>
    <s v="Other"/>
    <x v="6"/>
    <x v="3"/>
    <x v="2"/>
    <s v="Full Board"/>
    <n v="18095.310000000001"/>
    <n v="1395.1"/>
    <x v="0"/>
    <s v="Pending"/>
    <x v="2"/>
    <x v="40"/>
    <x v="2"/>
    <x v="0"/>
    <x v="0"/>
  </r>
  <r>
    <s v="T001159"/>
    <d v="2026-03-04T00:00:00"/>
    <x v="3"/>
    <x v="1"/>
    <x v="3"/>
    <x v="1"/>
    <s v="India"/>
    <x v="5"/>
    <x v="11"/>
    <s v="C01159"/>
    <n v="67"/>
    <s v="Male"/>
    <x v="6"/>
    <x v="1"/>
    <x v="2"/>
    <s v="No Meals"/>
    <n v="7599.48"/>
    <n v="721.51"/>
    <x v="3"/>
    <s v="Cancelled"/>
    <x v="3"/>
    <x v="33"/>
    <x v="4"/>
    <x v="4"/>
    <x v="1"/>
  </r>
  <r>
    <s v="T001160"/>
    <d v="2026-03-05T00:00:00"/>
    <x v="1"/>
    <x v="1"/>
    <x v="3"/>
    <x v="1"/>
    <s v="India"/>
    <x v="5"/>
    <x v="10"/>
    <s v="C01160"/>
    <n v="31"/>
    <s v="Male"/>
    <x v="1"/>
    <x v="3"/>
    <x v="0"/>
    <s v="Breakfast Only"/>
    <n v="7012.49"/>
    <n v="1656.49"/>
    <x v="2"/>
    <s v="Cancelled"/>
    <x v="1"/>
    <x v="30"/>
    <x v="0"/>
    <x v="4"/>
    <x v="1"/>
  </r>
  <r>
    <s v="T001161"/>
    <d v="2026-03-06T00:00:00"/>
    <x v="4"/>
    <x v="3"/>
    <x v="1"/>
    <x v="1"/>
    <s v="India"/>
    <x v="1"/>
    <x v="7"/>
    <s v="C01161"/>
    <n v="69"/>
    <s v="Male"/>
    <x v="5"/>
    <x v="3"/>
    <x v="0"/>
    <s v="Full Board"/>
    <n v="14221.08"/>
    <n v="2920.21"/>
    <x v="1"/>
    <s v="Cancelled"/>
    <x v="3"/>
    <x v="39"/>
    <x v="0"/>
    <x v="1"/>
    <x v="1"/>
  </r>
  <r>
    <s v="T001162"/>
    <d v="2026-03-07T00:00:00"/>
    <x v="4"/>
    <x v="3"/>
    <x v="1"/>
    <x v="1"/>
    <s v="India"/>
    <x v="1"/>
    <x v="7"/>
    <s v="C01162"/>
    <n v="53"/>
    <s v="Female"/>
    <x v="4"/>
    <x v="1"/>
    <x v="0"/>
    <s v="Breakfast Only"/>
    <n v="15481.09"/>
    <n v="3517.32"/>
    <x v="1"/>
    <s v="Cancelled"/>
    <x v="0"/>
    <x v="4"/>
    <x v="0"/>
    <x v="4"/>
    <x v="0"/>
  </r>
  <r>
    <s v="T001163"/>
    <d v="2026-03-08T00:00:00"/>
    <x v="2"/>
    <x v="2"/>
    <x v="2"/>
    <x v="0"/>
    <s v="India"/>
    <x v="2"/>
    <x v="6"/>
    <s v="C01163"/>
    <n v="25"/>
    <s v="Female"/>
    <x v="3"/>
    <x v="1"/>
    <x v="1"/>
    <s v="Half Board"/>
    <n v="23677.05"/>
    <n v="1936.82"/>
    <x v="3"/>
    <s v="Confirmed"/>
    <x v="1"/>
    <x v="30"/>
    <x v="0"/>
    <x v="1"/>
    <x v="0"/>
  </r>
  <r>
    <s v="T001164"/>
    <d v="2026-03-09T00:00:00"/>
    <x v="0"/>
    <x v="0"/>
    <x v="1"/>
    <x v="1"/>
    <s v="India"/>
    <x v="1"/>
    <x v="4"/>
    <s v="C01164"/>
    <n v="57"/>
    <s v="Female"/>
    <x v="1"/>
    <x v="3"/>
    <x v="1"/>
    <s v="Half Board"/>
    <n v="14668.07"/>
    <n v="2490.7399999999998"/>
    <x v="1"/>
    <s v="Pending"/>
    <x v="0"/>
    <x v="3"/>
    <x v="2"/>
    <x v="2"/>
    <x v="1"/>
  </r>
  <r>
    <s v="T001165"/>
    <d v="2026-03-10T00:00:00"/>
    <x v="3"/>
    <x v="1"/>
    <x v="2"/>
    <x v="0"/>
    <s v="India"/>
    <x v="2"/>
    <x v="1"/>
    <s v="C01165"/>
    <n v="39"/>
    <s v="Female"/>
    <x v="6"/>
    <x v="0"/>
    <x v="2"/>
    <s v="Half Board"/>
    <n v="33390.97"/>
    <n v="2274.58"/>
    <x v="2"/>
    <s v="Cancelled"/>
    <x v="2"/>
    <x v="37"/>
    <x v="3"/>
    <x v="3"/>
    <x v="0"/>
  </r>
  <r>
    <s v="T001166"/>
    <d v="2026-03-11T00:00:00"/>
    <x v="3"/>
    <x v="1"/>
    <x v="2"/>
    <x v="0"/>
    <s v="India"/>
    <x v="3"/>
    <x v="3"/>
    <s v="C01166"/>
    <n v="39"/>
    <s v="Male"/>
    <x v="3"/>
    <x v="3"/>
    <x v="3"/>
    <s v="Half Board"/>
    <n v="14506.46"/>
    <n v="45.02"/>
    <x v="2"/>
    <s v="Cancelled"/>
    <x v="0"/>
    <x v="6"/>
    <x v="3"/>
    <x v="4"/>
    <x v="1"/>
  </r>
  <r>
    <s v="T001167"/>
    <d v="2026-03-12T00:00:00"/>
    <x v="1"/>
    <x v="1"/>
    <x v="2"/>
    <x v="0"/>
    <s v="India"/>
    <x v="2"/>
    <x v="11"/>
    <s v="C01167"/>
    <n v="33"/>
    <s v="Male"/>
    <x v="5"/>
    <x v="1"/>
    <x v="2"/>
    <s v="No Meals"/>
    <n v="13454.44"/>
    <n v="1978"/>
    <x v="0"/>
    <s v="Pending"/>
    <x v="0"/>
    <x v="28"/>
    <x v="3"/>
    <x v="4"/>
    <x v="0"/>
  </r>
  <r>
    <s v="T001168"/>
    <d v="2026-03-13T00:00:00"/>
    <x v="1"/>
    <x v="1"/>
    <x v="3"/>
    <x v="1"/>
    <s v="India"/>
    <x v="5"/>
    <x v="3"/>
    <s v="C01168"/>
    <n v="44"/>
    <s v="Male"/>
    <x v="3"/>
    <x v="3"/>
    <x v="0"/>
    <s v="No Meals"/>
    <n v="26205.66"/>
    <n v="2936.6"/>
    <x v="1"/>
    <s v="Cancelled"/>
    <x v="3"/>
    <x v="4"/>
    <x v="0"/>
    <x v="2"/>
    <x v="0"/>
  </r>
  <r>
    <s v="T001169"/>
    <d v="2026-03-14T00:00:00"/>
    <x v="3"/>
    <x v="1"/>
    <x v="3"/>
    <x v="1"/>
    <s v="India"/>
    <x v="5"/>
    <x v="10"/>
    <s v="C01169"/>
    <n v="27"/>
    <s v="Female"/>
    <x v="4"/>
    <x v="1"/>
    <x v="2"/>
    <s v="Breakfast Only"/>
    <n v="44990.09"/>
    <n v="2849.72"/>
    <x v="1"/>
    <s v="Confirmed"/>
    <x v="1"/>
    <x v="33"/>
    <x v="4"/>
    <x v="4"/>
    <x v="0"/>
  </r>
  <r>
    <s v="T001170"/>
    <d v="2026-03-15T00:00:00"/>
    <x v="1"/>
    <x v="1"/>
    <x v="1"/>
    <x v="1"/>
    <s v="India"/>
    <x v="1"/>
    <x v="2"/>
    <s v="C01170"/>
    <n v="42"/>
    <s v="Female"/>
    <x v="6"/>
    <x v="0"/>
    <x v="1"/>
    <s v="Full Board"/>
    <n v="26073.75"/>
    <n v="3748.84"/>
    <x v="0"/>
    <s v="Cancelled"/>
    <x v="2"/>
    <x v="35"/>
    <x v="3"/>
    <x v="2"/>
    <x v="1"/>
  </r>
  <r>
    <s v="T001171"/>
    <d v="2026-03-16T00:00:00"/>
    <x v="2"/>
    <x v="2"/>
    <x v="3"/>
    <x v="1"/>
    <s v="India"/>
    <x v="5"/>
    <x v="8"/>
    <s v="C01171"/>
    <n v="48"/>
    <s v="Male"/>
    <x v="0"/>
    <x v="3"/>
    <x v="2"/>
    <s v="Half Board"/>
    <n v="23623.19"/>
    <n v="3351.88"/>
    <x v="3"/>
    <s v="Pending"/>
    <x v="2"/>
    <x v="30"/>
    <x v="0"/>
    <x v="1"/>
    <x v="0"/>
  </r>
  <r>
    <s v="T001172"/>
    <d v="2026-03-17T00:00:00"/>
    <x v="3"/>
    <x v="1"/>
    <x v="1"/>
    <x v="1"/>
    <s v="India"/>
    <x v="1"/>
    <x v="11"/>
    <s v="C01172"/>
    <n v="38"/>
    <s v="Male"/>
    <x v="4"/>
    <x v="0"/>
    <x v="0"/>
    <s v="Half Board"/>
    <n v="31014.27"/>
    <n v="1384.03"/>
    <x v="0"/>
    <s v="Confirmed"/>
    <x v="2"/>
    <x v="4"/>
    <x v="0"/>
    <x v="4"/>
    <x v="0"/>
  </r>
  <r>
    <s v="T001173"/>
    <d v="2026-03-18T00:00:00"/>
    <x v="1"/>
    <x v="1"/>
    <x v="3"/>
    <x v="1"/>
    <s v="India"/>
    <x v="5"/>
    <x v="4"/>
    <s v="C01173"/>
    <n v="44"/>
    <s v="Female"/>
    <x v="4"/>
    <x v="3"/>
    <x v="2"/>
    <s v="No Meals"/>
    <n v="16574.62"/>
    <n v="1278.22"/>
    <x v="1"/>
    <s v="Confirmed"/>
    <x v="1"/>
    <x v="25"/>
    <x v="3"/>
    <x v="4"/>
    <x v="1"/>
  </r>
  <r>
    <s v="T001174"/>
    <d v="2026-03-19T00:00:00"/>
    <x v="3"/>
    <x v="1"/>
    <x v="4"/>
    <x v="1"/>
    <s v="India"/>
    <x v="6"/>
    <x v="7"/>
    <s v="C01174"/>
    <n v="34"/>
    <s v="Other"/>
    <x v="0"/>
    <x v="3"/>
    <x v="1"/>
    <s v="No Meals"/>
    <n v="20904.64"/>
    <n v="2320.71"/>
    <x v="3"/>
    <s v="Pending"/>
    <x v="1"/>
    <x v="4"/>
    <x v="0"/>
    <x v="1"/>
    <x v="0"/>
  </r>
  <r>
    <s v="T001175"/>
    <d v="2026-03-20T00:00:00"/>
    <x v="0"/>
    <x v="0"/>
    <x v="4"/>
    <x v="1"/>
    <s v="India"/>
    <x v="6"/>
    <x v="4"/>
    <s v="C01175"/>
    <n v="50"/>
    <s v="Male"/>
    <x v="0"/>
    <x v="1"/>
    <x v="3"/>
    <s v="Half Board"/>
    <n v="14622.59"/>
    <n v="3664.85"/>
    <x v="2"/>
    <s v="Pending"/>
    <x v="0"/>
    <x v="21"/>
    <x v="0"/>
    <x v="4"/>
    <x v="1"/>
  </r>
  <r>
    <s v="T001176"/>
    <d v="2026-03-21T00:00:00"/>
    <x v="4"/>
    <x v="3"/>
    <x v="1"/>
    <x v="1"/>
    <s v="India"/>
    <x v="1"/>
    <x v="2"/>
    <s v="C01176"/>
    <n v="48"/>
    <s v="Male"/>
    <x v="5"/>
    <x v="2"/>
    <x v="0"/>
    <s v="Full Board"/>
    <n v="30731.45"/>
    <n v="469.14"/>
    <x v="2"/>
    <s v="Confirmed"/>
    <x v="0"/>
    <x v="20"/>
    <x v="0"/>
    <x v="0"/>
    <x v="0"/>
  </r>
  <r>
    <s v="T001177"/>
    <d v="2026-03-22T00:00:00"/>
    <x v="3"/>
    <x v="1"/>
    <x v="3"/>
    <x v="1"/>
    <s v="India"/>
    <x v="5"/>
    <x v="10"/>
    <s v="C01177"/>
    <n v="67"/>
    <s v="Male"/>
    <x v="5"/>
    <x v="1"/>
    <x v="2"/>
    <s v="Breakfast Only"/>
    <n v="36382.44"/>
    <n v="4741.63"/>
    <x v="0"/>
    <s v="Cancelled"/>
    <x v="1"/>
    <x v="7"/>
    <x v="3"/>
    <x v="2"/>
    <x v="1"/>
  </r>
  <r>
    <s v="T001178"/>
    <d v="2026-03-23T00:00:00"/>
    <x v="4"/>
    <x v="3"/>
    <x v="3"/>
    <x v="1"/>
    <s v="India"/>
    <x v="5"/>
    <x v="8"/>
    <s v="C01178"/>
    <n v="59"/>
    <s v="Female"/>
    <x v="4"/>
    <x v="3"/>
    <x v="1"/>
    <s v="Breakfast Only"/>
    <n v="35316.44"/>
    <n v="2715.77"/>
    <x v="2"/>
    <s v="Pending"/>
    <x v="2"/>
    <x v="21"/>
    <x v="0"/>
    <x v="3"/>
    <x v="1"/>
  </r>
  <r>
    <s v="T001179"/>
    <d v="2026-03-24T00:00:00"/>
    <x v="1"/>
    <x v="1"/>
    <x v="2"/>
    <x v="0"/>
    <s v="India"/>
    <x v="2"/>
    <x v="0"/>
    <s v="C01179"/>
    <n v="43"/>
    <s v="Male"/>
    <x v="3"/>
    <x v="2"/>
    <x v="0"/>
    <s v="Breakfast Only"/>
    <n v="16466.8"/>
    <n v="1532.04"/>
    <x v="1"/>
    <s v="Confirmed"/>
    <x v="1"/>
    <x v="11"/>
    <x v="2"/>
    <x v="0"/>
    <x v="0"/>
  </r>
  <r>
    <s v="T001180"/>
    <d v="2026-03-25T00:00:00"/>
    <x v="4"/>
    <x v="3"/>
    <x v="0"/>
    <x v="0"/>
    <s v="India"/>
    <x v="4"/>
    <x v="11"/>
    <s v="C01180"/>
    <n v="38"/>
    <s v="Male"/>
    <x v="1"/>
    <x v="2"/>
    <x v="0"/>
    <s v="Breakfast Only"/>
    <n v="40084.17"/>
    <n v="3466.96"/>
    <x v="0"/>
    <s v="Pending"/>
    <x v="3"/>
    <x v="32"/>
    <x v="4"/>
    <x v="3"/>
    <x v="1"/>
  </r>
  <r>
    <s v="T001181"/>
    <d v="2026-03-26T00:00:00"/>
    <x v="3"/>
    <x v="1"/>
    <x v="1"/>
    <x v="1"/>
    <s v="India"/>
    <x v="1"/>
    <x v="6"/>
    <s v="C01181"/>
    <n v="53"/>
    <s v="Male"/>
    <x v="1"/>
    <x v="0"/>
    <x v="1"/>
    <s v="Full Board"/>
    <n v="16517.91"/>
    <n v="223.63"/>
    <x v="1"/>
    <s v="Cancelled"/>
    <x v="1"/>
    <x v="9"/>
    <x v="4"/>
    <x v="0"/>
    <x v="1"/>
  </r>
  <r>
    <s v="T001182"/>
    <d v="2026-03-27T00:00:00"/>
    <x v="0"/>
    <x v="0"/>
    <x v="0"/>
    <x v="0"/>
    <s v="India"/>
    <x v="4"/>
    <x v="3"/>
    <s v="C01182"/>
    <n v="18"/>
    <s v="Male"/>
    <x v="4"/>
    <x v="3"/>
    <x v="2"/>
    <s v="Full Board"/>
    <n v="11764.02"/>
    <n v="2421.98"/>
    <x v="1"/>
    <s v="Cancelled"/>
    <x v="1"/>
    <x v="25"/>
    <x v="3"/>
    <x v="0"/>
    <x v="0"/>
  </r>
  <r>
    <s v="T001183"/>
    <d v="2026-03-28T00:00:00"/>
    <x v="1"/>
    <x v="1"/>
    <x v="0"/>
    <x v="0"/>
    <s v="India"/>
    <x v="4"/>
    <x v="11"/>
    <s v="C01183"/>
    <n v="21"/>
    <s v="Male"/>
    <x v="3"/>
    <x v="1"/>
    <x v="2"/>
    <s v="Full Board"/>
    <n v="20741.39"/>
    <n v="2429.85"/>
    <x v="3"/>
    <s v="Confirmed"/>
    <x v="2"/>
    <x v="23"/>
    <x v="1"/>
    <x v="0"/>
    <x v="0"/>
  </r>
  <r>
    <s v="T001184"/>
    <d v="2026-03-29T00:00:00"/>
    <x v="3"/>
    <x v="1"/>
    <x v="1"/>
    <x v="1"/>
    <s v="India"/>
    <x v="1"/>
    <x v="7"/>
    <s v="C01184"/>
    <n v="21"/>
    <s v="Other"/>
    <x v="0"/>
    <x v="2"/>
    <x v="2"/>
    <s v="No Meals"/>
    <n v="31898.48"/>
    <n v="809.88"/>
    <x v="3"/>
    <s v="Cancelled"/>
    <x v="0"/>
    <x v="4"/>
    <x v="0"/>
    <x v="2"/>
    <x v="0"/>
  </r>
  <r>
    <s v="T001185"/>
    <d v="2026-03-30T00:00:00"/>
    <x v="1"/>
    <x v="1"/>
    <x v="3"/>
    <x v="1"/>
    <s v="India"/>
    <x v="5"/>
    <x v="3"/>
    <s v="C01185"/>
    <n v="43"/>
    <s v="Other"/>
    <x v="2"/>
    <x v="2"/>
    <x v="0"/>
    <s v="Half Board"/>
    <n v="11390.08"/>
    <n v="4186.9399999999996"/>
    <x v="3"/>
    <s v="Cancelled"/>
    <x v="3"/>
    <x v="13"/>
    <x v="0"/>
    <x v="3"/>
    <x v="0"/>
  </r>
  <r>
    <s v="T001186"/>
    <d v="2026-03-31T00:00:00"/>
    <x v="2"/>
    <x v="2"/>
    <x v="1"/>
    <x v="1"/>
    <s v="India"/>
    <x v="1"/>
    <x v="0"/>
    <s v="C01186"/>
    <n v="21"/>
    <s v="Male"/>
    <x v="4"/>
    <x v="1"/>
    <x v="3"/>
    <s v="Full Board"/>
    <n v="34163.919999999998"/>
    <n v="3984.06"/>
    <x v="2"/>
    <s v="Cancelled"/>
    <x v="3"/>
    <x v="29"/>
    <x v="1"/>
    <x v="1"/>
    <x v="1"/>
  </r>
  <r>
    <s v="T001187"/>
    <d v="2026-04-01T00:00:00"/>
    <x v="4"/>
    <x v="3"/>
    <x v="0"/>
    <x v="0"/>
    <s v="India"/>
    <x v="0"/>
    <x v="6"/>
    <s v="C01187"/>
    <n v="66"/>
    <s v="Male"/>
    <x v="6"/>
    <x v="1"/>
    <x v="0"/>
    <s v="Breakfast Only"/>
    <n v="43838.06"/>
    <n v="763.66"/>
    <x v="3"/>
    <s v="Pending"/>
    <x v="3"/>
    <x v="16"/>
    <x v="4"/>
    <x v="1"/>
    <x v="1"/>
  </r>
  <r>
    <s v="T001188"/>
    <d v="2026-04-02T00:00:00"/>
    <x v="2"/>
    <x v="2"/>
    <x v="3"/>
    <x v="1"/>
    <s v="India"/>
    <x v="5"/>
    <x v="0"/>
    <s v="C01188"/>
    <n v="26"/>
    <s v="Male"/>
    <x v="3"/>
    <x v="2"/>
    <x v="2"/>
    <s v="Full Board"/>
    <n v="18191.32"/>
    <n v="1819.14"/>
    <x v="1"/>
    <s v="Confirmed"/>
    <x v="1"/>
    <x v="16"/>
    <x v="4"/>
    <x v="4"/>
    <x v="0"/>
  </r>
  <r>
    <s v="T001189"/>
    <d v="2026-04-03T00:00:00"/>
    <x v="3"/>
    <x v="1"/>
    <x v="4"/>
    <x v="1"/>
    <s v="India"/>
    <x v="6"/>
    <x v="6"/>
    <s v="C01189"/>
    <n v="47"/>
    <s v="Male"/>
    <x v="6"/>
    <x v="1"/>
    <x v="0"/>
    <s v="Half Board"/>
    <n v="25259.3"/>
    <n v="502.15"/>
    <x v="0"/>
    <s v="Confirmed"/>
    <x v="2"/>
    <x v="18"/>
    <x v="0"/>
    <x v="2"/>
    <x v="0"/>
  </r>
  <r>
    <s v="T001190"/>
    <d v="2026-04-04T00:00:00"/>
    <x v="0"/>
    <x v="0"/>
    <x v="1"/>
    <x v="1"/>
    <s v="India"/>
    <x v="1"/>
    <x v="1"/>
    <s v="C01190"/>
    <n v="68"/>
    <s v="Female"/>
    <x v="6"/>
    <x v="0"/>
    <x v="3"/>
    <s v="No Meals"/>
    <n v="15273.97"/>
    <n v="4243.04"/>
    <x v="0"/>
    <s v="Confirmed"/>
    <x v="1"/>
    <x v="34"/>
    <x v="1"/>
    <x v="2"/>
    <x v="0"/>
  </r>
  <r>
    <s v="T001191"/>
    <d v="2026-04-05T00:00:00"/>
    <x v="1"/>
    <x v="1"/>
    <x v="1"/>
    <x v="1"/>
    <s v="India"/>
    <x v="1"/>
    <x v="3"/>
    <s v="C01191"/>
    <n v="62"/>
    <s v="Female"/>
    <x v="4"/>
    <x v="2"/>
    <x v="0"/>
    <s v="Breakfast Only"/>
    <n v="21256.78"/>
    <n v="1616.6"/>
    <x v="1"/>
    <s v="Cancelled"/>
    <x v="0"/>
    <x v="17"/>
    <x v="1"/>
    <x v="2"/>
    <x v="0"/>
  </r>
  <r>
    <s v="T001192"/>
    <d v="2026-04-06T00:00:00"/>
    <x v="4"/>
    <x v="3"/>
    <x v="3"/>
    <x v="1"/>
    <s v="India"/>
    <x v="5"/>
    <x v="5"/>
    <s v="C01192"/>
    <n v="21"/>
    <s v="Female"/>
    <x v="3"/>
    <x v="0"/>
    <x v="1"/>
    <s v="No Meals"/>
    <n v="5988.68"/>
    <n v="2196.58"/>
    <x v="2"/>
    <s v="Pending"/>
    <x v="2"/>
    <x v="4"/>
    <x v="0"/>
    <x v="0"/>
    <x v="1"/>
  </r>
  <r>
    <s v="T001193"/>
    <d v="2026-04-07T00:00:00"/>
    <x v="1"/>
    <x v="1"/>
    <x v="4"/>
    <x v="1"/>
    <s v="India"/>
    <x v="6"/>
    <x v="8"/>
    <s v="C01193"/>
    <n v="22"/>
    <s v="Other"/>
    <x v="6"/>
    <x v="3"/>
    <x v="2"/>
    <s v="Full Board"/>
    <n v="47919.62"/>
    <n v="1619.36"/>
    <x v="0"/>
    <s v="Confirmed"/>
    <x v="3"/>
    <x v="12"/>
    <x v="1"/>
    <x v="2"/>
    <x v="1"/>
  </r>
  <r>
    <s v="T001194"/>
    <d v="2026-04-08T00:00:00"/>
    <x v="3"/>
    <x v="1"/>
    <x v="4"/>
    <x v="1"/>
    <s v="India"/>
    <x v="6"/>
    <x v="5"/>
    <s v="C01194"/>
    <n v="62"/>
    <s v="Male"/>
    <x v="5"/>
    <x v="0"/>
    <x v="2"/>
    <s v="Breakfast Only"/>
    <n v="23715.06"/>
    <n v="1550.13"/>
    <x v="1"/>
    <s v="Pending"/>
    <x v="1"/>
    <x v="15"/>
    <x v="0"/>
    <x v="1"/>
    <x v="1"/>
  </r>
  <r>
    <s v="T001195"/>
    <d v="2026-04-09T00:00:00"/>
    <x v="1"/>
    <x v="1"/>
    <x v="3"/>
    <x v="1"/>
    <s v="India"/>
    <x v="5"/>
    <x v="0"/>
    <s v="C01195"/>
    <n v="40"/>
    <s v="Female"/>
    <x v="5"/>
    <x v="1"/>
    <x v="2"/>
    <s v="Breakfast Only"/>
    <n v="40499.15"/>
    <n v="3736.51"/>
    <x v="1"/>
    <s v="Confirmed"/>
    <x v="2"/>
    <x v="15"/>
    <x v="0"/>
    <x v="2"/>
    <x v="1"/>
  </r>
  <r>
    <s v="T001196"/>
    <d v="2026-04-10T00:00:00"/>
    <x v="4"/>
    <x v="3"/>
    <x v="2"/>
    <x v="0"/>
    <s v="India"/>
    <x v="2"/>
    <x v="3"/>
    <s v="C01196"/>
    <n v="33"/>
    <s v="Male"/>
    <x v="3"/>
    <x v="2"/>
    <x v="0"/>
    <s v="Full Board"/>
    <n v="11418.95"/>
    <n v="3737.83"/>
    <x v="1"/>
    <s v="Cancelled"/>
    <x v="1"/>
    <x v="16"/>
    <x v="4"/>
    <x v="0"/>
    <x v="1"/>
  </r>
  <r>
    <s v="T001197"/>
    <d v="2026-04-11T00:00:00"/>
    <x v="3"/>
    <x v="1"/>
    <x v="1"/>
    <x v="1"/>
    <s v="India"/>
    <x v="1"/>
    <x v="1"/>
    <s v="C01197"/>
    <n v="39"/>
    <s v="Male"/>
    <x v="1"/>
    <x v="0"/>
    <x v="0"/>
    <s v="Full Board"/>
    <n v="41555.980000000003"/>
    <n v="2588.94"/>
    <x v="0"/>
    <s v="Confirmed"/>
    <x v="2"/>
    <x v="1"/>
    <x v="1"/>
    <x v="3"/>
    <x v="0"/>
  </r>
  <r>
    <s v="T001198"/>
    <d v="2026-04-12T00:00:00"/>
    <x v="1"/>
    <x v="1"/>
    <x v="1"/>
    <x v="1"/>
    <s v="India"/>
    <x v="1"/>
    <x v="11"/>
    <s v="C01198"/>
    <n v="54"/>
    <s v="Other"/>
    <x v="2"/>
    <x v="1"/>
    <x v="0"/>
    <s v="Half Board"/>
    <n v="43706.63"/>
    <n v="3288.08"/>
    <x v="0"/>
    <s v="Confirmed"/>
    <x v="3"/>
    <x v="39"/>
    <x v="0"/>
    <x v="2"/>
    <x v="0"/>
  </r>
  <r>
    <s v="T001199"/>
    <d v="2026-04-13T00:00:00"/>
    <x v="0"/>
    <x v="0"/>
    <x v="0"/>
    <x v="0"/>
    <s v="India"/>
    <x v="0"/>
    <x v="11"/>
    <s v="C01199"/>
    <n v="25"/>
    <s v="Other"/>
    <x v="6"/>
    <x v="1"/>
    <x v="2"/>
    <s v="Full Board"/>
    <n v="37196.47"/>
    <n v="2558.3200000000002"/>
    <x v="3"/>
    <s v="Cancelled"/>
    <x v="0"/>
    <x v="7"/>
    <x v="3"/>
    <x v="3"/>
    <x v="1"/>
  </r>
  <r>
    <s v="T001200"/>
    <d v="2026-04-14T00:00:00"/>
    <x v="3"/>
    <x v="1"/>
    <x v="3"/>
    <x v="1"/>
    <s v="India"/>
    <x v="5"/>
    <x v="11"/>
    <s v="C01200"/>
    <n v="65"/>
    <s v="Female"/>
    <x v="6"/>
    <x v="0"/>
    <x v="0"/>
    <s v="Full Board"/>
    <n v="45644.37"/>
    <n v="142.94999999999999"/>
    <x v="3"/>
    <s v="Cancelled"/>
    <x v="0"/>
    <x v="18"/>
    <x v="0"/>
    <x v="4"/>
    <x v="1"/>
  </r>
  <r>
    <s v="T001201"/>
    <d v="2026-04-15T00:00:00"/>
    <x v="3"/>
    <x v="1"/>
    <x v="0"/>
    <x v="0"/>
    <s v="India"/>
    <x v="4"/>
    <x v="2"/>
    <s v="C01201"/>
    <n v="50"/>
    <s v="Female"/>
    <x v="3"/>
    <x v="2"/>
    <x v="2"/>
    <s v="Full Board"/>
    <n v="12523.87"/>
    <n v="330.03"/>
    <x v="1"/>
    <s v="Confirmed"/>
    <x v="1"/>
    <x v="12"/>
    <x v="1"/>
    <x v="0"/>
    <x v="0"/>
  </r>
  <r>
    <s v="T001202"/>
    <d v="2026-04-16T00:00:00"/>
    <x v="0"/>
    <x v="0"/>
    <x v="0"/>
    <x v="0"/>
    <s v="India"/>
    <x v="4"/>
    <x v="1"/>
    <s v="C01202"/>
    <n v="55"/>
    <s v="Other"/>
    <x v="5"/>
    <x v="0"/>
    <x v="0"/>
    <s v="Breakfast Only"/>
    <n v="26441.68"/>
    <n v="1918.7"/>
    <x v="1"/>
    <s v="Pending"/>
    <x v="3"/>
    <x v="5"/>
    <x v="1"/>
    <x v="2"/>
    <x v="1"/>
  </r>
  <r>
    <s v="T001203"/>
    <d v="2026-04-17T00:00:00"/>
    <x v="2"/>
    <x v="2"/>
    <x v="4"/>
    <x v="1"/>
    <s v="India"/>
    <x v="6"/>
    <x v="2"/>
    <s v="C01203"/>
    <n v="60"/>
    <s v="Other"/>
    <x v="2"/>
    <x v="3"/>
    <x v="2"/>
    <s v="Half Board"/>
    <n v="32904.93"/>
    <n v="3748.73"/>
    <x v="1"/>
    <s v="Cancelled"/>
    <x v="1"/>
    <x v="25"/>
    <x v="2"/>
    <x v="4"/>
    <x v="1"/>
  </r>
  <r>
    <s v="T001204"/>
    <d v="2026-04-18T00:00:00"/>
    <x v="4"/>
    <x v="3"/>
    <x v="1"/>
    <x v="1"/>
    <s v="India"/>
    <x v="1"/>
    <x v="10"/>
    <s v="C01204"/>
    <n v="33"/>
    <s v="Male"/>
    <x v="1"/>
    <x v="0"/>
    <x v="1"/>
    <s v="Breakfast Only"/>
    <n v="31828.68"/>
    <n v="4566.13"/>
    <x v="1"/>
    <s v="Confirmed"/>
    <x v="1"/>
    <x v="40"/>
    <x v="3"/>
    <x v="4"/>
    <x v="1"/>
  </r>
  <r>
    <s v="T001205"/>
    <d v="2026-04-19T00:00:00"/>
    <x v="2"/>
    <x v="2"/>
    <x v="0"/>
    <x v="0"/>
    <s v="India"/>
    <x v="4"/>
    <x v="3"/>
    <s v="C01205"/>
    <n v="22"/>
    <s v="Male"/>
    <x v="6"/>
    <x v="0"/>
    <x v="0"/>
    <s v="Full Board"/>
    <n v="43746.84"/>
    <n v="148.54"/>
    <x v="0"/>
    <s v="Cancelled"/>
    <x v="2"/>
    <x v="32"/>
    <x v="4"/>
    <x v="3"/>
    <x v="1"/>
  </r>
  <r>
    <s v="T001206"/>
    <d v="2026-04-20T00:00:00"/>
    <x v="1"/>
    <x v="1"/>
    <x v="4"/>
    <x v="1"/>
    <s v="India"/>
    <x v="6"/>
    <x v="5"/>
    <s v="C01206"/>
    <n v="33"/>
    <s v="Female"/>
    <x v="4"/>
    <x v="2"/>
    <x v="2"/>
    <s v="Half Board"/>
    <n v="14706.11"/>
    <n v="1840.15"/>
    <x v="3"/>
    <s v="Pending"/>
    <x v="2"/>
    <x v="34"/>
    <x v="1"/>
    <x v="1"/>
    <x v="0"/>
  </r>
  <r>
    <s v="T001207"/>
    <d v="2026-04-21T00:00:00"/>
    <x v="0"/>
    <x v="0"/>
    <x v="3"/>
    <x v="1"/>
    <s v="India"/>
    <x v="5"/>
    <x v="8"/>
    <s v="C01207"/>
    <n v="24"/>
    <s v="Female"/>
    <x v="5"/>
    <x v="0"/>
    <x v="1"/>
    <s v="Full Board"/>
    <n v="12903.97"/>
    <n v="1118.9100000000001"/>
    <x v="2"/>
    <s v="Confirmed"/>
    <x v="2"/>
    <x v="40"/>
    <x v="3"/>
    <x v="1"/>
    <x v="1"/>
  </r>
  <r>
    <s v="T001208"/>
    <d v="2026-04-22T00:00:00"/>
    <x v="2"/>
    <x v="2"/>
    <x v="0"/>
    <x v="0"/>
    <s v="India"/>
    <x v="4"/>
    <x v="0"/>
    <s v="C01208"/>
    <n v="68"/>
    <s v="Other"/>
    <x v="3"/>
    <x v="1"/>
    <x v="1"/>
    <s v="Breakfast Only"/>
    <n v="16402.04"/>
    <n v="4076.03"/>
    <x v="1"/>
    <s v="Confirmed"/>
    <x v="3"/>
    <x v="28"/>
    <x v="3"/>
    <x v="1"/>
    <x v="1"/>
  </r>
  <r>
    <s v="T001209"/>
    <d v="2026-04-23T00:00:00"/>
    <x v="3"/>
    <x v="1"/>
    <x v="1"/>
    <x v="1"/>
    <s v="India"/>
    <x v="1"/>
    <x v="8"/>
    <s v="C01209"/>
    <n v="18"/>
    <s v="Female"/>
    <x v="3"/>
    <x v="2"/>
    <x v="3"/>
    <s v="Breakfast Only"/>
    <n v="45119.75"/>
    <n v="4229.84"/>
    <x v="3"/>
    <s v="Pending"/>
    <x v="3"/>
    <x v="29"/>
    <x v="1"/>
    <x v="1"/>
    <x v="1"/>
  </r>
  <r>
    <s v="T001210"/>
    <d v="2026-04-24T00:00:00"/>
    <x v="1"/>
    <x v="1"/>
    <x v="0"/>
    <x v="0"/>
    <s v="India"/>
    <x v="0"/>
    <x v="0"/>
    <s v="C01210"/>
    <n v="26"/>
    <s v="Male"/>
    <x v="5"/>
    <x v="1"/>
    <x v="0"/>
    <s v="Full Board"/>
    <n v="47346.22"/>
    <n v="1032.04"/>
    <x v="1"/>
    <s v="Pending"/>
    <x v="1"/>
    <x v="36"/>
    <x v="4"/>
    <x v="0"/>
    <x v="1"/>
  </r>
  <r>
    <s v="T001211"/>
    <d v="2026-04-25T00:00:00"/>
    <x v="1"/>
    <x v="1"/>
    <x v="3"/>
    <x v="1"/>
    <s v="India"/>
    <x v="5"/>
    <x v="3"/>
    <s v="C01211"/>
    <n v="35"/>
    <s v="Other"/>
    <x v="6"/>
    <x v="2"/>
    <x v="2"/>
    <s v="Half Board"/>
    <n v="30633.35"/>
    <n v="3554.14"/>
    <x v="0"/>
    <s v="Confirmed"/>
    <x v="2"/>
    <x v="8"/>
    <x v="2"/>
    <x v="2"/>
    <x v="1"/>
  </r>
  <r>
    <s v="T001212"/>
    <d v="2026-04-26T00:00:00"/>
    <x v="2"/>
    <x v="2"/>
    <x v="0"/>
    <x v="0"/>
    <s v="India"/>
    <x v="4"/>
    <x v="3"/>
    <s v="C01212"/>
    <n v="62"/>
    <s v="Male"/>
    <x v="1"/>
    <x v="3"/>
    <x v="3"/>
    <s v="Breakfast Only"/>
    <n v="27561.74"/>
    <n v="3658.78"/>
    <x v="2"/>
    <s v="Pending"/>
    <x v="3"/>
    <x v="16"/>
    <x v="4"/>
    <x v="2"/>
    <x v="0"/>
  </r>
  <r>
    <s v="T001213"/>
    <d v="2026-04-27T00:00:00"/>
    <x v="2"/>
    <x v="2"/>
    <x v="1"/>
    <x v="1"/>
    <s v="India"/>
    <x v="1"/>
    <x v="4"/>
    <s v="C01213"/>
    <n v="64"/>
    <s v="Other"/>
    <x v="6"/>
    <x v="3"/>
    <x v="0"/>
    <s v="Full Board"/>
    <n v="32242.35"/>
    <n v="885.29"/>
    <x v="3"/>
    <s v="Pending"/>
    <x v="1"/>
    <x v="7"/>
    <x v="3"/>
    <x v="0"/>
    <x v="0"/>
  </r>
  <r>
    <s v="T001214"/>
    <d v="2026-04-28T00:00:00"/>
    <x v="0"/>
    <x v="0"/>
    <x v="4"/>
    <x v="1"/>
    <s v="India"/>
    <x v="6"/>
    <x v="5"/>
    <s v="C01214"/>
    <n v="20"/>
    <s v="Other"/>
    <x v="5"/>
    <x v="3"/>
    <x v="1"/>
    <s v="No Meals"/>
    <n v="32733.84"/>
    <n v="2168.48"/>
    <x v="3"/>
    <s v="Confirmed"/>
    <x v="3"/>
    <x v="27"/>
    <x v="0"/>
    <x v="3"/>
    <x v="0"/>
  </r>
  <r>
    <s v="T001215"/>
    <d v="2026-04-29T00:00:00"/>
    <x v="4"/>
    <x v="3"/>
    <x v="1"/>
    <x v="1"/>
    <s v="India"/>
    <x v="1"/>
    <x v="7"/>
    <s v="C01215"/>
    <n v="41"/>
    <s v="Male"/>
    <x v="0"/>
    <x v="0"/>
    <x v="0"/>
    <s v="Full Board"/>
    <n v="12663.71"/>
    <n v="3101.69"/>
    <x v="2"/>
    <s v="Cancelled"/>
    <x v="1"/>
    <x v="21"/>
    <x v="0"/>
    <x v="2"/>
    <x v="1"/>
  </r>
  <r>
    <s v="T001216"/>
    <d v="2026-04-30T00:00:00"/>
    <x v="2"/>
    <x v="2"/>
    <x v="4"/>
    <x v="1"/>
    <s v="India"/>
    <x v="6"/>
    <x v="0"/>
    <s v="C01216"/>
    <n v="45"/>
    <s v="Female"/>
    <x v="6"/>
    <x v="3"/>
    <x v="2"/>
    <s v="Full Board"/>
    <n v="35888.49"/>
    <n v="130.33000000000001"/>
    <x v="0"/>
    <s v="Pending"/>
    <x v="0"/>
    <x v="30"/>
    <x v="0"/>
    <x v="4"/>
    <x v="1"/>
  </r>
  <r>
    <s v="T001217"/>
    <d v="2026-05-01T00:00:00"/>
    <x v="2"/>
    <x v="2"/>
    <x v="2"/>
    <x v="0"/>
    <s v="India"/>
    <x v="2"/>
    <x v="9"/>
    <s v="C01217"/>
    <n v="27"/>
    <s v="Female"/>
    <x v="2"/>
    <x v="2"/>
    <x v="1"/>
    <s v="Half Board"/>
    <n v="25355.8"/>
    <n v="2022.96"/>
    <x v="2"/>
    <s v="Cancelled"/>
    <x v="2"/>
    <x v="35"/>
    <x v="3"/>
    <x v="2"/>
    <x v="0"/>
  </r>
  <r>
    <s v="T001218"/>
    <d v="2026-05-02T00:00:00"/>
    <x v="3"/>
    <x v="1"/>
    <x v="1"/>
    <x v="1"/>
    <s v="India"/>
    <x v="1"/>
    <x v="7"/>
    <s v="C01218"/>
    <n v="26"/>
    <s v="Female"/>
    <x v="5"/>
    <x v="3"/>
    <x v="3"/>
    <s v="Full Board"/>
    <n v="28282.19"/>
    <n v="774.79"/>
    <x v="3"/>
    <s v="Cancelled"/>
    <x v="0"/>
    <x v="15"/>
    <x v="2"/>
    <x v="0"/>
    <x v="0"/>
  </r>
  <r>
    <s v="T001219"/>
    <d v="2026-05-03T00:00:00"/>
    <x v="1"/>
    <x v="1"/>
    <x v="1"/>
    <x v="1"/>
    <s v="India"/>
    <x v="1"/>
    <x v="11"/>
    <s v="C01219"/>
    <n v="30"/>
    <s v="Female"/>
    <x v="2"/>
    <x v="2"/>
    <x v="0"/>
    <s v="No Meals"/>
    <n v="6364.25"/>
    <n v="2709.48"/>
    <x v="2"/>
    <s v="Cancelled"/>
    <x v="1"/>
    <x v="6"/>
    <x v="3"/>
    <x v="3"/>
    <x v="1"/>
  </r>
  <r>
    <s v="T001220"/>
    <d v="2026-05-04T00:00:00"/>
    <x v="4"/>
    <x v="3"/>
    <x v="3"/>
    <x v="1"/>
    <s v="India"/>
    <x v="5"/>
    <x v="8"/>
    <s v="C01220"/>
    <n v="65"/>
    <s v="Male"/>
    <x v="5"/>
    <x v="1"/>
    <x v="0"/>
    <s v="Full Board"/>
    <n v="39405.050000000003"/>
    <n v="4214.59"/>
    <x v="0"/>
    <s v="Pending"/>
    <x v="1"/>
    <x v="31"/>
    <x v="1"/>
    <x v="2"/>
    <x v="1"/>
  </r>
  <r>
    <s v="T001221"/>
    <d v="2026-05-05T00:00:00"/>
    <x v="3"/>
    <x v="1"/>
    <x v="0"/>
    <x v="0"/>
    <s v="India"/>
    <x v="4"/>
    <x v="6"/>
    <s v="C01221"/>
    <n v="52"/>
    <s v="Other"/>
    <x v="0"/>
    <x v="0"/>
    <x v="3"/>
    <s v="No Meals"/>
    <n v="42594.26"/>
    <n v="2623.77"/>
    <x v="0"/>
    <s v="Confirmed"/>
    <x v="2"/>
    <x v="35"/>
    <x v="3"/>
    <x v="0"/>
    <x v="0"/>
  </r>
  <r>
    <s v="T001222"/>
    <d v="2026-05-06T00:00:00"/>
    <x v="0"/>
    <x v="0"/>
    <x v="4"/>
    <x v="1"/>
    <s v="India"/>
    <x v="6"/>
    <x v="6"/>
    <s v="C01222"/>
    <n v="40"/>
    <s v="Male"/>
    <x v="2"/>
    <x v="1"/>
    <x v="0"/>
    <s v="Breakfast Only"/>
    <n v="32873.97"/>
    <n v="179.92"/>
    <x v="1"/>
    <s v="Confirmed"/>
    <x v="2"/>
    <x v="27"/>
    <x v="0"/>
    <x v="4"/>
    <x v="1"/>
  </r>
  <r>
    <s v="T001223"/>
    <d v="2026-05-07T00:00:00"/>
    <x v="0"/>
    <x v="0"/>
    <x v="4"/>
    <x v="1"/>
    <s v="India"/>
    <x v="6"/>
    <x v="3"/>
    <s v="C01223"/>
    <n v="64"/>
    <s v="Female"/>
    <x v="2"/>
    <x v="1"/>
    <x v="0"/>
    <s v="Full Board"/>
    <n v="38692.559999999998"/>
    <n v="148.29"/>
    <x v="2"/>
    <s v="Confirmed"/>
    <x v="1"/>
    <x v="29"/>
    <x v="1"/>
    <x v="1"/>
    <x v="1"/>
  </r>
  <r>
    <s v="T001224"/>
    <d v="2026-05-08T00:00:00"/>
    <x v="2"/>
    <x v="2"/>
    <x v="3"/>
    <x v="1"/>
    <s v="India"/>
    <x v="5"/>
    <x v="9"/>
    <s v="C01224"/>
    <n v="34"/>
    <s v="Female"/>
    <x v="4"/>
    <x v="3"/>
    <x v="0"/>
    <s v="Half Board"/>
    <n v="28521.77"/>
    <n v="3027.52"/>
    <x v="2"/>
    <s v="Confirmed"/>
    <x v="3"/>
    <x v="19"/>
    <x v="3"/>
    <x v="4"/>
    <x v="0"/>
  </r>
  <r>
    <s v="T001225"/>
    <d v="2026-05-09T00:00:00"/>
    <x v="2"/>
    <x v="2"/>
    <x v="3"/>
    <x v="1"/>
    <s v="India"/>
    <x v="5"/>
    <x v="0"/>
    <s v="C01225"/>
    <n v="63"/>
    <s v="Male"/>
    <x v="3"/>
    <x v="3"/>
    <x v="1"/>
    <s v="Full Board"/>
    <n v="32825.9"/>
    <n v="1639.91"/>
    <x v="3"/>
    <s v="Confirmed"/>
    <x v="2"/>
    <x v="5"/>
    <x v="1"/>
    <x v="4"/>
    <x v="1"/>
  </r>
  <r>
    <s v="T001226"/>
    <d v="2026-05-10T00:00:00"/>
    <x v="0"/>
    <x v="0"/>
    <x v="0"/>
    <x v="0"/>
    <s v="India"/>
    <x v="4"/>
    <x v="10"/>
    <s v="C01226"/>
    <n v="24"/>
    <s v="Other"/>
    <x v="2"/>
    <x v="3"/>
    <x v="1"/>
    <s v="No Meals"/>
    <n v="22755.73"/>
    <n v="2863.33"/>
    <x v="0"/>
    <s v="Confirmed"/>
    <x v="1"/>
    <x v="29"/>
    <x v="1"/>
    <x v="3"/>
    <x v="1"/>
  </r>
  <r>
    <s v="T001227"/>
    <d v="2026-05-11T00:00:00"/>
    <x v="2"/>
    <x v="2"/>
    <x v="0"/>
    <x v="0"/>
    <s v="India"/>
    <x v="4"/>
    <x v="0"/>
    <s v="C01227"/>
    <n v="69"/>
    <s v="Male"/>
    <x v="3"/>
    <x v="1"/>
    <x v="2"/>
    <s v="No Meals"/>
    <n v="40634.339999999997"/>
    <n v="818.19"/>
    <x v="2"/>
    <s v="Cancelled"/>
    <x v="2"/>
    <x v="1"/>
    <x v="1"/>
    <x v="2"/>
    <x v="1"/>
  </r>
  <r>
    <s v="T001228"/>
    <d v="2026-05-12T00:00:00"/>
    <x v="4"/>
    <x v="3"/>
    <x v="1"/>
    <x v="1"/>
    <s v="India"/>
    <x v="1"/>
    <x v="6"/>
    <s v="C01228"/>
    <n v="33"/>
    <s v="Male"/>
    <x v="5"/>
    <x v="0"/>
    <x v="0"/>
    <s v="Half Board"/>
    <n v="26072.19"/>
    <n v="3884.31"/>
    <x v="3"/>
    <s v="Cancelled"/>
    <x v="2"/>
    <x v="30"/>
    <x v="0"/>
    <x v="1"/>
    <x v="0"/>
  </r>
  <r>
    <s v="T001229"/>
    <d v="2026-05-13T00:00:00"/>
    <x v="2"/>
    <x v="2"/>
    <x v="2"/>
    <x v="0"/>
    <s v="India"/>
    <x v="2"/>
    <x v="8"/>
    <s v="C01229"/>
    <n v="57"/>
    <s v="Male"/>
    <x v="1"/>
    <x v="0"/>
    <x v="2"/>
    <s v="No Meals"/>
    <n v="35609.58"/>
    <n v="4303.6000000000004"/>
    <x v="1"/>
    <s v="Cancelled"/>
    <x v="0"/>
    <x v="27"/>
    <x v="0"/>
    <x v="0"/>
    <x v="1"/>
  </r>
  <r>
    <s v="T001230"/>
    <d v="2026-05-14T00:00:00"/>
    <x v="1"/>
    <x v="1"/>
    <x v="0"/>
    <x v="0"/>
    <s v="India"/>
    <x v="0"/>
    <x v="0"/>
    <s v="C01230"/>
    <n v="53"/>
    <s v="Other"/>
    <x v="6"/>
    <x v="1"/>
    <x v="1"/>
    <s v="Full Board"/>
    <n v="32964.32"/>
    <n v="4446.13"/>
    <x v="2"/>
    <s v="Pending"/>
    <x v="0"/>
    <x v="37"/>
    <x v="3"/>
    <x v="1"/>
    <x v="1"/>
  </r>
  <r>
    <s v="T001231"/>
    <d v="2026-05-15T00:00:00"/>
    <x v="2"/>
    <x v="2"/>
    <x v="3"/>
    <x v="1"/>
    <s v="India"/>
    <x v="5"/>
    <x v="0"/>
    <s v="C01231"/>
    <n v="37"/>
    <s v="Male"/>
    <x v="4"/>
    <x v="0"/>
    <x v="0"/>
    <s v="No Meals"/>
    <n v="36604.15"/>
    <n v="1520.37"/>
    <x v="2"/>
    <s v="Pending"/>
    <x v="3"/>
    <x v="35"/>
    <x v="3"/>
    <x v="2"/>
    <x v="0"/>
  </r>
  <r>
    <s v="T001232"/>
    <d v="2026-05-16T00:00:00"/>
    <x v="3"/>
    <x v="1"/>
    <x v="0"/>
    <x v="0"/>
    <s v="India"/>
    <x v="4"/>
    <x v="1"/>
    <s v="C01232"/>
    <n v="41"/>
    <s v="Male"/>
    <x v="5"/>
    <x v="1"/>
    <x v="2"/>
    <s v="Full Board"/>
    <n v="40334.71"/>
    <n v="3303.68"/>
    <x v="3"/>
    <s v="Pending"/>
    <x v="2"/>
    <x v="27"/>
    <x v="0"/>
    <x v="3"/>
    <x v="1"/>
  </r>
  <r>
    <s v="T001233"/>
    <d v="2026-05-17T00:00:00"/>
    <x v="4"/>
    <x v="3"/>
    <x v="4"/>
    <x v="1"/>
    <s v="India"/>
    <x v="6"/>
    <x v="5"/>
    <s v="C01233"/>
    <n v="64"/>
    <s v="Female"/>
    <x v="0"/>
    <x v="1"/>
    <x v="0"/>
    <s v="Full Board"/>
    <n v="28072.11"/>
    <n v="1395.21"/>
    <x v="3"/>
    <s v="Confirmed"/>
    <x v="1"/>
    <x v="30"/>
    <x v="0"/>
    <x v="2"/>
    <x v="1"/>
  </r>
  <r>
    <s v="T001234"/>
    <d v="2026-05-18T00:00:00"/>
    <x v="3"/>
    <x v="1"/>
    <x v="2"/>
    <x v="0"/>
    <s v="India"/>
    <x v="2"/>
    <x v="7"/>
    <s v="C01234"/>
    <n v="22"/>
    <s v="Male"/>
    <x v="1"/>
    <x v="0"/>
    <x v="0"/>
    <s v="No Meals"/>
    <n v="41587.97"/>
    <n v="3813.78"/>
    <x v="0"/>
    <s v="Cancelled"/>
    <x v="1"/>
    <x v="1"/>
    <x v="1"/>
    <x v="0"/>
    <x v="1"/>
  </r>
  <r>
    <s v="T001235"/>
    <d v="2026-05-19T00:00:00"/>
    <x v="3"/>
    <x v="1"/>
    <x v="1"/>
    <x v="1"/>
    <s v="India"/>
    <x v="1"/>
    <x v="10"/>
    <s v="C01235"/>
    <n v="62"/>
    <s v="Female"/>
    <x v="4"/>
    <x v="2"/>
    <x v="3"/>
    <s v="Half Board"/>
    <n v="27376.58"/>
    <n v="602.63"/>
    <x v="0"/>
    <s v="Pending"/>
    <x v="2"/>
    <x v="2"/>
    <x v="3"/>
    <x v="1"/>
    <x v="0"/>
  </r>
  <r>
    <s v="T001236"/>
    <d v="2026-05-20T00:00:00"/>
    <x v="1"/>
    <x v="1"/>
    <x v="4"/>
    <x v="1"/>
    <s v="India"/>
    <x v="6"/>
    <x v="3"/>
    <s v="C01236"/>
    <n v="23"/>
    <s v="Female"/>
    <x v="4"/>
    <x v="2"/>
    <x v="2"/>
    <s v="Breakfast Only"/>
    <n v="48048.54"/>
    <n v="3813.82"/>
    <x v="0"/>
    <s v="Cancelled"/>
    <x v="2"/>
    <x v="38"/>
    <x v="0"/>
    <x v="4"/>
    <x v="0"/>
  </r>
  <r>
    <s v="T001237"/>
    <d v="2026-05-21T00:00:00"/>
    <x v="4"/>
    <x v="3"/>
    <x v="4"/>
    <x v="1"/>
    <s v="India"/>
    <x v="6"/>
    <x v="0"/>
    <s v="C01237"/>
    <n v="45"/>
    <s v="Female"/>
    <x v="5"/>
    <x v="3"/>
    <x v="1"/>
    <s v="Half Board"/>
    <n v="38870.230000000003"/>
    <n v="2198.64"/>
    <x v="2"/>
    <s v="Confirmed"/>
    <x v="3"/>
    <x v="34"/>
    <x v="1"/>
    <x v="2"/>
    <x v="1"/>
  </r>
  <r>
    <s v="T001238"/>
    <d v="2026-05-22T00:00:00"/>
    <x v="4"/>
    <x v="3"/>
    <x v="2"/>
    <x v="0"/>
    <s v="India"/>
    <x v="2"/>
    <x v="10"/>
    <s v="C01238"/>
    <n v="22"/>
    <s v="Other"/>
    <x v="0"/>
    <x v="0"/>
    <x v="2"/>
    <s v="Breakfast Only"/>
    <n v="12701.37"/>
    <n v="4277.75"/>
    <x v="3"/>
    <s v="Cancelled"/>
    <x v="3"/>
    <x v="34"/>
    <x v="1"/>
    <x v="3"/>
    <x v="0"/>
  </r>
  <r>
    <s v="T001239"/>
    <d v="2026-05-23T00:00:00"/>
    <x v="4"/>
    <x v="3"/>
    <x v="1"/>
    <x v="1"/>
    <s v="India"/>
    <x v="1"/>
    <x v="4"/>
    <s v="C01239"/>
    <n v="66"/>
    <s v="Female"/>
    <x v="0"/>
    <x v="3"/>
    <x v="2"/>
    <s v="Half Board"/>
    <n v="42331.3"/>
    <n v="3694.65"/>
    <x v="0"/>
    <s v="Confirmed"/>
    <x v="3"/>
    <x v="27"/>
    <x v="0"/>
    <x v="3"/>
    <x v="0"/>
  </r>
  <r>
    <s v="T001240"/>
    <d v="2026-05-24T00:00:00"/>
    <x v="4"/>
    <x v="3"/>
    <x v="3"/>
    <x v="1"/>
    <s v="India"/>
    <x v="5"/>
    <x v="0"/>
    <s v="C01240"/>
    <n v="56"/>
    <s v="Male"/>
    <x v="3"/>
    <x v="1"/>
    <x v="2"/>
    <s v="Full Board"/>
    <n v="29821.439999999999"/>
    <n v="1882.6"/>
    <x v="2"/>
    <s v="Pending"/>
    <x v="1"/>
    <x v="40"/>
    <x v="3"/>
    <x v="1"/>
    <x v="0"/>
  </r>
  <r>
    <s v="T001241"/>
    <d v="2026-05-25T00:00:00"/>
    <x v="4"/>
    <x v="3"/>
    <x v="1"/>
    <x v="1"/>
    <s v="India"/>
    <x v="1"/>
    <x v="2"/>
    <s v="C01241"/>
    <n v="55"/>
    <s v="Male"/>
    <x v="6"/>
    <x v="2"/>
    <x v="3"/>
    <s v="Full Board"/>
    <n v="49300.74"/>
    <n v="4517.7"/>
    <x v="0"/>
    <s v="Confirmed"/>
    <x v="0"/>
    <x v="17"/>
    <x v="1"/>
    <x v="4"/>
    <x v="0"/>
  </r>
  <r>
    <s v="T001242"/>
    <d v="2026-05-26T00:00:00"/>
    <x v="1"/>
    <x v="1"/>
    <x v="0"/>
    <x v="0"/>
    <s v="India"/>
    <x v="0"/>
    <x v="2"/>
    <s v="C01242"/>
    <n v="19"/>
    <s v="Female"/>
    <x v="5"/>
    <x v="0"/>
    <x v="0"/>
    <s v="No Meals"/>
    <n v="37346.86"/>
    <n v="1416.69"/>
    <x v="1"/>
    <s v="Confirmed"/>
    <x v="3"/>
    <x v="0"/>
    <x v="0"/>
    <x v="0"/>
    <x v="0"/>
  </r>
  <r>
    <s v="T001243"/>
    <d v="2026-05-27T00:00:00"/>
    <x v="2"/>
    <x v="2"/>
    <x v="4"/>
    <x v="1"/>
    <s v="India"/>
    <x v="6"/>
    <x v="1"/>
    <s v="C01243"/>
    <n v="60"/>
    <s v="Female"/>
    <x v="1"/>
    <x v="0"/>
    <x v="1"/>
    <s v="Breakfast Only"/>
    <n v="8797.58"/>
    <n v="4834.9399999999996"/>
    <x v="2"/>
    <s v="Cancelled"/>
    <x v="1"/>
    <x v="14"/>
    <x v="1"/>
    <x v="4"/>
    <x v="0"/>
  </r>
  <r>
    <s v="T001244"/>
    <d v="2026-05-28T00:00:00"/>
    <x v="3"/>
    <x v="1"/>
    <x v="0"/>
    <x v="0"/>
    <s v="India"/>
    <x v="4"/>
    <x v="2"/>
    <s v="C01244"/>
    <n v="56"/>
    <s v="Male"/>
    <x v="6"/>
    <x v="0"/>
    <x v="3"/>
    <s v="Breakfast Only"/>
    <n v="22773.22"/>
    <n v="3836.02"/>
    <x v="0"/>
    <s v="Confirmed"/>
    <x v="3"/>
    <x v="33"/>
    <x v="4"/>
    <x v="1"/>
    <x v="0"/>
  </r>
  <r>
    <s v="T001245"/>
    <d v="2026-05-29T00:00:00"/>
    <x v="4"/>
    <x v="3"/>
    <x v="3"/>
    <x v="1"/>
    <s v="India"/>
    <x v="5"/>
    <x v="1"/>
    <s v="C01245"/>
    <n v="38"/>
    <s v="Female"/>
    <x v="1"/>
    <x v="2"/>
    <x v="1"/>
    <s v="No Meals"/>
    <n v="28277.39"/>
    <n v="4953.37"/>
    <x v="0"/>
    <s v="Pending"/>
    <x v="1"/>
    <x v="35"/>
    <x v="3"/>
    <x v="4"/>
    <x v="0"/>
  </r>
  <r>
    <s v="T001246"/>
    <d v="2026-05-30T00:00:00"/>
    <x v="2"/>
    <x v="2"/>
    <x v="0"/>
    <x v="0"/>
    <s v="India"/>
    <x v="4"/>
    <x v="9"/>
    <s v="C01246"/>
    <n v="57"/>
    <s v="Other"/>
    <x v="4"/>
    <x v="3"/>
    <x v="3"/>
    <s v="Half Board"/>
    <n v="42755.61"/>
    <n v="269.52"/>
    <x v="1"/>
    <s v="Pending"/>
    <x v="2"/>
    <x v="29"/>
    <x v="1"/>
    <x v="1"/>
    <x v="0"/>
  </r>
  <r>
    <s v="T001247"/>
    <d v="2026-05-31T00:00:00"/>
    <x v="2"/>
    <x v="2"/>
    <x v="1"/>
    <x v="1"/>
    <s v="India"/>
    <x v="1"/>
    <x v="11"/>
    <s v="C01247"/>
    <n v="54"/>
    <s v="Female"/>
    <x v="2"/>
    <x v="2"/>
    <x v="0"/>
    <s v="No Meals"/>
    <n v="37820.550000000003"/>
    <n v="1370.18"/>
    <x v="1"/>
    <s v="Confirmed"/>
    <x v="1"/>
    <x v="1"/>
    <x v="1"/>
    <x v="4"/>
    <x v="1"/>
  </r>
  <r>
    <s v="T001248"/>
    <d v="2026-06-01T00:00:00"/>
    <x v="3"/>
    <x v="1"/>
    <x v="0"/>
    <x v="0"/>
    <s v="India"/>
    <x v="0"/>
    <x v="8"/>
    <s v="C01248"/>
    <n v="35"/>
    <s v="Other"/>
    <x v="2"/>
    <x v="3"/>
    <x v="1"/>
    <s v="Half Board"/>
    <n v="21621.200000000001"/>
    <n v="3706.32"/>
    <x v="0"/>
    <s v="Cancelled"/>
    <x v="2"/>
    <x v="7"/>
    <x v="2"/>
    <x v="2"/>
    <x v="0"/>
  </r>
  <r>
    <s v="T001249"/>
    <d v="2026-06-02T00:00:00"/>
    <x v="1"/>
    <x v="1"/>
    <x v="3"/>
    <x v="1"/>
    <s v="India"/>
    <x v="5"/>
    <x v="7"/>
    <s v="C01249"/>
    <n v="65"/>
    <s v="Other"/>
    <x v="5"/>
    <x v="1"/>
    <x v="2"/>
    <s v="No Meals"/>
    <n v="34404.47"/>
    <n v="4611.25"/>
    <x v="0"/>
    <s v="Pending"/>
    <x v="1"/>
    <x v="1"/>
    <x v="1"/>
    <x v="3"/>
    <x v="0"/>
  </r>
  <r>
    <s v="T001250"/>
    <d v="2026-06-03T00:00:00"/>
    <x v="0"/>
    <x v="0"/>
    <x v="3"/>
    <x v="1"/>
    <s v="India"/>
    <x v="5"/>
    <x v="4"/>
    <s v="C01250"/>
    <n v="63"/>
    <s v="Other"/>
    <x v="0"/>
    <x v="1"/>
    <x v="3"/>
    <s v="Breakfast Only"/>
    <n v="30960.99"/>
    <n v="143.85"/>
    <x v="3"/>
    <s v="Pending"/>
    <x v="0"/>
    <x v="22"/>
    <x v="4"/>
    <x v="1"/>
    <x v="1"/>
  </r>
  <r>
    <s v="T001251"/>
    <d v="2026-06-04T00:00:00"/>
    <x v="0"/>
    <x v="0"/>
    <x v="3"/>
    <x v="1"/>
    <s v="India"/>
    <x v="5"/>
    <x v="8"/>
    <s v="C01251"/>
    <n v="29"/>
    <s v="Female"/>
    <x v="0"/>
    <x v="3"/>
    <x v="1"/>
    <s v="Breakfast Only"/>
    <n v="10672.37"/>
    <n v="0.05"/>
    <x v="0"/>
    <s v="Confirmed"/>
    <x v="1"/>
    <x v="24"/>
    <x v="0"/>
    <x v="1"/>
    <x v="1"/>
  </r>
  <r>
    <s v="T001252"/>
    <d v="2026-06-05T00:00:00"/>
    <x v="2"/>
    <x v="2"/>
    <x v="1"/>
    <x v="1"/>
    <s v="India"/>
    <x v="1"/>
    <x v="2"/>
    <s v="C01252"/>
    <n v="34"/>
    <s v="Other"/>
    <x v="4"/>
    <x v="1"/>
    <x v="0"/>
    <s v="Half Board"/>
    <n v="15568.64"/>
    <n v="1281.21"/>
    <x v="0"/>
    <s v="Confirmed"/>
    <x v="2"/>
    <x v="23"/>
    <x v="1"/>
    <x v="3"/>
    <x v="1"/>
  </r>
  <r>
    <s v="T001253"/>
    <d v="2026-06-06T00:00:00"/>
    <x v="3"/>
    <x v="1"/>
    <x v="3"/>
    <x v="1"/>
    <s v="India"/>
    <x v="5"/>
    <x v="8"/>
    <s v="C01253"/>
    <n v="54"/>
    <s v="Other"/>
    <x v="4"/>
    <x v="1"/>
    <x v="1"/>
    <s v="Breakfast Only"/>
    <n v="20350.5"/>
    <n v="4263.8900000000003"/>
    <x v="3"/>
    <s v="Pending"/>
    <x v="0"/>
    <x v="35"/>
    <x v="2"/>
    <x v="0"/>
    <x v="1"/>
  </r>
  <r>
    <s v="T001254"/>
    <d v="2026-06-07T00:00:00"/>
    <x v="0"/>
    <x v="0"/>
    <x v="4"/>
    <x v="1"/>
    <s v="India"/>
    <x v="6"/>
    <x v="9"/>
    <s v="C01254"/>
    <n v="63"/>
    <s v="Female"/>
    <x v="1"/>
    <x v="0"/>
    <x v="3"/>
    <s v="Breakfast Only"/>
    <n v="13796.75"/>
    <n v="3835.77"/>
    <x v="3"/>
    <s v="Confirmed"/>
    <x v="1"/>
    <x v="15"/>
    <x v="0"/>
    <x v="1"/>
    <x v="0"/>
  </r>
  <r>
    <s v="T001255"/>
    <d v="2026-06-08T00:00:00"/>
    <x v="2"/>
    <x v="2"/>
    <x v="3"/>
    <x v="1"/>
    <s v="India"/>
    <x v="5"/>
    <x v="1"/>
    <s v="C01255"/>
    <n v="55"/>
    <s v="Other"/>
    <x v="4"/>
    <x v="0"/>
    <x v="0"/>
    <s v="Breakfast Only"/>
    <n v="11756.02"/>
    <n v="1701.39"/>
    <x v="0"/>
    <s v="Confirmed"/>
    <x v="1"/>
    <x v="22"/>
    <x v="4"/>
    <x v="2"/>
    <x v="0"/>
  </r>
  <r>
    <s v="T001256"/>
    <d v="2026-06-09T00:00:00"/>
    <x v="1"/>
    <x v="1"/>
    <x v="0"/>
    <x v="0"/>
    <s v="India"/>
    <x v="0"/>
    <x v="5"/>
    <s v="C01256"/>
    <n v="32"/>
    <s v="Female"/>
    <x v="5"/>
    <x v="2"/>
    <x v="2"/>
    <s v="Breakfast Only"/>
    <n v="7618.9"/>
    <n v="10.06"/>
    <x v="3"/>
    <s v="Pending"/>
    <x v="3"/>
    <x v="19"/>
    <x v="3"/>
    <x v="4"/>
    <x v="0"/>
  </r>
  <r>
    <s v="T001257"/>
    <d v="2026-06-10T00:00:00"/>
    <x v="0"/>
    <x v="0"/>
    <x v="0"/>
    <x v="0"/>
    <s v="India"/>
    <x v="4"/>
    <x v="10"/>
    <s v="C01257"/>
    <n v="24"/>
    <s v="Male"/>
    <x v="1"/>
    <x v="2"/>
    <x v="3"/>
    <s v="Full Board"/>
    <n v="44289.62"/>
    <n v="2773.53"/>
    <x v="2"/>
    <s v="Cancelled"/>
    <x v="0"/>
    <x v="30"/>
    <x v="0"/>
    <x v="2"/>
    <x v="1"/>
  </r>
  <r>
    <s v="T001258"/>
    <d v="2026-06-11T00:00:00"/>
    <x v="2"/>
    <x v="2"/>
    <x v="0"/>
    <x v="0"/>
    <s v="India"/>
    <x v="0"/>
    <x v="3"/>
    <s v="C01258"/>
    <n v="31"/>
    <s v="Other"/>
    <x v="6"/>
    <x v="2"/>
    <x v="3"/>
    <s v="No Meals"/>
    <n v="18002.45"/>
    <n v="1189.78"/>
    <x v="1"/>
    <s v="Cancelled"/>
    <x v="2"/>
    <x v="2"/>
    <x v="3"/>
    <x v="1"/>
    <x v="0"/>
  </r>
  <r>
    <s v="T001259"/>
    <d v="2026-06-12T00:00:00"/>
    <x v="2"/>
    <x v="2"/>
    <x v="1"/>
    <x v="1"/>
    <s v="India"/>
    <x v="1"/>
    <x v="5"/>
    <s v="C01259"/>
    <n v="67"/>
    <s v="Female"/>
    <x v="0"/>
    <x v="0"/>
    <x v="0"/>
    <s v="No Meals"/>
    <n v="18064.43"/>
    <n v="3728.04"/>
    <x v="2"/>
    <s v="Pending"/>
    <x v="0"/>
    <x v="25"/>
    <x v="3"/>
    <x v="0"/>
    <x v="0"/>
  </r>
  <r>
    <s v="T001260"/>
    <d v="2026-06-13T00:00:00"/>
    <x v="4"/>
    <x v="3"/>
    <x v="0"/>
    <x v="0"/>
    <s v="India"/>
    <x v="0"/>
    <x v="5"/>
    <s v="C01260"/>
    <n v="18"/>
    <s v="Male"/>
    <x v="0"/>
    <x v="2"/>
    <x v="3"/>
    <s v="Full Board"/>
    <n v="14280.27"/>
    <n v="2231.75"/>
    <x v="1"/>
    <s v="Confirmed"/>
    <x v="2"/>
    <x v="21"/>
    <x v="0"/>
    <x v="1"/>
    <x v="1"/>
  </r>
  <r>
    <s v="T001261"/>
    <d v="2026-06-14T00:00:00"/>
    <x v="1"/>
    <x v="1"/>
    <x v="1"/>
    <x v="1"/>
    <s v="India"/>
    <x v="1"/>
    <x v="11"/>
    <s v="C01261"/>
    <n v="55"/>
    <s v="Other"/>
    <x v="2"/>
    <x v="2"/>
    <x v="1"/>
    <s v="Breakfast Only"/>
    <n v="26392.880000000001"/>
    <n v="3393.01"/>
    <x v="1"/>
    <s v="Pending"/>
    <x v="3"/>
    <x v="24"/>
    <x v="0"/>
    <x v="0"/>
    <x v="1"/>
  </r>
  <r>
    <s v="T001262"/>
    <d v="2026-06-15T00:00:00"/>
    <x v="4"/>
    <x v="3"/>
    <x v="1"/>
    <x v="1"/>
    <s v="India"/>
    <x v="1"/>
    <x v="11"/>
    <s v="C01262"/>
    <n v="20"/>
    <s v="Other"/>
    <x v="2"/>
    <x v="0"/>
    <x v="2"/>
    <s v="No Meals"/>
    <n v="28140.89"/>
    <n v="4261.54"/>
    <x v="0"/>
    <s v="Pending"/>
    <x v="3"/>
    <x v="1"/>
    <x v="1"/>
    <x v="3"/>
    <x v="1"/>
  </r>
  <r>
    <s v="T001263"/>
    <d v="2026-06-16T00:00:00"/>
    <x v="3"/>
    <x v="1"/>
    <x v="3"/>
    <x v="1"/>
    <s v="India"/>
    <x v="5"/>
    <x v="5"/>
    <s v="C01263"/>
    <n v="54"/>
    <s v="Female"/>
    <x v="5"/>
    <x v="3"/>
    <x v="1"/>
    <s v="No Meals"/>
    <n v="14372.66"/>
    <n v="2678.8"/>
    <x v="1"/>
    <s v="Confirmed"/>
    <x v="2"/>
    <x v="20"/>
    <x v="0"/>
    <x v="4"/>
    <x v="1"/>
  </r>
  <r>
    <s v="T001264"/>
    <d v="2026-06-17T00:00:00"/>
    <x v="4"/>
    <x v="3"/>
    <x v="4"/>
    <x v="1"/>
    <s v="India"/>
    <x v="6"/>
    <x v="1"/>
    <s v="C01264"/>
    <n v="61"/>
    <s v="Male"/>
    <x v="0"/>
    <x v="0"/>
    <x v="0"/>
    <s v="No Meals"/>
    <n v="32385.67"/>
    <n v="1679.78"/>
    <x v="2"/>
    <s v="Cancelled"/>
    <x v="2"/>
    <x v="7"/>
    <x v="3"/>
    <x v="2"/>
    <x v="1"/>
  </r>
  <r>
    <s v="T001265"/>
    <d v="2026-06-18T00:00:00"/>
    <x v="4"/>
    <x v="3"/>
    <x v="3"/>
    <x v="1"/>
    <s v="India"/>
    <x v="5"/>
    <x v="8"/>
    <s v="C01265"/>
    <n v="48"/>
    <s v="Female"/>
    <x v="5"/>
    <x v="3"/>
    <x v="3"/>
    <s v="Half Board"/>
    <n v="37535"/>
    <n v="3847.72"/>
    <x v="0"/>
    <s v="Cancelled"/>
    <x v="2"/>
    <x v="39"/>
    <x v="0"/>
    <x v="0"/>
    <x v="0"/>
  </r>
  <r>
    <s v="T001266"/>
    <d v="2026-06-19T00:00:00"/>
    <x v="0"/>
    <x v="0"/>
    <x v="3"/>
    <x v="1"/>
    <s v="India"/>
    <x v="5"/>
    <x v="10"/>
    <s v="C01266"/>
    <n v="60"/>
    <s v="Other"/>
    <x v="6"/>
    <x v="0"/>
    <x v="2"/>
    <s v="Full Board"/>
    <n v="21822.799999999999"/>
    <n v="1325.94"/>
    <x v="3"/>
    <s v="Confirmed"/>
    <x v="3"/>
    <x v="24"/>
    <x v="0"/>
    <x v="2"/>
    <x v="1"/>
  </r>
  <r>
    <s v="T001267"/>
    <d v="2026-06-20T00:00:00"/>
    <x v="2"/>
    <x v="2"/>
    <x v="1"/>
    <x v="1"/>
    <s v="India"/>
    <x v="1"/>
    <x v="8"/>
    <s v="C01267"/>
    <n v="30"/>
    <s v="Other"/>
    <x v="6"/>
    <x v="2"/>
    <x v="0"/>
    <s v="Half Board"/>
    <n v="31345.33"/>
    <n v="4457.59"/>
    <x v="2"/>
    <s v="Pending"/>
    <x v="0"/>
    <x v="19"/>
    <x v="3"/>
    <x v="3"/>
    <x v="1"/>
  </r>
  <r>
    <s v="T001268"/>
    <d v="2026-06-21T00:00:00"/>
    <x v="1"/>
    <x v="1"/>
    <x v="1"/>
    <x v="1"/>
    <s v="India"/>
    <x v="1"/>
    <x v="8"/>
    <s v="C01268"/>
    <n v="65"/>
    <s v="Other"/>
    <x v="3"/>
    <x v="1"/>
    <x v="1"/>
    <s v="Half Board"/>
    <n v="27603.59"/>
    <n v="357.14"/>
    <x v="0"/>
    <s v="Confirmed"/>
    <x v="3"/>
    <x v="17"/>
    <x v="1"/>
    <x v="1"/>
    <x v="0"/>
  </r>
  <r>
    <s v="T001269"/>
    <d v="2026-06-22T00:00:00"/>
    <x v="4"/>
    <x v="3"/>
    <x v="0"/>
    <x v="0"/>
    <s v="India"/>
    <x v="4"/>
    <x v="8"/>
    <s v="C01269"/>
    <n v="35"/>
    <s v="Other"/>
    <x v="1"/>
    <x v="1"/>
    <x v="3"/>
    <s v="Full Board"/>
    <n v="13799.68"/>
    <n v="4177.34"/>
    <x v="1"/>
    <s v="Pending"/>
    <x v="1"/>
    <x v="15"/>
    <x v="0"/>
    <x v="0"/>
    <x v="0"/>
  </r>
  <r>
    <s v="T001270"/>
    <d v="2026-06-23T00:00:00"/>
    <x v="1"/>
    <x v="1"/>
    <x v="0"/>
    <x v="0"/>
    <s v="India"/>
    <x v="0"/>
    <x v="10"/>
    <s v="C01270"/>
    <n v="34"/>
    <s v="Male"/>
    <x v="2"/>
    <x v="3"/>
    <x v="3"/>
    <s v="No Meals"/>
    <n v="37850.49"/>
    <n v="457.78"/>
    <x v="2"/>
    <s v="Confirmed"/>
    <x v="3"/>
    <x v="32"/>
    <x v="4"/>
    <x v="4"/>
    <x v="0"/>
  </r>
  <r>
    <s v="T001271"/>
    <d v="2026-06-24T00:00:00"/>
    <x v="4"/>
    <x v="3"/>
    <x v="3"/>
    <x v="1"/>
    <s v="India"/>
    <x v="5"/>
    <x v="10"/>
    <s v="C01271"/>
    <n v="34"/>
    <s v="Male"/>
    <x v="1"/>
    <x v="3"/>
    <x v="0"/>
    <s v="Half Board"/>
    <n v="41065.39"/>
    <n v="280.68"/>
    <x v="1"/>
    <s v="Confirmed"/>
    <x v="1"/>
    <x v="38"/>
    <x v="0"/>
    <x v="0"/>
    <x v="1"/>
  </r>
  <r>
    <s v="T001272"/>
    <d v="2026-06-25T00:00:00"/>
    <x v="3"/>
    <x v="1"/>
    <x v="2"/>
    <x v="0"/>
    <s v="India"/>
    <x v="2"/>
    <x v="9"/>
    <s v="C01272"/>
    <n v="28"/>
    <s v="Female"/>
    <x v="2"/>
    <x v="3"/>
    <x v="1"/>
    <s v="No Meals"/>
    <n v="34195.69"/>
    <n v="1816.28"/>
    <x v="0"/>
    <s v="Cancelled"/>
    <x v="1"/>
    <x v="24"/>
    <x v="0"/>
    <x v="1"/>
    <x v="1"/>
  </r>
  <r>
    <s v="T001273"/>
    <d v="2026-06-26T00:00:00"/>
    <x v="4"/>
    <x v="3"/>
    <x v="2"/>
    <x v="0"/>
    <s v="India"/>
    <x v="2"/>
    <x v="7"/>
    <s v="C01273"/>
    <n v="37"/>
    <s v="Female"/>
    <x v="3"/>
    <x v="1"/>
    <x v="3"/>
    <s v="Half Board"/>
    <n v="19575.32"/>
    <n v="4782.75"/>
    <x v="0"/>
    <s v="Cancelled"/>
    <x v="3"/>
    <x v="26"/>
    <x v="2"/>
    <x v="1"/>
    <x v="0"/>
  </r>
  <r>
    <s v="T001274"/>
    <d v="2026-06-27T00:00:00"/>
    <x v="0"/>
    <x v="0"/>
    <x v="0"/>
    <x v="0"/>
    <s v="India"/>
    <x v="4"/>
    <x v="6"/>
    <s v="C01274"/>
    <n v="27"/>
    <s v="Female"/>
    <x v="0"/>
    <x v="3"/>
    <x v="1"/>
    <s v="No Meals"/>
    <n v="46705.66"/>
    <n v="4917.43"/>
    <x v="3"/>
    <s v="Confirmed"/>
    <x v="3"/>
    <x v="37"/>
    <x v="3"/>
    <x v="4"/>
    <x v="0"/>
  </r>
  <r>
    <s v="T001275"/>
    <d v="2026-06-28T00:00:00"/>
    <x v="2"/>
    <x v="2"/>
    <x v="2"/>
    <x v="0"/>
    <s v="India"/>
    <x v="2"/>
    <x v="6"/>
    <s v="C01275"/>
    <n v="46"/>
    <s v="Other"/>
    <x v="5"/>
    <x v="0"/>
    <x v="2"/>
    <s v="Breakfast Only"/>
    <n v="25491.13"/>
    <n v="1010.35"/>
    <x v="3"/>
    <s v="Confirmed"/>
    <x v="3"/>
    <x v="21"/>
    <x v="2"/>
    <x v="4"/>
    <x v="1"/>
  </r>
  <r>
    <s v="T001276"/>
    <d v="2026-06-29T00:00:00"/>
    <x v="3"/>
    <x v="1"/>
    <x v="0"/>
    <x v="0"/>
    <s v="India"/>
    <x v="0"/>
    <x v="6"/>
    <s v="C01276"/>
    <n v="65"/>
    <s v="Female"/>
    <x v="1"/>
    <x v="0"/>
    <x v="3"/>
    <s v="Breakfast Only"/>
    <n v="16964.53"/>
    <n v="743.19"/>
    <x v="2"/>
    <s v="Cancelled"/>
    <x v="0"/>
    <x v="31"/>
    <x v="1"/>
    <x v="3"/>
    <x v="0"/>
  </r>
  <r>
    <s v="T001277"/>
    <d v="2026-06-30T00:00:00"/>
    <x v="4"/>
    <x v="3"/>
    <x v="1"/>
    <x v="1"/>
    <s v="India"/>
    <x v="1"/>
    <x v="5"/>
    <s v="C01277"/>
    <n v="51"/>
    <s v="Male"/>
    <x v="2"/>
    <x v="1"/>
    <x v="2"/>
    <s v="Breakfast Only"/>
    <n v="23370.560000000001"/>
    <n v="1764.77"/>
    <x v="3"/>
    <s v="Pending"/>
    <x v="3"/>
    <x v="23"/>
    <x v="1"/>
    <x v="2"/>
    <x v="0"/>
  </r>
  <r>
    <s v="T001278"/>
    <d v="2026-07-01T00:00:00"/>
    <x v="1"/>
    <x v="1"/>
    <x v="3"/>
    <x v="1"/>
    <s v="India"/>
    <x v="5"/>
    <x v="0"/>
    <s v="C01278"/>
    <n v="34"/>
    <s v="Female"/>
    <x v="1"/>
    <x v="0"/>
    <x v="3"/>
    <s v="Full Board"/>
    <n v="36143.379999999997"/>
    <n v="1685.43"/>
    <x v="1"/>
    <s v="Cancelled"/>
    <x v="2"/>
    <x v="37"/>
    <x v="3"/>
    <x v="0"/>
    <x v="0"/>
  </r>
  <r>
    <s v="T001279"/>
    <d v="2026-07-02T00:00:00"/>
    <x v="3"/>
    <x v="1"/>
    <x v="4"/>
    <x v="1"/>
    <s v="India"/>
    <x v="6"/>
    <x v="9"/>
    <s v="C01279"/>
    <n v="69"/>
    <s v="Female"/>
    <x v="0"/>
    <x v="3"/>
    <x v="0"/>
    <s v="Breakfast Only"/>
    <n v="43066.93"/>
    <n v="3797.96"/>
    <x v="1"/>
    <s v="Pending"/>
    <x v="3"/>
    <x v="38"/>
    <x v="0"/>
    <x v="3"/>
    <x v="0"/>
  </r>
  <r>
    <s v="T001280"/>
    <d v="2026-07-03T00:00:00"/>
    <x v="3"/>
    <x v="1"/>
    <x v="3"/>
    <x v="1"/>
    <s v="India"/>
    <x v="5"/>
    <x v="9"/>
    <s v="C01280"/>
    <n v="59"/>
    <s v="Male"/>
    <x v="5"/>
    <x v="1"/>
    <x v="3"/>
    <s v="Half Board"/>
    <n v="21045.9"/>
    <n v="2220"/>
    <x v="3"/>
    <s v="Cancelled"/>
    <x v="1"/>
    <x v="6"/>
    <x v="3"/>
    <x v="2"/>
    <x v="1"/>
  </r>
  <r>
    <s v="T001281"/>
    <d v="2026-07-04T00:00:00"/>
    <x v="4"/>
    <x v="3"/>
    <x v="0"/>
    <x v="0"/>
    <s v="India"/>
    <x v="4"/>
    <x v="3"/>
    <s v="C01281"/>
    <n v="30"/>
    <s v="Male"/>
    <x v="4"/>
    <x v="3"/>
    <x v="3"/>
    <s v="No Meals"/>
    <n v="15468.1"/>
    <n v="3899.42"/>
    <x v="3"/>
    <s v="Cancelled"/>
    <x v="0"/>
    <x v="28"/>
    <x v="2"/>
    <x v="3"/>
    <x v="1"/>
  </r>
  <r>
    <s v="T001282"/>
    <d v="2026-07-05T00:00:00"/>
    <x v="3"/>
    <x v="1"/>
    <x v="0"/>
    <x v="0"/>
    <s v="India"/>
    <x v="0"/>
    <x v="0"/>
    <s v="C01282"/>
    <n v="61"/>
    <s v="Other"/>
    <x v="2"/>
    <x v="0"/>
    <x v="1"/>
    <s v="No Meals"/>
    <n v="33192.19"/>
    <n v="3743.57"/>
    <x v="3"/>
    <s v="Pending"/>
    <x v="0"/>
    <x v="8"/>
    <x v="0"/>
    <x v="4"/>
    <x v="1"/>
  </r>
  <r>
    <s v="T001283"/>
    <d v="2026-07-06T00:00:00"/>
    <x v="1"/>
    <x v="1"/>
    <x v="3"/>
    <x v="1"/>
    <s v="India"/>
    <x v="5"/>
    <x v="11"/>
    <s v="C01283"/>
    <n v="64"/>
    <s v="Male"/>
    <x v="4"/>
    <x v="3"/>
    <x v="1"/>
    <s v="No Meals"/>
    <n v="46454.68"/>
    <n v="2891.55"/>
    <x v="2"/>
    <s v="Confirmed"/>
    <x v="1"/>
    <x v="16"/>
    <x v="4"/>
    <x v="4"/>
    <x v="0"/>
  </r>
  <r>
    <s v="T001284"/>
    <d v="2026-07-07T00:00:00"/>
    <x v="3"/>
    <x v="1"/>
    <x v="0"/>
    <x v="0"/>
    <s v="India"/>
    <x v="4"/>
    <x v="3"/>
    <s v="C01284"/>
    <n v="56"/>
    <s v="Male"/>
    <x v="3"/>
    <x v="1"/>
    <x v="2"/>
    <s v="No Meals"/>
    <n v="13248.2"/>
    <n v="4167.5600000000004"/>
    <x v="2"/>
    <s v="Cancelled"/>
    <x v="0"/>
    <x v="17"/>
    <x v="1"/>
    <x v="1"/>
    <x v="1"/>
  </r>
  <r>
    <s v="T001285"/>
    <d v="2026-07-08T00:00:00"/>
    <x v="1"/>
    <x v="1"/>
    <x v="2"/>
    <x v="0"/>
    <s v="India"/>
    <x v="3"/>
    <x v="11"/>
    <s v="C01285"/>
    <n v="44"/>
    <s v="Female"/>
    <x v="5"/>
    <x v="3"/>
    <x v="2"/>
    <s v="Half Board"/>
    <n v="41135.870000000003"/>
    <n v="978.24"/>
    <x v="1"/>
    <s v="Cancelled"/>
    <x v="0"/>
    <x v="14"/>
    <x v="1"/>
    <x v="0"/>
    <x v="1"/>
  </r>
  <r>
    <s v="T001286"/>
    <d v="2026-07-09T00:00:00"/>
    <x v="4"/>
    <x v="3"/>
    <x v="2"/>
    <x v="0"/>
    <s v="India"/>
    <x v="2"/>
    <x v="7"/>
    <s v="C01286"/>
    <n v="43"/>
    <s v="Male"/>
    <x v="6"/>
    <x v="0"/>
    <x v="2"/>
    <s v="No Meals"/>
    <n v="26447.32"/>
    <n v="809.05"/>
    <x v="2"/>
    <s v="Cancelled"/>
    <x v="2"/>
    <x v="3"/>
    <x v="3"/>
    <x v="0"/>
    <x v="0"/>
  </r>
  <r>
    <s v="T001287"/>
    <d v="2026-07-10T00:00:00"/>
    <x v="2"/>
    <x v="2"/>
    <x v="0"/>
    <x v="0"/>
    <s v="India"/>
    <x v="4"/>
    <x v="4"/>
    <s v="C01287"/>
    <n v="45"/>
    <s v="Other"/>
    <x v="1"/>
    <x v="2"/>
    <x v="3"/>
    <s v="Half Board"/>
    <n v="40978.06"/>
    <n v="3753.25"/>
    <x v="2"/>
    <s v="Confirmed"/>
    <x v="2"/>
    <x v="23"/>
    <x v="1"/>
    <x v="0"/>
    <x v="0"/>
  </r>
  <r>
    <s v="T001288"/>
    <d v="2026-07-11T00:00:00"/>
    <x v="3"/>
    <x v="1"/>
    <x v="0"/>
    <x v="0"/>
    <s v="India"/>
    <x v="4"/>
    <x v="11"/>
    <s v="C01288"/>
    <n v="30"/>
    <s v="Female"/>
    <x v="2"/>
    <x v="1"/>
    <x v="3"/>
    <s v="Half Board"/>
    <n v="27749.35"/>
    <n v="1223.99"/>
    <x v="0"/>
    <s v="Cancelled"/>
    <x v="0"/>
    <x v="28"/>
    <x v="3"/>
    <x v="3"/>
    <x v="1"/>
  </r>
  <r>
    <s v="T001289"/>
    <d v="2026-07-12T00:00:00"/>
    <x v="2"/>
    <x v="2"/>
    <x v="2"/>
    <x v="0"/>
    <s v="India"/>
    <x v="2"/>
    <x v="8"/>
    <s v="C01289"/>
    <n v="29"/>
    <s v="Other"/>
    <x v="1"/>
    <x v="3"/>
    <x v="2"/>
    <s v="No Meals"/>
    <n v="21979.75"/>
    <n v="13.97"/>
    <x v="1"/>
    <s v="Confirmed"/>
    <x v="3"/>
    <x v="36"/>
    <x v="4"/>
    <x v="3"/>
    <x v="0"/>
  </r>
  <r>
    <s v="T001290"/>
    <d v="2026-07-13T00:00:00"/>
    <x v="1"/>
    <x v="1"/>
    <x v="0"/>
    <x v="0"/>
    <s v="India"/>
    <x v="4"/>
    <x v="11"/>
    <s v="C01290"/>
    <n v="61"/>
    <s v="Male"/>
    <x v="3"/>
    <x v="1"/>
    <x v="0"/>
    <s v="No Meals"/>
    <n v="36353.35"/>
    <n v="4559.8"/>
    <x v="1"/>
    <s v="Cancelled"/>
    <x v="0"/>
    <x v="32"/>
    <x v="4"/>
    <x v="0"/>
    <x v="0"/>
  </r>
  <r>
    <s v="T001291"/>
    <d v="2026-07-14T00:00:00"/>
    <x v="3"/>
    <x v="1"/>
    <x v="0"/>
    <x v="0"/>
    <s v="India"/>
    <x v="0"/>
    <x v="2"/>
    <s v="C01291"/>
    <n v="45"/>
    <s v="Other"/>
    <x v="3"/>
    <x v="3"/>
    <x v="0"/>
    <s v="No Meals"/>
    <n v="45528.23"/>
    <n v="3114.69"/>
    <x v="3"/>
    <s v="Pending"/>
    <x v="2"/>
    <x v="15"/>
    <x v="0"/>
    <x v="1"/>
    <x v="1"/>
  </r>
  <r>
    <s v="T001292"/>
    <d v="2026-07-15T00:00:00"/>
    <x v="0"/>
    <x v="0"/>
    <x v="3"/>
    <x v="1"/>
    <s v="India"/>
    <x v="5"/>
    <x v="0"/>
    <s v="C01292"/>
    <n v="19"/>
    <s v="Other"/>
    <x v="1"/>
    <x v="2"/>
    <x v="3"/>
    <s v="Half Board"/>
    <n v="19411.330000000002"/>
    <n v="2224.69"/>
    <x v="0"/>
    <s v="Cancelled"/>
    <x v="0"/>
    <x v="16"/>
    <x v="4"/>
    <x v="2"/>
    <x v="1"/>
  </r>
  <r>
    <s v="T001293"/>
    <d v="2026-07-16T00:00:00"/>
    <x v="2"/>
    <x v="2"/>
    <x v="4"/>
    <x v="1"/>
    <s v="India"/>
    <x v="6"/>
    <x v="6"/>
    <s v="C01293"/>
    <n v="54"/>
    <s v="Male"/>
    <x v="2"/>
    <x v="0"/>
    <x v="0"/>
    <s v="Full Board"/>
    <n v="25733.67"/>
    <n v="3628.68"/>
    <x v="3"/>
    <s v="Cancelled"/>
    <x v="3"/>
    <x v="34"/>
    <x v="1"/>
    <x v="3"/>
    <x v="1"/>
  </r>
  <r>
    <s v="T001294"/>
    <d v="2026-07-17T00:00:00"/>
    <x v="3"/>
    <x v="1"/>
    <x v="2"/>
    <x v="0"/>
    <s v="India"/>
    <x v="2"/>
    <x v="6"/>
    <s v="C01294"/>
    <n v="51"/>
    <s v="Male"/>
    <x v="5"/>
    <x v="3"/>
    <x v="0"/>
    <s v="Half Board"/>
    <n v="15323.03"/>
    <n v="1666.66"/>
    <x v="2"/>
    <s v="Confirmed"/>
    <x v="3"/>
    <x v="4"/>
    <x v="0"/>
    <x v="0"/>
    <x v="0"/>
  </r>
  <r>
    <s v="T001295"/>
    <d v="2026-07-18T00:00:00"/>
    <x v="2"/>
    <x v="2"/>
    <x v="3"/>
    <x v="1"/>
    <s v="India"/>
    <x v="5"/>
    <x v="10"/>
    <s v="C01295"/>
    <n v="40"/>
    <s v="Female"/>
    <x v="0"/>
    <x v="3"/>
    <x v="2"/>
    <s v="Full Board"/>
    <n v="13253.43"/>
    <n v="4768.33"/>
    <x v="1"/>
    <s v="Confirmed"/>
    <x v="2"/>
    <x v="30"/>
    <x v="0"/>
    <x v="4"/>
    <x v="0"/>
  </r>
  <r>
    <s v="T001296"/>
    <d v="2026-07-19T00:00:00"/>
    <x v="3"/>
    <x v="1"/>
    <x v="4"/>
    <x v="1"/>
    <s v="India"/>
    <x v="6"/>
    <x v="0"/>
    <s v="C01296"/>
    <n v="69"/>
    <s v="Female"/>
    <x v="5"/>
    <x v="2"/>
    <x v="0"/>
    <s v="No Meals"/>
    <n v="40005.06"/>
    <n v="343.1"/>
    <x v="2"/>
    <s v="Confirmed"/>
    <x v="0"/>
    <x v="27"/>
    <x v="0"/>
    <x v="3"/>
    <x v="0"/>
  </r>
  <r>
    <s v="T001297"/>
    <d v="2026-07-20T00:00:00"/>
    <x v="4"/>
    <x v="3"/>
    <x v="0"/>
    <x v="0"/>
    <s v="India"/>
    <x v="0"/>
    <x v="7"/>
    <s v="C01297"/>
    <n v="62"/>
    <s v="Female"/>
    <x v="0"/>
    <x v="1"/>
    <x v="0"/>
    <s v="Half Board"/>
    <n v="14029.89"/>
    <n v="3204.74"/>
    <x v="2"/>
    <s v="Pending"/>
    <x v="2"/>
    <x v="31"/>
    <x v="1"/>
    <x v="2"/>
    <x v="0"/>
  </r>
  <r>
    <s v="T001298"/>
    <d v="2026-07-21T00:00:00"/>
    <x v="2"/>
    <x v="2"/>
    <x v="0"/>
    <x v="0"/>
    <s v="India"/>
    <x v="4"/>
    <x v="6"/>
    <s v="C01298"/>
    <n v="46"/>
    <s v="Male"/>
    <x v="6"/>
    <x v="0"/>
    <x v="3"/>
    <s v="No Meals"/>
    <n v="40699.32"/>
    <n v="3886.45"/>
    <x v="0"/>
    <s v="Pending"/>
    <x v="1"/>
    <x v="16"/>
    <x v="4"/>
    <x v="3"/>
    <x v="0"/>
  </r>
  <r>
    <s v="T001299"/>
    <d v="2026-07-22T00:00:00"/>
    <x v="0"/>
    <x v="0"/>
    <x v="3"/>
    <x v="1"/>
    <s v="India"/>
    <x v="5"/>
    <x v="9"/>
    <s v="C01299"/>
    <n v="52"/>
    <s v="Other"/>
    <x v="5"/>
    <x v="3"/>
    <x v="3"/>
    <s v="Full Board"/>
    <n v="24314.77"/>
    <n v="2345.63"/>
    <x v="0"/>
    <s v="Confirmed"/>
    <x v="2"/>
    <x v="6"/>
    <x v="3"/>
    <x v="2"/>
    <x v="0"/>
  </r>
  <r>
    <s v="T001300"/>
    <d v="2026-07-23T00:00:00"/>
    <x v="0"/>
    <x v="0"/>
    <x v="0"/>
    <x v="0"/>
    <s v="India"/>
    <x v="4"/>
    <x v="8"/>
    <s v="C01300"/>
    <n v="28"/>
    <s v="Other"/>
    <x v="1"/>
    <x v="3"/>
    <x v="3"/>
    <s v="Full Board"/>
    <n v="49777.19"/>
    <n v="3774.84"/>
    <x v="1"/>
    <s v="Pending"/>
    <x v="2"/>
    <x v="28"/>
    <x v="3"/>
    <x v="2"/>
    <x v="1"/>
  </r>
  <r>
    <s v="T001301"/>
    <d v="2026-07-24T00:00:00"/>
    <x v="1"/>
    <x v="1"/>
    <x v="1"/>
    <x v="1"/>
    <s v="India"/>
    <x v="1"/>
    <x v="4"/>
    <s v="C01301"/>
    <n v="65"/>
    <s v="Female"/>
    <x v="1"/>
    <x v="0"/>
    <x v="0"/>
    <s v="Half Board"/>
    <n v="13880.36"/>
    <n v="4634.55"/>
    <x v="1"/>
    <s v="Confirmed"/>
    <x v="2"/>
    <x v="34"/>
    <x v="1"/>
    <x v="3"/>
    <x v="1"/>
  </r>
  <r>
    <s v="T001302"/>
    <d v="2026-07-25T00:00:00"/>
    <x v="3"/>
    <x v="1"/>
    <x v="3"/>
    <x v="1"/>
    <s v="India"/>
    <x v="5"/>
    <x v="7"/>
    <s v="C01302"/>
    <n v="50"/>
    <s v="Female"/>
    <x v="2"/>
    <x v="2"/>
    <x v="2"/>
    <s v="Half Board"/>
    <n v="9184.01"/>
    <n v="3719.97"/>
    <x v="0"/>
    <s v="Pending"/>
    <x v="0"/>
    <x v="39"/>
    <x v="0"/>
    <x v="2"/>
    <x v="0"/>
  </r>
  <r>
    <s v="T001303"/>
    <d v="2026-07-26T00:00:00"/>
    <x v="2"/>
    <x v="2"/>
    <x v="4"/>
    <x v="1"/>
    <s v="India"/>
    <x v="6"/>
    <x v="9"/>
    <s v="C01303"/>
    <n v="68"/>
    <s v="Male"/>
    <x v="1"/>
    <x v="1"/>
    <x v="1"/>
    <s v="Half Board"/>
    <n v="8394.49"/>
    <n v="1546.83"/>
    <x v="0"/>
    <s v="Confirmed"/>
    <x v="1"/>
    <x v="9"/>
    <x v="4"/>
    <x v="3"/>
    <x v="1"/>
  </r>
  <r>
    <s v="T001304"/>
    <d v="2026-07-27T00:00:00"/>
    <x v="1"/>
    <x v="1"/>
    <x v="3"/>
    <x v="1"/>
    <s v="India"/>
    <x v="5"/>
    <x v="1"/>
    <s v="C01304"/>
    <n v="28"/>
    <s v="Other"/>
    <x v="2"/>
    <x v="0"/>
    <x v="3"/>
    <s v="Half Board"/>
    <n v="42593.81"/>
    <n v="2809.23"/>
    <x v="0"/>
    <s v="Confirmed"/>
    <x v="0"/>
    <x v="3"/>
    <x v="3"/>
    <x v="3"/>
    <x v="1"/>
  </r>
  <r>
    <s v="T001305"/>
    <d v="2026-07-28T00:00:00"/>
    <x v="2"/>
    <x v="2"/>
    <x v="2"/>
    <x v="0"/>
    <s v="India"/>
    <x v="3"/>
    <x v="0"/>
    <s v="C01305"/>
    <n v="26"/>
    <s v="Female"/>
    <x v="1"/>
    <x v="1"/>
    <x v="3"/>
    <s v="Breakfast Only"/>
    <n v="24699.93"/>
    <n v="4558.0200000000004"/>
    <x v="0"/>
    <s v="Pending"/>
    <x v="3"/>
    <x v="15"/>
    <x v="0"/>
    <x v="1"/>
    <x v="1"/>
  </r>
  <r>
    <s v="T001306"/>
    <d v="2026-07-29T00:00:00"/>
    <x v="3"/>
    <x v="1"/>
    <x v="3"/>
    <x v="1"/>
    <s v="India"/>
    <x v="5"/>
    <x v="2"/>
    <s v="C01306"/>
    <n v="31"/>
    <s v="Male"/>
    <x v="3"/>
    <x v="2"/>
    <x v="3"/>
    <s v="Breakfast Only"/>
    <n v="5140.6000000000004"/>
    <n v="2245.4899999999998"/>
    <x v="1"/>
    <s v="Cancelled"/>
    <x v="1"/>
    <x v="9"/>
    <x v="4"/>
    <x v="4"/>
    <x v="0"/>
  </r>
  <r>
    <s v="T001307"/>
    <d v="2026-07-30T00:00:00"/>
    <x v="0"/>
    <x v="0"/>
    <x v="0"/>
    <x v="0"/>
    <s v="India"/>
    <x v="0"/>
    <x v="7"/>
    <s v="C01307"/>
    <n v="26"/>
    <s v="Female"/>
    <x v="4"/>
    <x v="2"/>
    <x v="2"/>
    <s v="No Meals"/>
    <n v="44364.71"/>
    <n v="3408.49"/>
    <x v="1"/>
    <s v="Confirmed"/>
    <x v="2"/>
    <x v="11"/>
    <x v="0"/>
    <x v="2"/>
    <x v="1"/>
  </r>
  <r>
    <s v="T001308"/>
    <d v="2026-07-31T00:00:00"/>
    <x v="4"/>
    <x v="3"/>
    <x v="0"/>
    <x v="0"/>
    <s v="India"/>
    <x v="4"/>
    <x v="0"/>
    <s v="C01308"/>
    <n v="56"/>
    <s v="Male"/>
    <x v="1"/>
    <x v="0"/>
    <x v="1"/>
    <s v="Full Board"/>
    <n v="44461.45"/>
    <n v="2327.5700000000002"/>
    <x v="2"/>
    <s v="Confirmed"/>
    <x v="2"/>
    <x v="15"/>
    <x v="0"/>
    <x v="3"/>
    <x v="1"/>
  </r>
  <r>
    <s v="T001309"/>
    <d v="2026-08-01T00:00:00"/>
    <x v="0"/>
    <x v="0"/>
    <x v="1"/>
    <x v="1"/>
    <s v="India"/>
    <x v="1"/>
    <x v="4"/>
    <s v="C01309"/>
    <n v="65"/>
    <s v="Other"/>
    <x v="4"/>
    <x v="3"/>
    <x v="1"/>
    <s v="Full Board"/>
    <n v="41288.75"/>
    <n v="606.72"/>
    <x v="2"/>
    <s v="Cancelled"/>
    <x v="2"/>
    <x v="13"/>
    <x v="0"/>
    <x v="2"/>
    <x v="0"/>
  </r>
  <r>
    <s v="T001310"/>
    <d v="2026-08-02T00:00:00"/>
    <x v="1"/>
    <x v="1"/>
    <x v="1"/>
    <x v="1"/>
    <s v="India"/>
    <x v="1"/>
    <x v="9"/>
    <s v="C01310"/>
    <n v="20"/>
    <s v="Male"/>
    <x v="0"/>
    <x v="2"/>
    <x v="3"/>
    <s v="No Meals"/>
    <n v="16174.33"/>
    <n v="292.99"/>
    <x v="2"/>
    <s v="Confirmed"/>
    <x v="0"/>
    <x v="39"/>
    <x v="0"/>
    <x v="3"/>
    <x v="0"/>
  </r>
  <r>
    <s v="T001311"/>
    <d v="2026-08-03T00:00:00"/>
    <x v="4"/>
    <x v="3"/>
    <x v="1"/>
    <x v="1"/>
    <s v="India"/>
    <x v="1"/>
    <x v="0"/>
    <s v="C01311"/>
    <n v="46"/>
    <s v="Female"/>
    <x v="6"/>
    <x v="2"/>
    <x v="0"/>
    <s v="No Meals"/>
    <n v="21773.87"/>
    <n v="4761.37"/>
    <x v="1"/>
    <s v="Confirmed"/>
    <x v="3"/>
    <x v="2"/>
    <x v="3"/>
    <x v="3"/>
    <x v="0"/>
  </r>
  <r>
    <s v="T001312"/>
    <d v="2026-08-04T00:00:00"/>
    <x v="1"/>
    <x v="1"/>
    <x v="4"/>
    <x v="1"/>
    <s v="India"/>
    <x v="6"/>
    <x v="10"/>
    <s v="C01312"/>
    <n v="36"/>
    <s v="Female"/>
    <x v="5"/>
    <x v="0"/>
    <x v="3"/>
    <s v="No Meals"/>
    <n v="38521.68"/>
    <n v="3062.71"/>
    <x v="3"/>
    <s v="Pending"/>
    <x v="1"/>
    <x v="27"/>
    <x v="0"/>
    <x v="3"/>
    <x v="1"/>
  </r>
  <r>
    <s v="T001313"/>
    <d v="2026-08-05T00:00:00"/>
    <x v="3"/>
    <x v="1"/>
    <x v="1"/>
    <x v="1"/>
    <s v="India"/>
    <x v="1"/>
    <x v="11"/>
    <s v="C01313"/>
    <n v="53"/>
    <s v="Other"/>
    <x v="5"/>
    <x v="0"/>
    <x v="3"/>
    <s v="Breakfast Only"/>
    <n v="27020.89"/>
    <n v="519.07000000000005"/>
    <x v="2"/>
    <s v="Cancelled"/>
    <x v="1"/>
    <x v="11"/>
    <x v="2"/>
    <x v="4"/>
    <x v="1"/>
  </r>
  <r>
    <s v="T001314"/>
    <d v="2026-08-06T00:00:00"/>
    <x v="4"/>
    <x v="3"/>
    <x v="4"/>
    <x v="1"/>
    <s v="India"/>
    <x v="6"/>
    <x v="3"/>
    <s v="C01314"/>
    <n v="49"/>
    <s v="Other"/>
    <x v="0"/>
    <x v="0"/>
    <x v="0"/>
    <s v="No Meals"/>
    <n v="11922.2"/>
    <n v="4287.1899999999996"/>
    <x v="3"/>
    <s v="Confirmed"/>
    <x v="0"/>
    <x v="24"/>
    <x v="0"/>
    <x v="2"/>
    <x v="1"/>
  </r>
  <r>
    <s v="T001315"/>
    <d v="2026-08-07T00:00:00"/>
    <x v="1"/>
    <x v="1"/>
    <x v="1"/>
    <x v="1"/>
    <s v="India"/>
    <x v="1"/>
    <x v="4"/>
    <s v="C01315"/>
    <n v="24"/>
    <s v="Female"/>
    <x v="1"/>
    <x v="2"/>
    <x v="0"/>
    <s v="Full Board"/>
    <n v="15925.92"/>
    <n v="2613.4699999999998"/>
    <x v="3"/>
    <s v="Confirmed"/>
    <x v="3"/>
    <x v="10"/>
    <x v="1"/>
    <x v="4"/>
    <x v="0"/>
  </r>
  <r>
    <s v="T001316"/>
    <d v="2026-08-08T00:00:00"/>
    <x v="3"/>
    <x v="1"/>
    <x v="4"/>
    <x v="1"/>
    <s v="India"/>
    <x v="6"/>
    <x v="3"/>
    <s v="C01316"/>
    <n v="45"/>
    <s v="Female"/>
    <x v="5"/>
    <x v="1"/>
    <x v="3"/>
    <s v="No Meals"/>
    <n v="48766.53"/>
    <n v="3859.66"/>
    <x v="3"/>
    <s v="Cancelled"/>
    <x v="1"/>
    <x v="4"/>
    <x v="0"/>
    <x v="4"/>
    <x v="0"/>
  </r>
  <r>
    <s v="T001317"/>
    <d v="2026-08-09T00:00:00"/>
    <x v="0"/>
    <x v="0"/>
    <x v="3"/>
    <x v="1"/>
    <s v="India"/>
    <x v="5"/>
    <x v="5"/>
    <s v="C01317"/>
    <n v="61"/>
    <s v="Female"/>
    <x v="2"/>
    <x v="2"/>
    <x v="2"/>
    <s v="Half Board"/>
    <n v="11795.59"/>
    <n v="633.78"/>
    <x v="0"/>
    <s v="Cancelled"/>
    <x v="0"/>
    <x v="29"/>
    <x v="1"/>
    <x v="4"/>
    <x v="0"/>
  </r>
  <r>
    <s v="T001318"/>
    <d v="2026-08-10T00:00:00"/>
    <x v="3"/>
    <x v="1"/>
    <x v="3"/>
    <x v="1"/>
    <s v="India"/>
    <x v="5"/>
    <x v="11"/>
    <s v="C01318"/>
    <n v="35"/>
    <s v="Other"/>
    <x v="0"/>
    <x v="0"/>
    <x v="2"/>
    <s v="Full Board"/>
    <n v="37673.629999999997"/>
    <n v="4534.55"/>
    <x v="1"/>
    <s v="Pending"/>
    <x v="3"/>
    <x v="16"/>
    <x v="4"/>
    <x v="4"/>
    <x v="1"/>
  </r>
  <r>
    <s v="T001319"/>
    <d v="2026-08-11T00:00:00"/>
    <x v="2"/>
    <x v="2"/>
    <x v="0"/>
    <x v="0"/>
    <s v="India"/>
    <x v="4"/>
    <x v="4"/>
    <s v="C01319"/>
    <n v="22"/>
    <s v="Female"/>
    <x v="3"/>
    <x v="3"/>
    <x v="0"/>
    <s v="Full Board"/>
    <n v="26510.82"/>
    <n v="2952.68"/>
    <x v="1"/>
    <s v="Pending"/>
    <x v="3"/>
    <x v="20"/>
    <x v="0"/>
    <x v="1"/>
    <x v="1"/>
  </r>
  <r>
    <s v="T001320"/>
    <d v="2026-08-12T00:00:00"/>
    <x v="3"/>
    <x v="1"/>
    <x v="4"/>
    <x v="1"/>
    <s v="India"/>
    <x v="6"/>
    <x v="7"/>
    <s v="C01320"/>
    <n v="40"/>
    <s v="Other"/>
    <x v="4"/>
    <x v="3"/>
    <x v="3"/>
    <s v="Full Board"/>
    <n v="38687.07"/>
    <n v="3691.3"/>
    <x v="2"/>
    <s v="Pending"/>
    <x v="1"/>
    <x v="15"/>
    <x v="0"/>
    <x v="2"/>
    <x v="1"/>
  </r>
  <r>
    <s v="T001321"/>
    <d v="2026-08-13T00:00:00"/>
    <x v="3"/>
    <x v="1"/>
    <x v="2"/>
    <x v="0"/>
    <s v="India"/>
    <x v="2"/>
    <x v="10"/>
    <s v="C01321"/>
    <n v="39"/>
    <s v="Female"/>
    <x v="2"/>
    <x v="0"/>
    <x v="2"/>
    <s v="Breakfast Only"/>
    <n v="34750.1"/>
    <n v="156.9"/>
    <x v="2"/>
    <s v="Confirmed"/>
    <x v="1"/>
    <x v="24"/>
    <x v="0"/>
    <x v="2"/>
    <x v="0"/>
  </r>
  <r>
    <s v="T001322"/>
    <d v="2026-08-14T00:00:00"/>
    <x v="2"/>
    <x v="2"/>
    <x v="0"/>
    <x v="0"/>
    <s v="India"/>
    <x v="4"/>
    <x v="7"/>
    <s v="C01322"/>
    <n v="43"/>
    <s v="Male"/>
    <x v="5"/>
    <x v="3"/>
    <x v="3"/>
    <s v="Breakfast Only"/>
    <n v="24762.52"/>
    <n v="1576.52"/>
    <x v="1"/>
    <s v="Cancelled"/>
    <x v="3"/>
    <x v="0"/>
    <x v="0"/>
    <x v="3"/>
    <x v="0"/>
  </r>
  <r>
    <s v="T001323"/>
    <d v="2026-08-15T00:00:00"/>
    <x v="1"/>
    <x v="1"/>
    <x v="3"/>
    <x v="1"/>
    <s v="India"/>
    <x v="5"/>
    <x v="1"/>
    <s v="C01323"/>
    <n v="59"/>
    <s v="Male"/>
    <x v="2"/>
    <x v="2"/>
    <x v="3"/>
    <s v="Full Board"/>
    <n v="20925.990000000002"/>
    <n v="1337.23"/>
    <x v="0"/>
    <s v="Pending"/>
    <x v="1"/>
    <x v="13"/>
    <x v="0"/>
    <x v="2"/>
    <x v="1"/>
  </r>
  <r>
    <s v="T001324"/>
    <d v="2026-08-16T00:00:00"/>
    <x v="1"/>
    <x v="1"/>
    <x v="4"/>
    <x v="1"/>
    <s v="India"/>
    <x v="6"/>
    <x v="5"/>
    <s v="C01324"/>
    <n v="29"/>
    <s v="Female"/>
    <x v="1"/>
    <x v="1"/>
    <x v="3"/>
    <s v="Half Board"/>
    <n v="38946.17"/>
    <n v="4747.97"/>
    <x v="1"/>
    <s v="Cancelled"/>
    <x v="0"/>
    <x v="9"/>
    <x v="4"/>
    <x v="4"/>
    <x v="1"/>
  </r>
  <r>
    <s v="T001325"/>
    <d v="2026-08-17T00:00:00"/>
    <x v="3"/>
    <x v="1"/>
    <x v="1"/>
    <x v="1"/>
    <s v="India"/>
    <x v="1"/>
    <x v="10"/>
    <s v="C01325"/>
    <n v="57"/>
    <s v="Male"/>
    <x v="3"/>
    <x v="2"/>
    <x v="2"/>
    <s v="Full Board"/>
    <n v="19541.349999999999"/>
    <n v="926.69"/>
    <x v="3"/>
    <s v="Confirmed"/>
    <x v="3"/>
    <x v="38"/>
    <x v="0"/>
    <x v="0"/>
    <x v="1"/>
  </r>
  <r>
    <s v="T001326"/>
    <d v="2026-08-18T00:00:00"/>
    <x v="2"/>
    <x v="2"/>
    <x v="2"/>
    <x v="0"/>
    <s v="India"/>
    <x v="3"/>
    <x v="2"/>
    <s v="C01326"/>
    <n v="36"/>
    <s v="Other"/>
    <x v="4"/>
    <x v="0"/>
    <x v="1"/>
    <s v="Breakfast Only"/>
    <n v="40449.72"/>
    <n v="3535.26"/>
    <x v="1"/>
    <s v="Confirmed"/>
    <x v="1"/>
    <x v="25"/>
    <x v="3"/>
    <x v="2"/>
    <x v="0"/>
  </r>
  <r>
    <s v="T001327"/>
    <d v="2026-08-19T00:00:00"/>
    <x v="2"/>
    <x v="2"/>
    <x v="3"/>
    <x v="1"/>
    <s v="India"/>
    <x v="5"/>
    <x v="6"/>
    <s v="C01327"/>
    <n v="64"/>
    <s v="Male"/>
    <x v="3"/>
    <x v="2"/>
    <x v="3"/>
    <s v="Half Board"/>
    <n v="35592.94"/>
    <n v="213.77"/>
    <x v="0"/>
    <s v="Cancelled"/>
    <x v="1"/>
    <x v="1"/>
    <x v="1"/>
    <x v="0"/>
    <x v="1"/>
  </r>
  <r>
    <s v="T001328"/>
    <d v="2026-08-20T00:00:00"/>
    <x v="0"/>
    <x v="0"/>
    <x v="0"/>
    <x v="0"/>
    <s v="India"/>
    <x v="4"/>
    <x v="0"/>
    <s v="C01328"/>
    <n v="18"/>
    <s v="Male"/>
    <x v="0"/>
    <x v="3"/>
    <x v="2"/>
    <s v="Full Board"/>
    <n v="30995.11"/>
    <n v="988.42"/>
    <x v="1"/>
    <s v="Cancelled"/>
    <x v="0"/>
    <x v="12"/>
    <x v="1"/>
    <x v="1"/>
    <x v="0"/>
  </r>
  <r>
    <s v="T001329"/>
    <d v="2026-08-21T00:00:00"/>
    <x v="1"/>
    <x v="1"/>
    <x v="4"/>
    <x v="1"/>
    <s v="India"/>
    <x v="6"/>
    <x v="0"/>
    <s v="C01329"/>
    <n v="20"/>
    <s v="Other"/>
    <x v="1"/>
    <x v="2"/>
    <x v="1"/>
    <s v="Breakfast Only"/>
    <n v="21596.04"/>
    <n v="1692.99"/>
    <x v="1"/>
    <s v="Pending"/>
    <x v="1"/>
    <x v="6"/>
    <x v="3"/>
    <x v="3"/>
    <x v="1"/>
  </r>
  <r>
    <s v="T001330"/>
    <d v="2026-08-22T00:00:00"/>
    <x v="4"/>
    <x v="3"/>
    <x v="2"/>
    <x v="0"/>
    <s v="India"/>
    <x v="2"/>
    <x v="6"/>
    <s v="C01330"/>
    <n v="44"/>
    <s v="Male"/>
    <x v="2"/>
    <x v="1"/>
    <x v="0"/>
    <s v="Half Board"/>
    <n v="14228.66"/>
    <n v="3972.53"/>
    <x v="1"/>
    <s v="Cancelled"/>
    <x v="1"/>
    <x v="11"/>
    <x v="0"/>
    <x v="3"/>
    <x v="1"/>
  </r>
  <r>
    <s v="T001331"/>
    <d v="2026-08-23T00:00:00"/>
    <x v="1"/>
    <x v="1"/>
    <x v="4"/>
    <x v="1"/>
    <s v="India"/>
    <x v="6"/>
    <x v="8"/>
    <s v="C01331"/>
    <n v="35"/>
    <s v="Male"/>
    <x v="2"/>
    <x v="3"/>
    <x v="2"/>
    <s v="No Meals"/>
    <n v="36968.89"/>
    <n v="3949.88"/>
    <x v="3"/>
    <s v="Pending"/>
    <x v="1"/>
    <x v="26"/>
    <x v="0"/>
    <x v="3"/>
    <x v="1"/>
  </r>
  <r>
    <s v="T001332"/>
    <d v="2026-08-24T00:00:00"/>
    <x v="1"/>
    <x v="1"/>
    <x v="1"/>
    <x v="1"/>
    <s v="India"/>
    <x v="1"/>
    <x v="0"/>
    <s v="C01332"/>
    <n v="67"/>
    <s v="Female"/>
    <x v="0"/>
    <x v="1"/>
    <x v="1"/>
    <s v="No Meals"/>
    <n v="9110.7199999999993"/>
    <n v="4763.01"/>
    <x v="2"/>
    <s v="Cancelled"/>
    <x v="2"/>
    <x v="24"/>
    <x v="0"/>
    <x v="1"/>
    <x v="1"/>
  </r>
  <r>
    <s v="T001333"/>
    <d v="2026-08-25T00:00:00"/>
    <x v="0"/>
    <x v="0"/>
    <x v="0"/>
    <x v="0"/>
    <s v="India"/>
    <x v="4"/>
    <x v="9"/>
    <s v="C01333"/>
    <n v="47"/>
    <s v="Other"/>
    <x v="2"/>
    <x v="1"/>
    <x v="2"/>
    <s v="Full Board"/>
    <n v="48674.400000000001"/>
    <n v="4583.84"/>
    <x v="0"/>
    <s v="Cancelled"/>
    <x v="0"/>
    <x v="23"/>
    <x v="1"/>
    <x v="4"/>
    <x v="1"/>
  </r>
  <r>
    <s v="T001334"/>
    <d v="2026-08-26T00:00:00"/>
    <x v="4"/>
    <x v="3"/>
    <x v="4"/>
    <x v="1"/>
    <s v="India"/>
    <x v="6"/>
    <x v="5"/>
    <s v="C01334"/>
    <n v="19"/>
    <s v="Other"/>
    <x v="6"/>
    <x v="1"/>
    <x v="1"/>
    <s v="No Meals"/>
    <n v="49043.66"/>
    <n v="407.57"/>
    <x v="3"/>
    <s v="Cancelled"/>
    <x v="0"/>
    <x v="18"/>
    <x v="0"/>
    <x v="0"/>
    <x v="1"/>
  </r>
  <r>
    <s v="T001335"/>
    <d v="2026-08-27T00:00:00"/>
    <x v="0"/>
    <x v="0"/>
    <x v="3"/>
    <x v="1"/>
    <s v="India"/>
    <x v="5"/>
    <x v="9"/>
    <s v="C01335"/>
    <n v="22"/>
    <s v="Female"/>
    <x v="1"/>
    <x v="2"/>
    <x v="1"/>
    <s v="Breakfast Only"/>
    <n v="10860.02"/>
    <n v="4149.34"/>
    <x v="1"/>
    <s v="Confirmed"/>
    <x v="2"/>
    <x v="32"/>
    <x v="4"/>
    <x v="2"/>
    <x v="1"/>
  </r>
  <r>
    <s v="T001336"/>
    <d v="2026-08-28T00:00:00"/>
    <x v="4"/>
    <x v="3"/>
    <x v="0"/>
    <x v="0"/>
    <s v="India"/>
    <x v="4"/>
    <x v="6"/>
    <s v="C01336"/>
    <n v="46"/>
    <s v="Female"/>
    <x v="0"/>
    <x v="2"/>
    <x v="2"/>
    <s v="Half Board"/>
    <n v="9677.09"/>
    <n v="2255.87"/>
    <x v="1"/>
    <s v="Confirmed"/>
    <x v="0"/>
    <x v="34"/>
    <x v="1"/>
    <x v="4"/>
    <x v="1"/>
  </r>
  <r>
    <s v="T001337"/>
    <d v="2026-08-29T00:00:00"/>
    <x v="3"/>
    <x v="1"/>
    <x v="3"/>
    <x v="1"/>
    <s v="India"/>
    <x v="5"/>
    <x v="11"/>
    <s v="C01337"/>
    <n v="50"/>
    <s v="Male"/>
    <x v="1"/>
    <x v="2"/>
    <x v="0"/>
    <s v="Full Board"/>
    <n v="23572.25"/>
    <n v="4329.43"/>
    <x v="2"/>
    <s v="Confirmed"/>
    <x v="1"/>
    <x v="9"/>
    <x v="4"/>
    <x v="3"/>
    <x v="1"/>
  </r>
  <r>
    <s v="T001338"/>
    <d v="2026-08-30T00:00:00"/>
    <x v="4"/>
    <x v="3"/>
    <x v="4"/>
    <x v="1"/>
    <s v="India"/>
    <x v="6"/>
    <x v="8"/>
    <s v="C01338"/>
    <n v="59"/>
    <s v="Male"/>
    <x v="4"/>
    <x v="2"/>
    <x v="3"/>
    <s v="Half Board"/>
    <n v="48365.75"/>
    <n v="446.43"/>
    <x v="2"/>
    <s v="Pending"/>
    <x v="1"/>
    <x v="24"/>
    <x v="0"/>
    <x v="3"/>
    <x v="1"/>
  </r>
  <r>
    <s v="T001339"/>
    <d v="2026-08-31T00:00:00"/>
    <x v="0"/>
    <x v="0"/>
    <x v="0"/>
    <x v="0"/>
    <s v="India"/>
    <x v="4"/>
    <x v="8"/>
    <s v="C01339"/>
    <n v="37"/>
    <s v="Male"/>
    <x v="1"/>
    <x v="3"/>
    <x v="1"/>
    <s v="Half Board"/>
    <n v="23013.99"/>
    <n v="4113.8500000000004"/>
    <x v="2"/>
    <s v="Pending"/>
    <x v="1"/>
    <x v="21"/>
    <x v="2"/>
    <x v="4"/>
    <x v="0"/>
  </r>
  <r>
    <s v="T001340"/>
    <d v="2026-09-01T00:00:00"/>
    <x v="1"/>
    <x v="1"/>
    <x v="3"/>
    <x v="1"/>
    <s v="India"/>
    <x v="5"/>
    <x v="6"/>
    <s v="C01340"/>
    <n v="47"/>
    <s v="Female"/>
    <x v="1"/>
    <x v="2"/>
    <x v="3"/>
    <s v="Half Board"/>
    <n v="21371.09"/>
    <n v="798.21"/>
    <x v="3"/>
    <s v="Confirmed"/>
    <x v="0"/>
    <x v="23"/>
    <x v="1"/>
    <x v="0"/>
    <x v="0"/>
  </r>
  <r>
    <s v="T001341"/>
    <d v="2026-09-02T00:00:00"/>
    <x v="4"/>
    <x v="3"/>
    <x v="1"/>
    <x v="1"/>
    <s v="India"/>
    <x v="1"/>
    <x v="6"/>
    <s v="C01341"/>
    <n v="59"/>
    <s v="Other"/>
    <x v="4"/>
    <x v="3"/>
    <x v="0"/>
    <s v="Breakfast Only"/>
    <n v="36661.33"/>
    <n v="1669.21"/>
    <x v="0"/>
    <s v="Confirmed"/>
    <x v="0"/>
    <x v="30"/>
    <x v="0"/>
    <x v="4"/>
    <x v="1"/>
  </r>
  <r>
    <s v="T001342"/>
    <d v="2026-09-03T00:00:00"/>
    <x v="4"/>
    <x v="3"/>
    <x v="1"/>
    <x v="1"/>
    <s v="India"/>
    <x v="1"/>
    <x v="0"/>
    <s v="C01342"/>
    <n v="22"/>
    <s v="Male"/>
    <x v="0"/>
    <x v="1"/>
    <x v="3"/>
    <s v="Full Board"/>
    <n v="13042.91"/>
    <n v="144.24"/>
    <x v="2"/>
    <s v="Cancelled"/>
    <x v="3"/>
    <x v="34"/>
    <x v="1"/>
    <x v="1"/>
    <x v="1"/>
  </r>
  <r>
    <s v="T001343"/>
    <d v="2026-09-04T00:00:00"/>
    <x v="2"/>
    <x v="2"/>
    <x v="4"/>
    <x v="1"/>
    <s v="India"/>
    <x v="6"/>
    <x v="10"/>
    <s v="C01343"/>
    <n v="67"/>
    <s v="Female"/>
    <x v="1"/>
    <x v="3"/>
    <x v="3"/>
    <s v="No Meals"/>
    <n v="21349.56"/>
    <n v="618.64"/>
    <x v="1"/>
    <s v="Cancelled"/>
    <x v="2"/>
    <x v="12"/>
    <x v="1"/>
    <x v="3"/>
    <x v="0"/>
  </r>
  <r>
    <s v="T001344"/>
    <d v="2026-09-05T00:00:00"/>
    <x v="1"/>
    <x v="1"/>
    <x v="0"/>
    <x v="0"/>
    <s v="India"/>
    <x v="0"/>
    <x v="11"/>
    <s v="C01344"/>
    <n v="38"/>
    <s v="Other"/>
    <x v="3"/>
    <x v="0"/>
    <x v="2"/>
    <s v="Half Board"/>
    <n v="18108.84"/>
    <n v="2228.63"/>
    <x v="0"/>
    <s v="Pending"/>
    <x v="0"/>
    <x v="36"/>
    <x v="4"/>
    <x v="0"/>
    <x v="0"/>
  </r>
  <r>
    <s v="T001345"/>
    <d v="2026-09-06T00:00:00"/>
    <x v="3"/>
    <x v="1"/>
    <x v="2"/>
    <x v="0"/>
    <s v="India"/>
    <x v="3"/>
    <x v="1"/>
    <s v="C01345"/>
    <n v="32"/>
    <s v="Female"/>
    <x v="1"/>
    <x v="2"/>
    <x v="2"/>
    <s v="Half Board"/>
    <n v="32069.06"/>
    <n v="4091.69"/>
    <x v="1"/>
    <s v="Pending"/>
    <x v="3"/>
    <x v="37"/>
    <x v="3"/>
    <x v="2"/>
    <x v="0"/>
  </r>
  <r>
    <s v="T001346"/>
    <d v="2026-09-07T00:00:00"/>
    <x v="0"/>
    <x v="0"/>
    <x v="0"/>
    <x v="0"/>
    <s v="India"/>
    <x v="0"/>
    <x v="5"/>
    <s v="C01346"/>
    <n v="37"/>
    <s v="Male"/>
    <x v="0"/>
    <x v="0"/>
    <x v="0"/>
    <s v="Half Board"/>
    <n v="12323.88"/>
    <n v="3868.35"/>
    <x v="1"/>
    <s v="Cancelled"/>
    <x v="2"/>
    <x v="37"/>
    <x v="3"/>
    <x v="3"/>
    <x v="1"/>
  </r>
  <r>
    <s v="T001347"/>
    <d v="2026-09-08T00:00:00"/>
    <x v="3"/>
    <x v="1"/>
    <x v="1"/>
    <x v="1"/>
    <s v="India"/>
    <x v="1"/>
    <x v="5"/>
    <s v="C01347"/>
    <n v="25"/>
    <s v="Female"/>
    <x v="2"/>
    <x v="3"/>
    <x v="2"/>
    <s v="Breakfast Only"/>
    <n v="29691.56"/>
    <n v="1176.49"/>
    <x v="0"/>
    <s v="Pending"/>
    <x v="2"/>
    <x v="5"/>
    <x v="1"/>
    <x v="4"/>
    <x v="1"/>
  </r>
  <r>
    <s v="T001348"/>
    <d v="2026-09-09T00:00:00"/>
    <x v="1"/>
    <x v="1"/>
    <x v="3"/>
    <x v="1"/>
    <s v="India"/>
    <x v="5"/>
    <x v="4"/>
    <s v="C01348"/>
    <n v="66"/>
    <s v="Female"/>
    <x v="5"/>
    <x v="2"/>
    <x v="1"/>
    <s v="No Meals"/>
    <n v="43589.599999999999"/>
    <n v="758.45"/>
    <x v="3"/>
    <s v="Confirmed"/>
    <x v="1"/>
    <x v="9"/>
    <x v="4"/>
    <x v="0"/>
    <x v="1"/>
  </r>
  <r>
    <s v="T001349"/>
    <d v="2026-09-10T00:00:00"/>
    <x v="4"/>
    <x v="3"/>
    <x v="2"/>
    <x v="0"/>
    <s v="India"/>
    <x v="3"/>
    <x v="7"/>
    <s v="C01349"/>
    <n v="48"/>
    <s v="Female"/>
    <x v="4"/>
    <x v="0"/>
    <x v="0"/>
    <s v="Half Board"/>
    <n v="28137.67"/>
    <n v="1946.32"/>
    <x v="0"/>
    <s v="Cancelled"/>
    <x v="1"/>
    <x v="18"/>
    <x v="0"/>
    <x v="3"/>
    <x v="1"/>
  </r>
  <r>
    <s v="T001350"/>
    <d v="2026-09-11T00:00:00"/>
    <x v="4"/>
    <x v="3"/>
    <x v="4"/>
    <x v="1"/>
    <s v="India"/>
    <x v="6"/>
    <x v="0"/>
    <s v="C01350"/>
    <n v="29"/>
    <s v="Female"/>
    <x v="2"/>
    <x v="2"/>
    <x v="2"/>
    <s v="Breakfast Only"/>
    <n v="35757.35"/>
    <n v="4416.34"/>
    <x v="2"/>
    <s v="Cancelled"/>
    <x v="3"/>
    <x v="7"/>
    <x v="3"/>
    <x v="2"/>
    <x v="0"/>
  </r>
  <r>
    <s v="T001351"/>
    <d v="2026-09-12T00:00:00"/>
    <x v="1"/>
    <x v="1"/>
    <x v="2"/>
    <x v="0"/>
    <s v="India"/>
    <x v="3"/>
    <x v="4"/>
    <s v="C01351"/>
    <n v="38"/>
    <s v="Other"/>
    <x v="0"/>
    <x v="3"/>
    <x v="2"/>
    <s v="Breakfast Only"/>
    <n v="8386.16"/>
    <n v="457.13"/>
    <x v="0"/>
    <s v="Pending"/>
    <x v="3"/>
    <x v="17"/>
    <x v="1"/>
    <x v="2"/>
    <x v="0"/>
  </r>
  <r>
    <s v="T001352"/>
    <d v="2026-09-13T00:00:00"/>
    <x v="4"/>
    <x v="3"/>
    <x v="4"/>
    <x v="1"/>
    <s v="India"/>
    <x v="6"/>
    <x v="1"/>
    <s v="C01352"/>
    <n v="47"/>
    <s v="Male"/>
    <x v="6"/>
    <x v="0"/>
    <x v="0"/>
    <s v="Half Board"/>
    <n v="25205.25"/>
    <n v="2714.57"/>
    <x v="2"/>
    <s v="Cancelled"/>
    <x v="1"/>
    <x v="20"/>
    <x v="0"/>
    <x v="4"/>
    <x v="0"/>
  </r>
  <r>
    <s v="T001353"/>
    <d v="2026-09-14T00:00:00"/>
    <x v="4"/>
    <x v="3"/>
    <x v="2"/>
    <x v="0"/>
    <s v="India"/>
    <x v="2"/>
    <x v="8"/>
    <s v="C01353"/>
    <n v="44"/>
    <s v="Other"/>
    <x v="5"/>
    <x v="3"/>
    <x v="1"/>
    <s v="Half Board"/>
    <n v="9270.19"/>
    <n v="444.04"/>
    <x v="2"/>
    <s v="Cancelled"/>
    <x v="1"/>
    <x v="22"/>
    <x v="4"/>
    <x v="1"/>
    <x v="0"/>
  </r>
  <r>
    <s v="T001354"/>
    <d v="2026-09-15T00:00:00"/>
    <x v="4"/>
    <x v="3"/>
    <x v="4"/>
    <x v="1"/>
    <s v="India"/>
    <x v="6"/>
    <x v="6"/>
    <s v="C01354"/>
    <n v="61"/>
    <s v="Female"/>
    <x v="2"/>
    <x v="0"/>
    <x v="0"/>
    <s v="Breakfast Only"/>
    <n v="31975.78"/>
    <n v="2351.06"/>
    <x v="0"/>
    <s v="Confirmed"/>
    <x v="2"/>
    <x v="30"/>
    <x v="0"/>
    <x v="4"/>
    <x v="1"/>
  </r>
  <r>
    <s v="T001355"/>
    <d v="2026-09-16T00:00:00"/>
    <x v="0"/>
    <x v="0"/>
    <x v="4"/>
    <x v="1"/>
    <s v="India"/>
    <x v="6"/>
    <x v="3"/>
    <s v="C01355"/>
    <n v="43"/>
    <s v="Female"/>
    <x v="1"/>
    <x v="1"/>
    <x v="2"/>
    <s v="Breakfast Only"/>
    <n v="17647.45"/>
    <n v="633.96"/>
    <x v="0"/>
    <s v="Cancelled"/>
    <x v="2"/>
    <x v="16"/>
    <x v="4"/>
    <x v="0"/>
    <x v="0"/>
  </r>
  <r>
    <s v="T001356"/>
    <d v="2026-09-17T00:00:00"/>
    <x v="0"/>
    <x v="0"/>
    <x v="2"/>
    <x v="0"/>
    <s v="India"/>
    <x v="3"/>
    <x v="6"/>
    <s v="C01356"/>
    <n v="50"/>
    <s v="Male"/>
    <x v="5"/>
    <x v="1"/>
    <x v="2"/>
    <s v="Half Board"/>
    <n v="17926.96"/>
    <n v="401.68"/>
    <x v="2"/>
    <s v="Cancelled"/>
    <x v="0"/>
    <x v="27"/>
    <x v="0"/>
    <x v="4"/>
    <x v="0"/>
  </r>
  <r>
    <s v="T001357"/>
    <d v="2026-09-18T00:00:00"/>
    <x v="2"/>
    <x v="2"/>
    <x v="2"/>
    <x v="0"/>
    <s v="India"/>
    <x v="2"/>
    <x v="1"/>
    <s v="C01357"/>
    <n v="43"/>
    <s v="Male"/>
    <x v="1"/>
    <x v="1"/>
    <x v="0"/>
    <s v="Breakfast Only"/>
    <n v="8454.5"/>
    <n v="954.25"/>
    <x v="1"/>
    <s v="Cancelled"/>
    <x v="1"/>
    <x v="21"/>
    <x v="2"/>
    <x v="0"/>
    <x v="1"/>
  </r>
  <r>
    <s v="T001358"/>
    <d v="2026-09-19T00:00:00"/>
    <x v="3"/>
    <x v="1"/>
    <x v="4"/>
    <x v="1"/>
    <s v="India"/>
    <x v="6"/>
    <x v="1"/>
    <s v="C01358"/>
    <n v="43"/>
    <s v="Other"/>
    <x v="4"/>
    <x v="1"/>
    <x v="1"/>
    <s v="Breakfast Only"/>
    <n v="18960.7"/>
    <n v="1276.28"/>
    <x v="0"/>
    <s v="Cancelled"/>
    <x v="2"/>
    <x v="7"/>
    <x v="3"/>
    <x v="1"/>
    <x v="1"/>
  </r>
  <r>
    <s v="T001359"/>
    <d v="2026-09-20T00:00:00"/>
    <x v="1"/>
    <x v="1"/>
    <x v="1"/>
    <x v="1"/>
    <s v="India"/>
    <x v="1"/>
    <x v="10"/>
    <s v="C01359"/>
    <n v="53"/>
    <s v="Other"/>
    <x v="1"/>
    <x v="1"/>
    <x v="1"/>
    <s v="Half Board"/>
    <n v="27800.47"/>
    <n v="1381.33"/>
    <x v="3"/>
    <s v="Confirmed"/>
    <x v="3"/>
    <x v="15"/>
    <x v="0"/>
    <x v="4"/>
    <x v="1"/>
  </r>
  <r>
    <s v="T001360"/>
    <d v="2026-09-21T00:00:00"/>
    <x v="1"/>
    <x v="1"/>
    <x v="2"/>
    <x v="0"/>
    <s v="India"/>
    <x v="2"/>
    <x v="10"/>
    <s v="C01360"/>
    <n v="57"/>
    <s v="Male"/>
    <x v="5"/>
    <x v="3"/>
    <x v="3"/>
    <s v="Half Board"/>
    <n v="31309.7"/>
    <n v="3226.34"/>
    <x v="2"/>
    <s v="Cancelled"/>
    <x v="2"/>
    <x v="37"/>
    <x v="3"/>
    <x v="2"/>
    <x v="0"/>
  </r>
  <r>
    <s v="T001361"/>
    <d v="2026-09-22T00:00:00"/>
    <x v="1"/>
    <x v="1"/>
    <x v="0"/>
    <x v="0"/>
    <s v="India"/>
    <x v="0"/>
    <x v="10"/>
    <s v="C01361"/>
    <n v="18"/>
    <s v="Other"/>
    <x v="3"/>
    <x v="1"/>
    <x v="1"/>
    <s v="Full Board"/>
    <n v="7999.95"/>
    <n v="274.91000000000003"/>
    <x v="1"/>
    <s v="Confirmed"/>
    <x v="1"/>
    <x v="29"/>
    <x v="1"/>
    <x v="0"/>
    <x v="0"/>
  </r>
  <r>
    <s v="T001362"/>
    <d v="2026-09-23T00:00:00"/>
    <x v="2"/>
    <x v="2"/>
    <x v="3"/>
    <x v="1"/>
    <s v="India"/>
    <x v="5"/>
    <x v="10"/>
    <s v="C01362"/>
    <n v="32"/>
    <s v="Female"/>
    <x v="3"/>
    <x v="3"/>
    <x v="0"/>
    <s v="No Meals"/>
    <n v="34315.660000000003"/>
    <n v="404.05"/>
    <x v="0"/>
    <s v="Confirmed"/>
    <x v="2"/>
    <x v="14"/>
    <x v="1"/>
    <x v="0"/>
    <x v="1"/>
  </r>
  <r>
    <s v="T001363"/>
    <d v="2026-09-24T00:00:00"/>
    <x v="0"/>
    <x v="0"/>
    <x v="4"/>
    <x v="1"/>
    <s v="India"/>
    <x v="6"/>
    <x v="7"/>
    <s v="C01363"/>
    <n v="67"/>
    <s v="Female"/>
    <x v="2"/>
    <x v="1"/>
    <x v="1"/>
    <s v="Half Board"/>
    <n v="26999.41"/>
    <n v="943.53"/>
    <x v="0"/>
    <s v="Confirmed"/>
    <x v="1"/>
    <x v="29"/>
    <x v="1"/>
    <x v="2"/>
    <x v="1"/>
  </r>
  <r>
    <s v="T001364"/>
    <d v="2026-09-25T00:00:00"/>
    <x v="2"/>
    <x v="2"/>
    <x v="4"/>
    <x v="1"/>
    <s v="India"/>
    <x v="6"/>
    <x v="0"/>
    <s v="C01364"/>
    <n v="18"/>
    <s v="Male"/>
    <x v="0"/>
    <x v="2"/>
    <x v="1"/>
    <s v="Half Board"/>
    <n v="29160.86"/>
    <n v="4360.32"/>
    <x v="1"/>
    <s v="Pending"/>
    <x v="2"/>
    <x v="26"/>
    <x v="2"/>
    <x v="4"/>
    <x v="1"/>
  </r>
  <r>
    <s v="T001365"/>
    <d v="2026-09-26T00:00:00"/>
    <x v="1"/>
    <x v="1"/>
    <x v="3"/>
    <x v="1"/>
    <s v="India"/>
    <x v="5"/>
    <x v="2"/>
    <s v="C01365"/>
    <n v="28"/>
    <s v="Other"/>
    <x v="4"/>
    <x v="1"/>
    <x v="3"/>
    <s v="Half Board"/>
    <n v="42475.85"/>
    <n v="3143.02"/>
    <x v="3"/>
    <s v="Pending"/>
    <x v="0"/>
    <x v="19"/>
    <x v="3"/>
    <x v="1"/>
    <x v="1"/>
  </r>
  <r>
    <s v="T001366"/>
    <d v="2026-09-27T00:00:00"/>
    <x v="3"/>
    <x v="1"/>
    <x v="1"/>
    <x v="1"/>
    <s v="India"/>
    <x v="1"/>
    <x v="5"/>
    <s v="C01366"/>
    <n v="19"/>
    <s v="Female"/>
    <x v="6"/>
    <x v="2"/>
    <x v="1"/>
    <s v="No Meals"/>
    <n v="20400.189999999999"/>
    <n v="3651.85"/>
    <x v="2"/>
    <s v="Cancelled"/>
    <x v="0"/>
    <x v="13"/>
    <x v="0"/>
    <x v="3"/>
    <x v="0"/>
  </r>
  <r>
    <s v="T001367"/>
    <d v="2026-09-28T00:00:00"/>
    <x v="4"/>
    <x v="3"/>
    <x v="3"/>
    <x v="1"/>
    <s v="India"/>
    <x v="5"/>
    <x v="0"/>
    <s v="C01367"/>
    <n v="18"/>
    <s v="Male"/>
    <x v="2"/>
    <x v="3"/>
    <x v="3"/>
    <s v="Full Board"/>
    <n v="12832.3"/>
    <n v="1851.81"/>
    <x v="0"/>
    <s v="Confirmed"/>
    <x v="3"/>
    <x v="8"/>
    <x v="0"/>
    <x v="4"/>
    <x v="1"/>
  </r>
  <r>
    <s v="T001368"/>
    <d v="2026-09-29T00:00:00"/>
    <x v="0"/>
    <x v="0"/>
    <x v="2"/>
    <x v="0"/>
    <s v="India"/>
    <x v="3"/>
    <x v="0"/>
    <s v="C01368"/>
    <n v="48"/>
    <s v="Other"/>
    <x v="0"/>
    <x v="1"/>
    <x v="3"/>
    <s v="Breakfast Only"/>
    <n v="29831.46"/>
    <n v="1066.0999999999999"/>
    <x v="3"/>
    <s v="Pending"/>
    <x v="3"/>
    <x v="19"/>
    <x v="3"/>
    <x v="4"/>
    <x v="0"/>
  </r>
  <r>
    <s v="T001369"/>
    <d v="2026-09-30T00:00:00"/>
    <x v="0"/>
    <x v="0"/>
    <x v="3"/>
    <x v="1"/>
    <s v="India"/>
    <x v="5"/>
    <x v="5"/>
    <s v="C01369"/>
    <n v="61"/>
    <s v="Female"/>
    <x v="4"/>
    <x v="0"/>
    <x v="1"/>
    <s v="No Meals"/>
    <n v="47525.99"/>
    <n v="189.81"/>
    <x v="2"/>
    <s v="Cancelled"/>
    <x v="1"/>
    <x v="0"/>
    <x v="0"/>
    <x v="0"/>
    <x v="1"/>
  </r>
  <r>
    <s v="T001370"/>
    <d v="2026-10-01T00:00:00"/>
    <x v="2"/>
    <x v="2"/>
    <x v="4"/>
    <x v="1"/>
    <s v="India"/>
    <x v="6"/>
    <x v="10"/>
    <s v="C01370"/>
    <n v="33"/>
    <s v="Other"/>
    <x v="5"/>
    <x v="3"/>
    <x v="2"/>
    <s v="Half Board"/>
    <n v="28304.13"/>
    <n v="2442.6799999999998"/>
    <x v="3"/>
    <s v="Pending"/>
    <x v="1"/>
    <x v="32"/>
    <x v="4"/>
    <x v="0"/>
    <x v="1"/>
  </r>
  <r>
    <s v="T001371"/>
    <d v="2026-10-02T00:00:00"/>
    <x v="0"/>
    <x v="0"/>
    <x v="3"/>
    <x v="1"/>
    <s v="India"/>
    <x v="5"/>
    <x v="0"/>
    <s v="C01371"/>
    <n v="39"/>
    <s v="Other"/>
    <x v="4"/>
    <x v="1"/>
    <x v="0"/>
    <s v="Half Board"/>
    <n v="42436.05"/>
    <n v="2871.4"/>
    <x v="2"/>
    <s v="Confirmed"/>
    <x v="1"/>
    <x v="33"/>
    <x v="4"/>
    <x v="1"/>
    <x v="0"/>
  </r>
  <r>
    <s v="T001372"/>
    <d v="2026-10-03T00:00:00"/>
    <x v="1"/>
    <x v="1"/>
    <x v="0"/>
    <x v="0"/>
    <s v="India"/>
    <x v="4"/>
    <x v="6"/>
    <s v="C01372"/>
    <n v="59"/>
    <s v="Other"/>
    <x v="5"/>
    <x v="3"/>
    <x v="0"/>
    <s v="Full Board"/>
    <n v="39066.44"/>
    <n v="4485.01"/>
    <x v="2"/>
    <s v="Cancelled"/>
    <x v="2"/>
    <x v="12"/>
    <x v="1"/>
    <x v="1"/>
    <x v="1"/>
  </r>
  <r>
    <s v="T001373"/>
    <d v="2026-10-04T00:00:00"/>
    <x v="1"/>
    <x v="1"/>
    <x v="2"/>
    <x v="0"/>
    <s v="India"/>
    <x v="3"/>
    <x v="7"/>
    <s v="C01373"/>
    <n v="35"/>
    <s v="Male"/>
    <x v="2"/>
    <x v="0"/>
    <x v="1"/>
    <s v="Full Board"/>
    <n v="28324.89"/>
    <n v="4410.46"/>
    <x v="3"/>
    <s v="Confirmed"/>
    <x v="2"/>
    <x v="12"/>
    <x v="1"/>
    <x v="1"/>
    <x v="1"/>
  </r>
  <r>
    <s v="T001374"/>
    <d v="2026-10-05T00:00:00"/>
    <x v="2"/>
    <x v="2"/>
    <x v="3"/>
    <x v="1"/>
    <s v="India"/>
    <x v="5"/>
    <x v="10"/>
    <s v="C01374"/>
    <n v="64"/>
    <s v="Female"/>
    <x v="0"/>
    <x v="1"/>
    <x v="0"/>
    <s v="Full Board"/>
    <n v="34139.96"/>
    <n v="2123.4299999999998"/>
    <x v="2"/>
    <s v="Confirmed"/>
    <x v="2"/>
    <x v="5"/>
    <x v="1"/>
    <x v="2"/>
    <x v="1"/>
  </r>
  <r>
    <s v="T001375"/>
    <d v="2026-10-06T00:00:00"/>
    <x v="1"/>
    <x v="1"/>
    <x v="4"/>
    <x v="1"/>
    <s v="India"/>
    <x v="6"/>
    <x v="7"/>
    <s v="C01375"/>
    <n v="34"/>
    <s v="Male"/>
    <x v="0"/>
    <x v="0"/>
    <x v="0"/>
    <s v="Breakfast Only"/>
    <n v="23300.61"/>
    <n v="2117.89"/>
    <x v="0"/>
    <s v="Pending"/>
    <x v="3"/>
    <x v="6"/>
    <x v="3"/>
    <x v="3"/>
    <x v="0"/>
  </r>
  <r>
    <s v="T001376"/>
    <d v="2026-10-07T00:00:00"/>
    <x v="3"/>
    <x v="1"/>
    <x v="2"/>
    <x v="0"/>
    <s v="India"/>
    <x v="2"/>
    <x v="4"/>
    <s v="C01376"/>
    <n v="47"/>
    <s v="Female"/>
    <x v="1"/>
    <x v="1"/>
    <x v="3"/>
    <s v="No Meals"/>
    <n v="28878.29"/>
    <n v="805.61"/>
    <x v="0"/>
    <s v="Cancelled"/>
    <x v="1"/>
    <x v="1"/>
    <x v="1"/>
    <x v="3"/>
    <x v="0"/>
  </r>
  <r>
    <s v="T001377"/>
    <d v="2026-10-08T00:00:00"/>
    <x v="2"/>
    <x v="2"/>
    <x v="4"/>
    <x v="1"/>
    <s v="India"/>
    <x v="6"/>
    <x v="2"/>
    <s v="C01377"/>
    <n v="27"/>
    <s v="Female"/>
    <x v="6"/>
    <x v="2"/>
    <x v="2"/>
    <s v="No Meals"/>
    <n v="27827.86"/>
    <n v="1287.24"/>
    <x v="3"/>
    <s v="Cancelled"/>
    <x v="2"/>
    <x v="37"/>
    <x v="3"/>
    <x v="1"/>
    <x v="1"/>
  </r>
  <r>
    <s v="T001378"/>
    <d v="2026-10-09T00:00:00"/>
    <x v="3"/>
    <x v="1"/>
    <x v="1"/>
    <x v="1"/>
    <s v="India"/>
    <x v="1"/>
    <x v="0"/>
    <s v="C01378"/>
    <n v="52"/>
    <s v="Male"/>
    <x v="3"/>
    <x v="3"/>
    <x v="0"/>
    <s v="Full Board"/>
    <n v="36909.97"/>
    <n v="4628.32"/>
    <x v="3"/>
    <s v="Cancelled"/>
    <x v="3"/>
    <x v="4"/>
    <x v="0"/>
    <x v="0"/>
    <x v="1"/>
  </r>
  <r>
    <s v="T001379"/>
    <d v="2026-10-10T00:00:00"/>
    <x v="4"/>
    <x v="3"/>
    <x v="0"/>
    <x v="0"/>
    <s v="India"/>
    <x v="4"/>
    <x v="6"/>
    <s v="C01379"/>
    <n v="38"/>
    <s v="Male"/>
    <x v="1"/>
    <x v="0"/>
    <x v="2"/>
    <s v="Breakfast Only"/>
    <n v="23449.16"/>
    <n v="705.18"/>
    <x v="2"/>
    <s v="Pending"/>
    <x v="0"/>
    <x v="25"/>
    <x v="3"/>
    <x v="3"/>
    <x v="0"/>
  </r>
  <r>
    <s v="T001380"/>
    <d v="2026-10-11T00:00:00"/>
    <x v="3"/>
    <x v="1"/>
    <x v="1"/>
    <x v="1"/>
    <s v="India"/>
    <x v="1"/>
    <x v="2"/>
    <s v="C01380"/>
    <n v="33"/>
    <s v="Female"/>
    <x v="4"/>
    <x v="3"/>
    <x v="0"/>
    <s v="No Meals"/>
    <n v="9489.52"/>
    <n v="4843.5"/>
    <x v="2"/>
    <s v="Cancelled"/>
    <x v="1"/>
    <x v="19"/>
    <x v="3"/>
    <x v="4"/>
    <x v="0"/>
  </r>
  <r>
    <s v="T001381"/>
    <d v="2026-10-12T00:00:00"/>
    <x v="4"/>
    <x v="3"/>
    <x v="0"/>
    <x v="0"/>
    <s v="India"/>
    <x v="4"/>
    <x v="9"/>
    <s v="C01381"/>
    <n v="23"/>
    <s v="Female"/>
    <x v="6"/>
    <x v="0"/>
    <x v="2"/>
    <s v="Half Board"/>
    <n v="40491.93"/>
    <n v="2523.69"/>
    <x v="3"/>
    <s v="Pending"/>
    <x v="0"/>
    <x v="33"/>
    <x v="4"/>
    <x v="2"/>
    <x v="0"/>
  </r>
  <r>
    <s v="T001382"/>
    <d v="2026-10-13T00:00:00"/>
    <x v="4"/>
    <x v="3"/>
    <x v="3"/>
    <x v="1"/>
    <s v="India"/>
    <x v="5"/>
    <x v="7"/>
    <s v="C01382"/>
    <n v="20"/>
    <s v="Female"/>
    <x v="6"/>
    <x v="3"/>
    <x v="2"/>
    <s v="Half Board"/>
    <n v="35818.39"/>
    <n v="2283.0300000000002"/>
    <x v="1"/>
    <s v="Cancelled"/>
    <x v="3"/>
    <x v="0"/>
    <x v="0"/>
    <x v="0"/>
    <x v="1"/>
  </r>
  <r>
    <s v="T001383"/>
    <d v="2026-10-14T00:00:00"/>
    <x v="3"/>
    <x v="1"/>
    <x v="2"/>
    <x v="0"/>
    <s v="India"/>
    <x v="2"/>
    <x v="4"/>
    <s v="C01383"/>
    <n v="58"/>
    <s v="Other"/>
    <x v="0"/>
    <x v="3"/>
    <x v="0"/>
    <s v="Half Board"/>
    <n v="47755.56"/>
    <n v="873.19"/>
    <x v="3"/>
    <s v="Pending"/>
    <x v="1"/>
    <x v="29"/>
    <x v="1"/>
    <x v="2"/>
    <x v="1"/>
  </r>
  <r>
    <s v="T001384"/>
    <d v="2026-10-15T00:00:00"/>
    <x v="2"/>
    <x v="2"/>
    <x v="3"/>
    <x v="1"/>
    <s v="India"/>
    <x v="5"/>
    <x v="11"/>
    <s v="C01384"/>
    <n v="60"/>
    <s v="Female"/>
    <x v="6"/>
    <x v="3"/>
    <x v="3"/>
    <s v="No Meals"/>
    <n v="24292.23"/>
    <n v="3307.71"/>
    <x v="1"/>
    <s v="Cancelled"/>
    <x v="2"/>
    <x v="17"/>
    <x v="1"/>
    <x v="4"/>
    <x v="1"/>
  </r>
  <r>
    <s v="T001385"/>
    <d v="2026-10-16T00:00:00"/>
    <x v="1"/>
    <x v="1"/>
    <x v="0"/>
    <x v="0"/>
    <s v="India"/>
    <x v="0"/>
    <x v="11"/>
    <s v="C01385"/>
    <n v="38"/>
    <s v="Male"/>
    <x v="2"/>
    <x v="2"/>
    <x v="2"/>
    <s v="Full Board"/>
    <n v="8519.25"/>
    <n v="2299.23"/>
    <x v="1"/>
    <s v="Pending"/>
    <x v="3"/>
    <x v="38"/>
    <x v="0"/>
    <x v="3"/>
    <x v="1"/>
  </r>
  <r>
    <s v="T001386"/>
    <d v="2026-10-17T00:00:00"/>
    <x v="1"/>
    <x v="1"/>
    <x v="0"/>
    <x v="0"/>
    <s v="India"/>
    <x v="0"/>
    <x v="4"/>
    <s v="C01386"/>
    <n v="30"/>
    <s v="Male"/>
    <x v="6"/>
    <x v="1"/>
    <x v="2"/>
    <s v="Half Board"/>
    <n v="10472.85"/>
    <n v="1853.32"/>
    <x v="3"/>
    <s v="Confirmed"/>
    <x v="0"/>
    <x v="4"/>
    <x v="0"/>
    <x v="2"/>
    <x v="0"/>
  </r>
  <r>
    <s v="T001387"/>
    <d v="2026-10-18T00:00:00"/>
    <x v="4"/>
    <x v="3"/>
    <x v="0"/>
    <x v="0"/>
    <s v="India"/>
    <x v="0"/>
    <x v="8"/>
    <s v="C01387"/>
    <n v="35"/>
    <s v="Male"/>
    <x v="4"/>
    <x v="2"/>
    <x v="0"/>
    <s v="Full Board"/>
    <n v="39799.379999999997"/>
    <n v="1322.58"/>
    <x v="3"/>
    <s v="Confirmed"/>
    <x v="0"/>
    <x v="36"/>
    <x v="4"/>
    <x v="2"/>
    <x v="0"/>
  </r>
  <r>
    <s v="T001388"/>
    <d v="2026-10-19T00:00:00"/>
    <x v="4"/>
    <x v="3"/>
    <x v="4"/>
    <x v="1"/>
    <s v="India"/>
    <x v="6"/>
    <x v="8"/>
    <s v="C01388"/>
    <n v="41"/>
    <s v="Female"/>
    <x v="2"/>
    <x v="3"/>
    <x v="2"/>
    <s v="Breakfast Only"/>
    <n v="8049.08"/>
    <n v="332.43"/>
    <x v="3"/>
    <s v="Confirmed"/>
    <x v="0"/>
    <x v="25"/>
    <x v="2"/>
    <x v="2"/>
    <x v="0"/>
  </r>
  <r>
    <s v="T001389"/>
    <d v="2026-10-20T00:00:00"/>
    <x v="2"/>
    <x v="2"/>
    <x v="2"/>
    <x v="0"/>
    <s v="India"/>
    <x v="2"/>
    <x v="10"/>
    <s v="C01389"/>
    <n v="44"/>
    <s v="Female"/>
    <x v="2"/>
    <x v="0"/>
    <x v="2"/>
    <s v="Half Board"/>
    <n v="45852.18"/>
    <n v="2596.64"/>
    <x v="1"/>
    <s v="Cancelled"/>
    <x v="3"/>
    <x v="10"/>
    <x v="1"/>
    <x v="4"/>
    <x v="1"/>
  </r>
  <r>
    <s v="T001390"/>
    <d v="2026-10-21T00:00:00"/>
    <x v="0"/>
    <x v="0"/>
    <x v="3"/>
    <x v="1"/>
    <s v="India"/>
    <x v="5"/>
    <x v="8"/>
    <s v="C01390"/>
    <n v="21"/>
    <s v="Other"/>
    <x v="1"/>
    <x v="3"/>
    <x v="3"/>
    <s v="Breakfast Only"/>
    <n v="17674.259999999998"/>
    <n v="1564.54"/>
    <x v="0"/>
    <s v="Pending"/>
    <x v="3"/>
    <x v="19"/>
    <x v="2"/>
    <x v="0"/>
    <x v="0"/>
  </r>
  <r>
    <s v="T001391"/>
    <d v="2026-10-22T00:00:00"/>
    <x v="3"/>
    <x v="1"/>
    <x v="3"/>
    <x v="1"/>
    <s v="India"/>
    <x v="5"/>
    <x v="11"/>
    <s v="C01391"/>
    <n v="39"/>
    <s v="Other"/>
    <x v="6"/>
    <x v="1"/>
    <x v="2"/>
    <s v="Full Board"/>
    <n v="45449.56"/>
    <n v="3539.33"/>
    <x v="0"/>
    <s v="Confirmed"/>
    <x v="1"/>
    <x v="10"/>
    <x v="1"/>
    <x v="0"/>
    <x v="1"/>
  </r>
  <r>
    <s v="T001392"/>
    <d v="2026-10-23T00:00:00"/>
    <x v="4"/>
    <x v="3"/>
    <x v="1"/>
    <x v="1"/>
    <s v="India"/>
    <x v="1"/>
    <x v="6"/>
    <s v="C01392"/>
    <n v="41"/>
    <s v="Male"/>
    <x v="0"/>
    <x v="2"/>
    <x v="3"/>
    <s v="No Meals"/>
    <n v="39807.81"/>
    <n v="3617.61"/>
    <x v="3"/>
    <s v="Cancelled"/>
    <x v="1"/>
    <x v="23"/>
    <x v="1"/>
    <x v="4"/>
    <x v="0"/>
  </r>
  <r>
    <s v="T001393"/>
    <d v="2026-10-24T00:00:00"/>
    <x v="1"/>
    <x v="1"/>
    <x v="0"/>
    <x v="0"/>
    <s v="India"/>
    <x v="0"/>
    <x v="8"/>
    <s v="C01393"/>
    <n v="57"/>
    <s v="Other"/>
    <x v="5"/>
    <x v="1"/>
    <x v="2"/>
    <s v="Full Board"/>
    <n v="44204.05"/>
    <n v="1660.54"/>
    <x v="3"/>
    <s v="Pending"/>
    <x v="0"/>
    <x v="25"/>
    <x v="2"/>
    <x v="2"/>
    <x v="1"/>
  </r>
  <r>
    <s v="T001394"/>
    <d v="2026-10-25T00:00:00"/>
    <x v="2"/>
    <x v="2"/>
    <x v="0"/>
    <x v="0"/>
    <s v="India"/>
    <x v="4"/>
    <x v="9"/>
    <s v="C01394"/>
    <n v="62"/>
    <s v="Other"/>
    <x v="1"/>
    <x v="0"/>
    <x v="2"/>
    <s v="Half Board"/>
    <n v="14631.79"/>
    <n v="3345.6"/>
    <x v="2"/>
    <s v="Confirmed"/>
    <x v="3"/>
    <x v="36"/>
    <x v="4"/>
    <x v="2"/>
    <x v="1"/>
  </r>
  <r>
    <s v="T001395"/>
    <d v="2026-10-26T00:00:00"/>
    <x v="3"/>
    <x v="1"/>
    <x v="0"/>
    <x v="0"/>
    <s v="India"/>
    <x v="4"/>
    <x v="11"/>
    <s v="C01395"/>
    <n v="27"/>
    <s v="Male"/>
    <x v="0"/>
    <x v="1"/>
    <x v="3"/>
    <s v="Half Board"/>
    <n v="31806.21"/>
    <n v="1293.3800000000001"/>
    <x v="2"/>
    <s v="Confirmed"/>
    <x v="1"/>
    <x v="5"/>
    <x v="1"/>
    <x v="1"/>
    <x v="0"/>
  </r>
  <r>
    <s v="T001396"/>
    <d v="2026-10-27T00:00:00"/>
    <x v="2"/>
    <x v="2"/>
    <x v="3"/>
    <x v="1"/>
    <s v="India"/>
    <x v="5"/>
    <x v="7"/>
    <s v="C01396"/>
    <n v="19"/>
    <s v="Female"/>
    <x v="6"/>
    <x v="2"/>
    <x v="3"/>
    <s v="Full Board"/>
    <n v="9211.51"/>
    <n v="3635.87"/>
    <x v="2"/>
    <s v="Cancelled"/>
    <x v="3"/>
    <x v="25"/>
    <x v="2"/>
    <x v="3"/>
    <x v="0"/>
  </r>
  <r>
    <s v="T001397"/>
    <d v="2026-10-28T00:00:00"/>
    <x v="3"/>
    <x v="1"/>
    <x v="1"/>
    <x v="1"/>
    <s v="India"/>
    <x v="1"/>
    <x v="1"/>
    <s v="C01397"/>
    <n v="57"/>
    <s v="Other"/>
    <x v="1"/>
    <x v="0"/>
    <x v="1"/>
    <s v="Half Board"/>
    <n v="14102.63"/>
    <n v="80.39"/>
    <x v="3"/>
    <s v="Pending"/>
    <x v="2"/>
    <x v="7"/>
    <x v="3"/>
    <x v="3"/>
    <x v="0"/>
  </r>
  <r>
    <s v="T001398"/>
    <d v="2026-10-29T00:00:00"/>
    <x v="3"/>
    <x v="1"/>
    <x v="4"/>
    <x v="1"/>
    <s v="India"/>
    <x v="6"/>
    <x v="8"/>
    <s v="C01398"/>
    <n v="23"/>
    <s v="Female"/>
    <x v="6"/>
    <x v="1"/>
    <x v="2"/>
    <s v="Half Board"/>
    <n v="18945.599999999999"/>
    <n v="758.04"/>
    <x v="0"/>
    <s v="Cancelled"/>
    <x v="3"/>
    <x v="34"/>
    <x v="1"/>
    <x v="0"/>
    <x v="0"/>
  </r>
  <r>
    <s v="T001399"/>
    <d v="2026-10-30T00:00:00"/>
    <x v="4"/>
    <x v="3"/>
    <x v="2"/>
    <x v="0"/>
    <s v="India"/>
    <x v="2"/>
    <x v="8"/>
    <s v="C01399"/>
    <n v="65"/>
    <s v="Male"/>
    <x v="4"/>
    <x v="2"/>
    <x v="3"/>
    <s v="Breakfast Only"/>
    <n v="38336.57"/>
    <n v="1225.04"/>
    <x v="0"/>
    <s v="Confirmed"/>
    <x v="0"/>
    <x v="24"/>
    <x v="0"/>
    <x v="4"/>
    <x v="0"/>
  </r>
  <r>
    <s v="T001400"/>
    <d v="2026-10-31T00:00:00"/>
    <x v="2"/>
    <x v="2"/>
    <x v="4"/>
    <x v="1"/>
    <s v="India"/>
    <x v="6"/>
    <x v="0"/>
    <s v="C01400"/>
    <n v="35"/>
    <s v="Male"/>
    <x v="1"/>
    <x v="2"/>
    <x v="2"/>
    <s v="No Meals"/>
    <n v="6112.15"/>
    <n v="3864.68"/>
    <x v="3"/>
    <s v="Cancelled"/>
    <x v="3"/>
    <x v="37"/>
    <x v="3"/>
    <x v="2"/>
    <x v="0"/>
  </r>
  <r>
    <s v="T001401"/>
    <d v="2026-11-01T00:00:00"/>
    <x v="2"/>
    <x v="2"/>
    <x v="3"/>
    <x v="1"/>
    <s v="India"/>
    <x v="5"/>
    <x v="5"/>
    <s v="C01401"/>
    <n v="34"/>
    <s v="Other"/>
    <x v="0"/>
    <x v="3"/>
    <x v="2"/>
    <s v="Full Board"/>
    <n v="45640.28"/>
    <n v="331.88"/>
    <x v="3"/>
    <s v="Cancelled"/>
    <x v="0"/>
    <x v="19"/>
    <x v="2"/>
    <x v="3"/>
    <x v="1"/>
  </r>
  <r>
    <s v="T001402"/>
    <d v="2026-11-02T00:00:00"/>
    <x v="1"/>
    <x v="1"/>
    <x v="0"/>
    <x v="0"/>
    <s v="India"/>
    <x v="0"/>
    <x v="9"/>
    <s v="C01402"/>
    <n v="55"/>
    <s v="Male"/>
    <x v="4"/>
    <x v="1"/>
    <x v="2"/>
    <s v="Breakfast Only"/>
    <n v="8186.16"/>
    <n v="940.29"/>
    <x v="1"/>
    <s v="Confirmed"/>
    <x v="1"/>
    <x v="13"/>
    <x v="0"/>
    <x v="4"/>
    <x v="0"/>
  </r>
  <r>
    <s v="T001403"/>
    <d v="2026-11-03T00:00:00"/>
    <x v="1"/>
    <x v="1"/>
    <x v="2"/>
    <x v="0"/>
    <s v="India"/>
    <x v="2"/>
    <x v="11"/>
    <s v="C01403"/>
    <n v="62"/>
    <s v="Male"/>
    <x v="3"/>
    <x v="0"/>
    <x v="0"/>
    <s v="Half Board"/>
    <n v="21942.06"/>
    <n v="1793.12"/>
    <x v="1"/>
    <s v="Confirmed"/>
    <x v="1"/>
    <x v="14"/>
    <x v="1"/>
    <x v="4"/>
    <x v="1"/>
  </r>
  <r>
    <s v="T001404"/>
    <d v="2026-11-04T00:00:00"/>
    <x v="4"/>
    <x v="3"/>
    <x v="3"/>
    <x v="1"/>
    <s v="India"/>
    <x v="5"/>
    <x v="11"/>
    <s v="C01404"/>
    <n v="40"/>
    <s v="Male"/>
    <x v="0"/>
    <x v="3"/>
    <x v="1"/>
    <s v="Breakfast Only"/>
    <n v="8649.0300000000007"/>
    <n v="45.87"/>
    <x v="0"/>
    <s v="Pending"/>
    <x v="1"/>
    <x v="28"/>
    <x v="3"/>
    <x v="2"/>
    <x v="1"/>
  </r>
  <r>
    <s v="T001405"/>
    <d v="2026-11-05T00:00:00"/>
    <x v="4"/>
    <x v="3"/>
    <x v="3"/>
    <x v="1"/>
    <s v="India"/>
    <x v="5"/>
    <x v="2"/>
    <s v="C01405"/>
    <n v="63"/>
    <s v="Other"/>
    <x v="5"/>
    <x v="1"/>
    <x v="0"/>
    <s v="No Meals"/>
    <n v="39603.550000000003"/>
    <n v="3810.6"/>
    <x v="2"/>
    <s v="Pending"/>
    <x v="2"/>
    <x v="35"/>
    <x v="2"/>
    <x v="4"/>
    <x v="1"/>
  </r>
  <r>
    <s v="T001406"/>
    <d v="2026-11-06T00:00:00"/>
    <x v="0"/>
    <x v="0"/>
    <x v="3"/>
    <x v="1"/>
    <s v="India"/>
    <x v="5"/>
    <x v="3"/>
    <s v="C01406"/>
    <n v="47"/>
    <s v="Other"/>
    <x v="6"/>
    <x v="1"/>
    <x v="1"/>
    <s v="Full Board"/>
    <n v="11359.17"/>
    <n v="2800.53"/>
    <x v="0"/>
    <s v="Confirmed"/>
    <x v="0"/>
    <x v="26"/>
    <x v="0"/>
    <x v="3"/>
    <x v="0"/>
  </r>
  <r>
    <s v="T001407"/>
    <d v="2026-11-07T00:00:00"/>
    <x v="1"/>
    <x v="1"/>
    <x v="2"/>
    <x v="0"/>
    <s v="India"/>
    <x v="2"/>
    <x v="5"/>
    <s v="C01407"/>
    <n v="38"/>
    <s v="Other"/>
    <x v="0"/>
    <x v="0"/>
    <x v="2"/>
    <s v="No Meals"/>
    <n v="44814.06"/>
    <n v="4503.3999999999996"/>
    <x v="1"/>
    <s v="Confirmed"/>
    <x v="2"/>
    <x v="14"/>
    <x v="1"/>
    <x v="1"/>
    <x v="0"/>
  </r>
  <r>
    <s v="T001408"/>
    <d v="2026-11-08T00:00:00"/>
    <x v="3"/>
    <x v="1"/>
    <x v="2"/>
    <x v="0"/>
    <s v="India"/>
    <x v="3"/>
    <x v="8"/>
    <s v="C01408"/>
    <n v="27"/>
    <s v="Male"/>
    <x v="3"/>
    <x v="3"/>
    <x v="2"/>
    <s v="No Meals"/>
    <n v="28859.99"/>
    <n v="155.16"/>
    <x v="0"/>
    <s v="Pending"/>
    <x v="2"/>
    <x v="7"/>
    <x v="3"/>
    <x v="3"/>
    <x v="0"/>
  </r>
  <r>
    <s v="T001409"/>
    <d v="2026-11-09T00:00:00"/>
    <x v="2"/>
    <x v="2"/>
    <x v="1"/>
    <x v="1"/>
    <s v="India"/>
    <x v="1"/>
    <x v="4"/>
    <s v="C01409"/>
    <n v="60"/>
    <s v="Female"/>
    <x v="0"/>
    <x v="3"/>
    <x v="3"/>
    <s v="Breakfast Only"/>
    <n v="47681.279999999999"/>
    <n v="1356.95"/>
    <x v="1"/>
    <s v="Cancelled"/>
    <x v="1"/>
    <x v="28"/>
    <x v="3"/>
    <x v="1"/>
    <x v="0"/>
  </r>
  <r>
    <s v="T001410"/>
    <d v="2026-11-10T00:00:00"/>
    <x v="4"/>
    <x v="3"/>
    <x v="1"/>
    <x v="1"/>
    <s v="India"/>
    <x v="1"/>
    <x v="0"/>
    <s v="C01410"/>
    <n v="30"/>
    <s v="Male"/>
    <x v="4"/>
    <x v="0"/>
    <x v="1"/>
    <s v="Breakfast Only"/>
    <n v="18066.240000000002"/>
    <n v="3656.26"/>
    <x v="1"/>
    <s v="Confirmed"/>
    <x v="0"/>
    <x v="32"/>
    <x v="4"/>
    <x v="4"/>
    <x v="0"/>
  </r>
  <r>
    <s v="T001411"/>
    <d v="2026-11-11T00:00:00"/>
    <x v="2"/>
    <x v="2"/>
    <x v="4"/>
    <x v="1"/>
    <s v="India"/>
    <x v="6"/>
    <x v="2"/>
    <s v="C01411"/>
    <n v="29"/>
    <s v="Other"/>
    <x v="2"/>
    <x v="3"/>
    <x v="1"/>
    <s v="No Meals"/>
    <n v="25444.23"/>
    <n v="3375.75"/>
    <x v="2"/>
    <s v="Confirmed"/>
    <x v="3"/>
    <x v="9"/>
    <x v="4"/>
    <x v="3"/>
    <x v="0"/>
  </r>
  <r>
    <s v="T001412"/>
    <d v="2026-11-12T00:00:00"/>
    <x v="2"/>
    <x v="2"/>
    <x v="2"/>
    <x v="0"/>
    <s v="India"/>
    <x v="2"/>
    <x v="6"/>
    <s v="C01412"/>
    <n v="26"/>
    <s v="Female"/>
    <x v="0"/>
    <x v="2"/>
    <x v="0"/>
    <s v="Half Board"/>
    <n v="36241.11"/>
    <n v="1215.29"/>
    <x v="2"/>
    <s v="Cancelled"/>
    <x v="3"/>
    <x v="19"/>
    <x v="3"/>
    <x v="2"/>
    <x v="1"/>
  </r>
  <r>
    <s v="T001413"/>
    <d v="2026-11-13T00:00:00"/>
    <x v="0"/>
    <x v="0"/>
    <x v="2"/>
    <x v="0"/>
    <s v="India"/>
    <x v="2"/>
    <x v="2"/>
    <s v="C01413"/>
    <n v="21"/>
    <s v="Female"/>
    <x v="1"/>
    <x v="0"/>
    <x v="1"/>
    <s v="Full Board"/>
    <n v="42436.1"/>
    <n v="2978.44"/>
    <x v="1"/>
    <s v="Pending"/>
    <x v="0"/>
    <x v="33"/>
    <x v="4"/>
    <x v="4"/>
    <x v="1"/>
  </r>
  <r>
    <s v="T001414"/>
    <d v="2026-11-14T00:00:00"/>
    <x v="1"/>
    <x v="1"/>
    <x v="2"/>
    <x v="0"/>
    <s v="India"/>
    <x v="3"/>
    <x v="7"/>
    <s v="C01414"/>
    <n v="56"/>
    <s v="Other"/>
    <x v="5"/>
    <x v="1"/>
    <x v="2"/>
    <s v="Half Board"/>
    <n v="23961.07"/>
    <n v="3968.79"/>
    <x v="3"/>
    <s v="Pending"/>
    <x v="3"/>
    <x v="33"/>
    <x v="4"/>
    <x v="2"/>
    <x v="1"/>
  </r>
  <r>
    <s v="T001415"/>
    <d v="2026-11-15T00:00:00"/>
    <x v="4"/>
    <x v="3"/>
    <x v="1"/>
    <x v="1"/>
    <s v="India"/>
    <x v="1"/>
    <x v="0"/>
    <s v="C01415"/>
    <n v="41"/>
    <s v="Female"/>
    <x v="3"/>
    <x v="0"/>
    <x v="3"/>
    <s v="Half Board"/>
    <n v="45159.46"/>
    <n v="166.9"/>
    <x v="2"/>
    <s v="Cancelled"/>
    <x v="1"/>
    <x v="3"/>
    <x v="3"/>
    <x v="1"/>
    <x v="1"/>
  </r>
  <r>
    <s v="T001416"/>
    <d v="2026-11-16T00:00:00"/>
    <x v="2"/>
    <x v="2"/>
    <x v="3"/>
    <x v="1"/>
    <s v="India"/>
    <x v="5"/>
    <x v="8"/>
    <s v="C01416"/>
    <n v="51"/>
    <s v="Female"/>
    <x v="0"/>
    <x v="2"/>
    <x v="0"/>
    <s v="Full Board"/>
    <n v="10309.42"/>
    <n v="3588.14"/>
    <x v="1"/>
    <s v="Confirmed"/>
    <x v="1"/>
    <x v="37"/>
    <x v="3"/>
    <x v="0"/>
    <x v="1"/>
  </r>
  <r>
    <s v="T001417"/>
    <d v="2026-11-17T00:00:00"/>
    <x v="4"/>
    <x v="3"/>
    <x v="0"/>
    <x v="0"/>
    <s v="India"/>
    <x v="4"/>
    <x v="3"/>
    <s v="C01417"/>
    <n v="56"/>
    <s v="Other"/>
    <x v="3"/>
    <x v="0"/>
    <x v="3"/>
    <s v="Breakfast Only"/>
    <n v="36890.81"/>
    <n v="1260.49"/>
    <x v="3"/>
    <s v="Cancelled"/>
    <x v="2"/>
    <x v="35"/>
    <x v="2"/>
    <x v="0"/>
    <x v="0"/>
  </r>
  <r>
    <s v="T001418"/>
    <d v="2026-11-18T00:00:00"/>
    <x v="3"/>
    <x v="1"/>
    <x v="1"/>
    <x v="1"/>
    <s v="India"/>
    <x v="1"/>
    <x v="1"/>
    <s v="C01418"/>
    <n v="58"/>
    <s v="Female"/>
    <x v="2"/>
    <x v="1"/>
    <x v="1"/>
    <s v="Half Board"/>
    <n v="20668.95"/>
    <n v="4739.26"/>
    <x v="3"/>
    <s v="Confirmed"/>
    <x v="1"/>
    <x v="3"/>
    <x v="3"/>
    <x v="1"/>
    <x v="0"/>
  </r>
  <r>
    <s v="T001419"/>
    <d v="2026-11-19T00:00:00"/>
    <x v="0"/>
    <x v="0"/>
    <x v="2"/>
    <x v="0"/>
    <s v="India"/>
    <x v="2"/>
    <x v="6"/>
    <s v="C01419"/>
    <n v="22"/>
    <s v="Female"/>
    <x v="4"/>
    <x v="1"/>
    <x v="1"/>
    <s v="Breakfast Only"/>
    <n v="9560.1"/>
    <n v="2691.1"/>
    <x v="0"/>
    <s v="Pending"/>
    <x v="3"/>
    <x v="17"/>
    <x v="1"/>
    <x v="0"/>
    <x v="1"/>
  </r>
  <r>
    <s v="T001420"/>
    <d v="2026-11-20T00:00:00"/>
    <x v="3"/>
    <x v="1"/>
    <x v="1"/>
    <x v="1"/>
    <s v="India"/>
    <x v="1"/>
    <x v="11"/>
    <s v="C01420"/>
    <n v="32"/>
    <s v="Other"/>
    <x v="1"/>
    <x v="0"/>
    <x v="0"/>
    <s v="Full Board"/>
    <n v="22399.91"/>
    <n v="166.93"/>
    <x v="0"/>
    <s v="Confirmed"/>
    <x v="2"/>
    <x v="13"/>
    <x v="0"/>
    <x v="4"/>
    <x v="1"/>
  </r>
  <r>
    <s v="T001421"/>
    <d v="2026-11-21T00:00:00"/>
    <x v="4"/>
    <x v="3"/>
    <x v="4"/>
    <x v="1"/>
    <s v="India"/>
    <x v="6"/>
    <x v="7"/>
    <s v="C01421"/>
    <n v="67"/>
    <s v="Female"/>
    <x v="6"/>
    <x v="0"/>
    <x v="1"/>
    <s v="Half Board"/>
    <n v="44609.7"/>
    <n v="2017.15"/>
    <x v="2"/>
    <s v="Confirmed"/>
    <x v="0"/>
    <x v="5"/>
    <x v="1"/>
    <x v="4"/>
    <x v="1"/>
  </r>
  <r>
    <s v="T001422"/>
    <d v="2026-11-22T00:00:00"/>
    <x v="4"/>
    <x v="3"/>
    <x v="2"/>
    <x v="0"/>
    <s v="India"/>
    <x v="2"/>
    <x v="5"/>
    <s v="C01422"/>
    <n v="21"/>
    <s v="Female"/>
    <x v="0"/>
    <x v="2"/>
    <x v="3"/>
    <s v="Breakfast Only"/>
    <n v="49124.02"/>
    <n v="4831.5600000000004"/>
    <x v="3"/>
    <s v="Confirmed"/>
    <x v="0"/>
    <x v="20"/>
    <x v="0"/>
    <x v="3"/>
    <x v="0"/>
  </r>
  <r>
    <s v="T001423"/>
    <d v="2026-11-23T00:00:00"/>
    <x v="1"/>
    <x v="1"/>
    <x v="4"/>
    <x v="1"/>
    <s v="India"/>
    <x v="6"/>
    <x v="6"/>
    <s v="C01423"/>
    <n v="68"/>
    <s v="Female"/>
    <x v="4"/>
    <x v="2"/>
    <x v="2"/>
    <s v="Breakfast Only"/>
    <n v="22675.99"/>
    <n v="3651.86"/>
    <x v="2"/>
    <s v="Confirmed"/>
    <x v="2"/>
    <x v="23"/>
    <x v="1"/>
    <x v="4"/>
    <x v="0"/>
  </r>
  <r>
    <s v="T001424"/>
    <d v="2026-11-24T00:00:00"/>
    <x v="2"/>
    <x v="2"/>
    <x v="2"/>
    <x v="0"/>
    <s v="India"/>
    <x v="3"/>
    <x v="8"/>
    <s v="C01424"/>
    <n v="69"/>
    <s v="Female"/>
    <x v="3"/>
    <x v="1"/>
    <x v="0"/>
    <s v="Half Board"/>
    <n v="44888.74"/>
    <n v="1502.4"/>
    <x v="1"/>
    <s v="Confirmed"/>
    <x v="1"/>
    <x v="9"/>
    <x v="4"/>
    <x v="0"/>
    <x v="0"/>
  </r>
  <r>
    <s v="T001425"/>
    <d v="2026-11-25T00:00:00"/>
    <x v="2"/>
    <x v="2"/>
    <x v="1"/>
    <x v="1"/>
    <s v="India"/>
    <x v="1"/>
    <x v="2"/>
    <s v="C01425"/>
    <n v="56"/>
    <s v="Other"/>
    <x v="2"/>
    <x v="3"/>
    <x v="1"/>
    <s v="Full Board"/>
    <n v="27934.45"/>
    <n v="2876.34"/>
    <x v="2"/>
    <s v="Pending"/>
    <x v="2"/>
    <x v="4"/>
    <x v="0"/>
    <x v="2"/>
    <x v="0"/>
  </r>
  <r>
    <s v="T001426"/>
    <d v="2026-11-26T00:00:00"/>
    <x v="3"/>
    <x v="1"/>
    <x v="3"/>
    <x v="1"/>
    <s v="India"/>
    <x v="5"/>
    <x v="9"/>
    <s v="C01426"/>
    <n v="25"/>
    <s v="Male"/>
    <x v="5"/>
    <x v="3"/>
    <x v="3"/>
    <s v="No Meals"/>
    <n v="37265.68"/>
    <n v="2995.51"/>
    <x v="3"/>
    <s v="Cancelled"/>
    <x v="2"/>
    <x v="1"/>
    <x v="1"/>
    <x v="3"/>
    <x v="0"/>
  </r>
  <r>
    <s v="T001427"/>
    <d v="2026-11-27T00:00:00"/>
    <x v="0"/>
    <x v="0"/>
    <x v="0"/>
    <x v="0"/>
    <s v="India"/>
    <x v="0"/>
    <x v="4"/>
    <s v="C01427"/>
    <n v="66"/>
    <s v="Male"/>
    <x v="3"/>
    <x v="3"/>
    <x v="2"/>
    <s v="Breakfast Only"/>
    <n v="7041.71"/>
    <n v="116.74"/>
    <x v="0"/>
    <s v="Pending"/>
    <x v="1"/>
    <x v="8"/>
    <x v="2"/>
    <x v="2"/>
    <x v="0"/>
  </r>
  <r>
    <s v="T001428"/>
    <d v="2026-11-28T00:00:00"/>
    <x v="2"/>
    <x v="2"/>
    <x v="4"/>
    <x v="1"/>
    <s v="India"/>
    <x v="6"/>
    <x v="0"/>
    <s v="C01428"/>
    <n v="62"/>
    <s v="Female"/>
    <x v="5"/>
    <x v="3"/>
    <x v="1"/>
    <s v="Full Board"/>
    <n v="30079.040000000001"/>
    <n v="894.17"/>
    <x v="2"/>
    <s v="Confirmed"/>
    <x v="0"/>
    <x v="1"/>
    <x v="1"/>
    <x v="0"/>
    <x v="0"/>
  </r>
  <r>
    <s v="T001429"/>
    <d v="2026-11-29T00:00:00"/>
    <x v="1"/>
    <x v="1"/>
    <x v="1"/>
    <x v="1"/>
    <s v="India"/>
    <x v="1"/>
    <x v="3"/>
    <s v="C01429"/>
    <n v="41"/>
    <s v="Other"/>
    <x v="2"/>
    <x v="1"/>
    <x v="0"/>
    <s v="Half Board"/>
    <n v="8157.29"/>
    <n v="2758.88"/>
    <x v="0"/>
    <s v="Cancelled"/>
    <x v="2"/>
    <x v="19"/>
    <x v="2"/>
    <x v="2"/>
    <x v="1"/>
  </r>
  <r>
    <s v="T001430"/>
    <d v="2026-11-30T00:00:00"/>
    <x v="3"/>
    <x v="1"/>
    <x v="3"/>
    <x v="1"/>
    <s v="India"/>
    <x v="5"/>
    <x v="6"/>
    <s v="C01430"/>
    <n v="45"/>
    <s v="Other"/>
    <x v="5"/>
    <x v="3"/>
    <x v="1"/>
    <s v="Breakfast Only"/>
    <n v="17087.810000000001"/>
    <n v="2013.76"/>
    <x v="2"/>
    <s v="Confirmed"/>
    <x v="0"/>
    <x v="20"/>
    <x v="0"/>
    <x v="0"/>
    <x v="1"/>
  </r>
  <r>
    <s v="T001431"/>
    <d v="2026-12-01T00:00:00"/>
    <x v="3"/>
    <x v="1"/>
    <x v="1"/>
    <x v="1"/>
    <s v="India"/>
    <x v="1"/>
    <x v="1"/>
    <s v="C01431"/>
    <n v="60"/>
    <s v="Female"/>
    <x v="2"/>
    <x v="3"/>
    <x v="1"/>
    <s v="Breakfast Only"/>
    <n v="30506.639999999999"/>
    <n v="950.19"/>
    <x v="1"/>
    <s v="Pending"/>
    <x v="3"/>
    <x v="27"/>
    <x v="0"/>
    <x v="4"/>
    <x v="0"/>
  </r>
  <r>
    <s v="T001432"/>
    <d v="2026-12-02T00:00:00"/>
    <x v="1"/>
    <x v="1"/>
    <x v="4"/>
    <x v="1"/>
    <s v="India"/>
    <x v="6"/>
    <x v="10"/>
    <s v="C01432"/>
    <n v="44"/>
    <s v="Male"/>
    <x v="4"/>
    <x v="0"/>
    <x v="1"/>
    <s v="Breakfast Only"/>
    <n v="41322.370000000003"/>
    <n v="3863.34"/>
    <x v="3"/>
    <s v="Pending"/>
    <x v="1"/>
    <x v="32"/>
    <x v="4"/>
    <x v="3"/>
    <x v="1"/>
  </r>
  <r>
    <s v="T001433"/>
    <d v="2026-12-03T00:00:00"/>
    <x v="0"/>
    <x v="0"/>
    <x v="0"/>
    <x v="0"/>
    <s v="India"/>
    <x v="0"/>
    <x v="2"/>
    <s v="C01433"/>
    <n v="18"/>
    <s v="Female"/>
    <x v="0"/>
    <x v="3"/>
    <x v="2"/>
    <s v="Full Board"/>
    <n v="30240.21"/>
    <n v="2444.9699999999998"/>
    <x v="2"/>
    <s v="Confirmed"/>
    <x v="3"/>
    <x v="11"/>
    <x v="0"/>
    <x v="1"/>
    <x v="0"/>
  </r>
  <r>
    <s v="T001434"/>
    <d v="2026-12-04T00:00:00"/>
    <x v="1"/>
    <x v="1"/>
    <x v="1"/>
    <x v="1"/>
    <s v="India"/>
    <x v="1"/>
    <x v="4"/>
    <s v="C01434"/>
    <n v="51"/>
    <s v="Other"/>
    <x v="6"/>
    <x v="0"/>
    <x v="2"/>
    <s v="Breakfast Only"/>
    <n v="47128.62"/>
    <n v="1549.87"/>
    <x v="1"/>
    <s v="Confirmed"/>
    <x v="0"/>
    <x v="32"/>
    <x v="4"/>
    <x v="0"/>
    <x v="1"/>
  </r>
  <r>
    <s v="T001435"/>
    <d v="2026-12-05T00:00:00"/>
    <x v="0"/>
    <x v="0"/>
    <x v="2"/>
    <x v="0"/>
    <s v="India"/>
    <x v="2"/>
    <x v="8"/>
    <s v="C01435"/>
    <n v="34"/>
    <s v="Other"/>
    <x v="0"/>
    <x v="1"/>
    <x v="1"/>
    <s v="Breakfast Only"/>
    <n v="41464.959999999999"/>
    <n v="808.39"/>
    <x v="1"/>
    <s v="Cancelled"/>
    <x v="3"/>
    <x v="30"/>
    <x v="0"/>
    <x v="4"/>
    <x v="0"/>
  </r>
  <r>
    <s v="T001436"/>
    <d v="2026-12-06T00:00:00"/>
    <x v="1"/>
    <x v="1"/>
    <x v="3"/>
    <x v="1"/>
    <s v="India"/>
    <x v="5"/>
    <x v="1"/>
    <s v="C01436"/>
    <n v="54"/>
    <s v="Male"/>
    <x v="1"/>
    <x v="0"/>
    <x v="1"/>
    <s v="Half Board"/>
    <n v="12030.81"/>
    <n v="3055.82"/>
    <x v="1"/>
    <s v="Cancelled"/>
    <x v="3"/>
    <x v="13"/>
    <x v="0"/>
    <x v="2"/>
    <x v="0"/>
  </r>
  <r>
    <s v="T001437"/>
    <d v="2026-12-07T00:00:00"/>
    <x v="1"/>
    <x v="1"/>
    <x v="1"/>
    <x v="1"/>
    <s v="India"/>
    <x v="1"/>
    <x v="2"/>
    <s v="C01437"/>
    <n v="55"/>
    <s v="Other"/>
    <x v="0"/>
    <x v="2"/>
    <x v="0"/>
    <s v="Breakfast Only"/>
    <n v="22503.13"/>
    <n v="3331.31"/>
    <x v="0"/>
    <s v="Confirmed"/>
    <x v="3"/>
    <x v="26"/>
    <x v="0"/>
    <x v="4"/>
    <x v="1"/>
  </r>
  <r>
    <s v="T001438"/>
    <d v="2026-12-08T00:00:00"/>
    <x v="4"/>
    <x v="3"/>
    <x v="3"/>
    <x v="1"/>
    <s v="India"/>
    <x v="5"/>
    <x v="4"/>
    <s v="C01438"/>
    <n v="43"/>
    <s v="Other"/>
    <x v="2"/>
    <x v="0"/>
    <x v="1"/>
    <s v="Full Board"/>
    <n v="35081.839999999997"/>
    <n v="3347.99"/>
    <x v="0"/>
    <s v="Cancelled"/>
    <x v="2"/>
    <x v="12"/>
    <x v="1"/>
    <x v="2"/>
    <x v="0"/>
  </r>
  <r>
    <s v="T001439"/>
    <d v="2026-12-09T00:00:00"/>
    <x v="3"/>
    <x v="1"/>
    <x v="2"/>
    <x v="0"/>
    <s v="India"/>
    <x v="2"/>
    <x v="4"/>
    <s v="C01439"/>
    <n v="41"/>
    <s v="Other"/>
    <x v="2"/>
    <x v="3"/>
    <x v="3"/>
    <s v="Half Board"/>
    <n v="47228.27"/>
    <n v="1101.44"/>
    <x v="1"/>
    <s v="Confirmed"/>
    <x v="2"/>
    <x v="14"/>
    <x v="1"/>
    <x v="2"/>
    <x v="1"/>
  </r>
  <r>
    <s v="T001440"/>
    <d v="2026-12-10T00:00:00"/>
    <x v="1"/>
    <x v="1"/>
    <x v="0"/>
    <x v="0"/>
    <s v="India"/>
    <x v="4"/>
    <x v="11"/>
    <s v="C01440"/>
    <n v="56"/>
    <s v="Male"/>
    <x v="1"/>
    <x v="0"/>
    <x v="3"/>
    <s v="No Meals"/>
    <n v="49447.21"/>
    <n v="2976.69"/>
    <x v="1"/>
    <s v="Confirmed"/>
    <x v="1"/>
    <x v="29"/>
    <x v="1"/>
    <x v="2"/>
    <x v="0"/>
  </r>
  <r>
    <s v="T001441"/>
    <d v="2026-12-11T00:00:00"/>
    <x v="1"/>
    <x v="1"/>
    <x v="0"/>
    <x v="0"/>
    <s v="India"/>
    <x v="4"/>
    <x v="4"/>
    <s v="C01441"/>
    <n v="38"/>
    <s v="Other"/>
    <x v="3"/>
    <x v="0"/>
    <x v="0"/>
    <s v="Half Board"/>
    <n v="39343.39"/>
    <n v="4527.03"/>
    <x v="2"/>
    <s v="Confirmed"/>
    <x v="0"/>
    <x v="25"/>
    <x v="3"/>
    <x v="2"/>
    <x v="1"/>
  </r>
  <r>
    <s v="T001442"/>
    <d v="2026-12-12T00:00:00"/>
    <x v="2"/>
    <x v="2"/>
    <x v="2"/>
    <x v="0"/>
    <s v="India"/>
    <x v="2"/>
    <x v="9"/>
    <s v="C01442"/>
    <n v="47"/>
    <s v="Female"/>
    <x v="2"/>
    <x v="1"/>
    <x v="2"/>
    <s v="Breakfast Only"/>
    <n v="30819.62"/>
    <n v="1765.94"/>
    <x v="2"/>
    <s v="Pending"/>
    <x v="0"/>
    <x v="37"/>
    <x v="3"/>
    <x v="3"/>
    <x v="0"/>
  </r>
  <r>
    <s v="T001443"/>
    <d v="2026-12-13T00:00:00"/>
    <x v="3"/>
    <x v="1"/>
    <x v="3"/>
    <x v="1"/>
    <s v="India"/>
    <x v="5"/>
    <x v="1"/>
    <s v="C01443"/>
    <n v="64"/>
    <s v="Male"/>
    <x v="1"/>
    <x v="1"/>
    <x v="1"/>
    <s v="No Meals"/>
    <n v="39047.440000000002"/>
    <n v="1053.83"/>
    <x v="3"/>
    <s v="Confirmed"/>
    <x v="1"/>
    <x v="1"/>
    <x v="1"/>
    <x v="2"/>
    <x v="1"/>
  </r>
  <r>
    <s v="T001444"/>
    <d v="2026-12-14T00:00:00"/>
    <x v="2"/>
    <x v="2"/>
    <x v="1"/>
    <x v="1"/>
    <s v="India"/>
    <x v="1"/>
    <x v="8"/>
    <s v="C01444"/>
    <n v="68"/>
    <s v="Female"/>
    <x v="2"/>
    <x v="3"/>
    <x v="0"/>
    <s v="Half Board"/>
    <n v="17295.64"/>
    <n v="3860.75"/>
    <x v="2"/>
    <s v="Confirmed"/>
    <x v="0"/>
    <x v="24"/>
    <x v="0"/>
    <x v="3"/>
    <x v="0"/>
  </r>
  <r>
    <s v="T001445"/>
    <d v="2026-12-15T00:00:00"/>
    <x v="3"/>
    <x v="1"/>
    <x v="2"/>
    <x v="0"/>
    <s v="India"/>
    <x v="3"/>
    <x v="8"/>
    <s v="C01445"/>
    <n v="65"/>
    <s v="Female"/>
    <x v="6"/>
    <x v="2"/>
    <x v="2"/>
    <s v="Breakfast Only"/>
    <n v="17762.14"/>
    <n v="884.41"/>
    <x v="3"/>
    <s v="Confirmed"/>
    <x v="0"/>
    <x v="33"/>
    <x v="4"/>
    <x v="1"/>
    <x v="1"/>
  </r>
  <r>
    <s v="T001446"/>
    <d v="2026-12-16T00:00:00"/>
    <x v="2"/>
    <x v="2"/>
    <x v="4"/>
    <x v="1"/>
    <s v="India"/>
    <x v="6"/>
    <x v="9"/>
    <s v="C01446"/>
    <n v="30"/>
    <s v="Male"/>
    <x v="2"/>
    <x v="2"/>
    <x v="0"/>
    <s v="Half Board"/>
    <n v="34445.72"/>
    <n v="1268.74"/>
    <x v="3"/>
    <s v="Cancelled"/>
    <x v="3"/>
    <x v="23"/>
    <x v="1"/>
    <x v="3"/>
    <x v="1"/>
  </r>
  <r>
    <s v="T001447"/>
    <d v="2026-12-17T00:00:00"/>
    <x v="1"/>
    <x v="1"/>
    <x v="3"/>
    <x v="1"/>
    <s v="India"/>
    <x v="5"/>
    <x v="5"/>
    <s v="C01447"/>
    <n v="54"/>
    <s v="Female"/>
    <x v="4"/>
    <x v="0"/>
    <x v="2"/>
    <s v="Full Board"/>
    <n v="44232.6"/>
    <n v="503.22"/>
    <x v="3"/>
    <s v="Confirmed"/>
    <x v="3"/>
    <x v="11"/>
    <x v="0"/>
    <x v="2"/>
    <x v="1"/>
  </r>
  <r>
    <s v="T001448"/>
    <d v="2026-12-18T00:00:00"/>
    <x v="1"/>
    <x v="1"/>
    <x v="0"/>
    <x v="0"/>
    <s v="India"/>
    <x v="4"/>
    <x v="6"/>
    <s v="C01448"/>
    <n v="20"/>
    <s v="Male"/>
    <x v="1"/>
    <x v="2"/>
    <x v="1"/>
    <s v="Breakfast Only"/>
    <n v="48641.43"/>
    <n v="1339.37"/>
    <x v="0"/>
    <s v="Pending"/>
    <x v="0"/>
    <x v="21"/>
    <x v="2"/>
    <x v="1"/>
    <x v="1"/>
  </r>
  <r>
    <s v="T001449"/>
    <d v="2026-12-19T00:00:00"/>
    <x v="4"/>
    <x v="3"/>
    <x v="2"/>
    <x v="0"/>
    <s v="India"/>
    <x v="3"/>
    <x v="1"/>
    <s v="C01449"/>
    <n v="49"/>
    <s v="Female"/>
    <x v="5"/>
    <x v="1"/>
    <x v="0"/>
    <s v="Full Board"/>
    <n v="20360.060000000001"/>
    <n v="2051.6799999999998"/>
    <x v="2"/>
    <s v="Pending"/>
    <x v="1"/>
    <x v="37"/>
    <x v="3"/>
    <x v="4"/>
    <x v="0"/>
  </r>
  <r>
    <s v="T001450"/>
    <d v="2026-12-20T00:00:00"/>
    <x v="2"/>
    <x v="2"/>
    <x v="0"/>
    <x v="0"/>
    <s v="India"/>
    <x v="0"/>
    <x v="4"/>
    <s v="C01450"/>
    <n v="52"/>
    <s v="Male"/>
    <x v="0"/>
    <x v="3"/>
    <x v="1"/>
    <s v="Breakfast Only"/>
    <n v="40844.910000000003"/>
    <n v="320.79000000000002"/>
    <x v="1"/>
    <s v="Confirmed"/>
    <x v="1"/>
    <x v="0"/>
    <x v="0"/>
    <x v="3"/>
    <x v="1"/>
  </r>
  <r>
    <s v="T001451"/>
    <d v="2026-12-21T00:00:00"/>
    <x v="0"/>
    <x v="0"/>
    <x v="3"/>
    <x v="1"/>
    <s v="India"/>
    <x v="5"/>
    <x v="6"/>
    <s v="C01451"/>
    <n v="36"/>
    <s v="Other"/>
    <x v="1"/>
    <x v="3"/>
    <x v="0"/>
    <s v="Full Board"/>
    <n v="43318.89"/>
    <n v="4358.54"/>
    <x v="3"/>
    <s v="Confirmed"/>
    <x v="0"/>
    <x v="9"/>
    <x v="4"/>
    <x v="4"/>
    <x v="0"/>
  </r>
  <r>
    <s v="T001452"/>
    <d v="2026-12-22T00:00:00"/>
    <x v="4"/>
    <x v="3"/>
    <x v="0"/>
    <x v="0"/>
    <s v="India"/>
    <x v="4"/>
    <x v="3"/>
    <s v="C01452"/>
    <n v="31"/>
    <s v="Other"/>
    <x v="3"/>
    <x v="1"/>
    <x v="2"/>
    <s v="No Meals"/>
    <n v="33042.800000000003"/>
    <n v="2568.37"/>
    <x v="1"/>
    <s v="Confirmed"/>
    <x v="1"/>
    <x v="38"/>
    <x v="0"/>
    <x v="1"/>
    <x v="0"/>
  </r>
  <r>
    <s v="T001453"/>
    <d v="2026-12-23T00:00:00"/>
    <x v="2"/>
    <x v="2"/>
    <x v="2"/>
    <x v="0"/>
    <s v="India"/>
    <x v="2"/>
    <x v="7"/>
    <s v="C01453"/>
    <n v="65"/>
    <s v="Female"/>
    <x v="2"/>
    <x v="3"/>
    <x v="0"/>
    <s v="Full Board"/>
    <n v="20641.63"/>
    <n v="2940.52"/>
    <x v="3"/>
    <s v="Pending"/>
    <x v="1"/>
    <x v="24"/>
    <x v="0"/>
    <x v="3"/>
    <x v="0"/>
  </r>
  <r>
    <s v="T001454"/>
    <d v="2026-12-24T00:00:00"/>
    <x v="2"/>
    <x v="2"/>
    <x v="3"/>
    <x v="1"/>
    <s v="India"/>
    <x v="5"/>
    <x v="1"/>
    <s v="C01454"/>
    <n v="39"/>
    <s v="Other"/>
    <x v="1"/>
    <x v="0"/>
    <x v="3"/>
    <s v="Half Board"/>
    <n v="32858.99"/>
    <n v="1856.43"/>
    <x v="2"/>
    <s v="Cancelled"/>
    <x v="3"/>
    <x v="27"/>
    <x v="0"/>
    <x v="2"/>
    <x v="0"/>
  </r>
  <r>
    <s v="T001455"/>
    <d v="2026-12-25T00:00:00"/>
    <x v="4"/>
    <x v="3"/>
    <x v="4"/>
    <x v="1"/>
    <s v="India"/>
    <x v="6"/>
    <x v="10"/>
    <s v="C01455"/>
    <n v="34"/>
    <s v="Male"/>
    <x v="6"/>
    <x v="3"/>
    <x v="3"/>
    <s v="Breakfast Only"/>
    <n v="31300.2"/>
    <n v="3349.18"/>
    <x v="3"/>
    <s v="Cancelled"/>
    <x v="1"/>
    <x v="13"/>
    <x v="0"/>
    <x v="3"/>
    <x v="0"/>
  </r>
  <r>
    <s v="T001456"/>
    <d v="2026-12-26T00:00:00"/>
    <x v="1"/>
    <x v="1"/>
    <x v="2"/>
    <x v="0"/>
    <s v="India"/>
    <x v="3"/>
    <x v="3"/>
    <s v="C01456"/>
    <n v="21"/>
    <s v="Female"/>
    <x v="1"/>
    <x v="2"/>
    <x v="0"/>
    <s v="Half Board"/>
    <n v="32293.65"/>
    <n v="2158.91"/>
    <x v="2"/>
    <s v="Confirmed"/>
    <x v="2"/>
    <x v="1"/>
    <x v="1"/>
    <x v="2"/>
    <x v="0"/>
  </r>
  <r>
    <s v="T001457"/>
    <d v="2026-12-27T00:00:00"/>
    <x v="2"/>
    <x v="2"/>
    <x v="1"/>
    <x v="1"/>
    <s v="India"/>
    <x v="1"/>
    <x v="9"/>
    <s v="C01457"/>
    <n v="62"/>
    <s v="Other"/>
    <x v="6"/>
    <x v="3"/>
    <x v="3"/>
    <s v="Full Board"/>
    <n v="32866.71"/>
    <n v="3806.57"/>
    <x v="1"/>
    <s v="Cancelled"/>
    <x v="3"/>
    <x v="9"/>
    <x v="4"/>
    <x v="0"/>
    <x v="0"/>
  </r>
  <r>
    <s v="T001458"/>
    <d v="2026-12-28T00:00:00"/>
    <x v="1"/>
    <x v="1"/>
    <x v="2"/>
    <x v="0"/>
    <s v="India"/>
    <x v="3"/>
    <x v="4"/>
    <s v="C01458"/>
    <n v="57"/>
    <s v="Other"/>
    <x v="2"/>
    <x v="3"/>
    <x v="1"/>
    <s v="Breakfast Only"/>
    <n v="43117.62"/>
    <n v="4107.01"/>
    <x v="2"/>
    <s v="Pending"/>
    <x v="2"/>
    <x v="10"/>
    <x v="1"/>
    <x v="3"/>
    <x v="0"/>
  </r>
  <r>
    <s v="T001459"/>
    <d v="2026-12-29T00:00:00"/>
    <x v="4"/>
    <x v="3"/>
    <x v="3"/>
    <x v="1"/>
    <s v="India"/>
    <x v="5"/>
    <x v="5"/>
    <s v="C01459"/>
    <n v="36"/>
    <s v="Female"/>
    <x v="0"/>
    <x v="1"/>
    <x v="3"/>
    <s v="Full Board"/>
    <n v="12653.67"/>
    <n v="3359.25"/>
    <x v="1"/>
    <s v="Confirmed"/>
    <x v="0"/>
    <x v="32"/>
    <x v="4"/>
    <x v="3"/>
    <x v="1"/>
  </r>
  <r>
    <s v="T001460"/>
    <d v="2026-12-30T00:00:00"/>
    <x v="1"/>
    <x v="1"/>
    <x v="2"/>
    <x v="0"/>
    <s v="India"/>
    <x v="3"/>
    <x v="10"/>
    <s v="C01460"/>
    <n v="54"/>
    <s v="Other"/>
    <x v="2"/>
    <x v="1"/>
    <x v="3"/>
    <s v="No Meals"/>
    <n v="21528.23"/>
    <n v="2456.6799999999998"/>
    <x v="2"/>
    <s v="Cancelled"/>
    <x v="1"/>
    <x v="38"/>
    <x v="0"/>
    <x v="4"/>
    <x v="1"/>
  </r>
  <r>
    <s v="T001461"/>
    <d v="2026-12-31T00:00:00"/>
    <x v="3"/>
    <x v="1"/>
    <x v="4"/>
    <x v="1"/>
    <s v="India"/>
    <x v="6"/>
    <x v="5"/>
    <s v="C01461"/>
    <n v="19"/>
    <s v="Other"/>
    <x v="3"/>
    <x v="2"/>
    <x v="1"/>
    <s v="No Meals"/>
    <n v="31370.080000000002"/>
    <n v="3911.35"/>
    <x v="3"/>
    <s v="Confirmed"/>
    <x v="2"/>
    <x v="24"/>
    <x v="0"/>
    <x v="4"/>
    <x v="0"/>
  </r>
  <r>
    <s v="T001462"/>
    <d v="2027-01-01T00:00:00"/>
    <x v="0"/>
    <x v="0"/>
    <x v="4"/>
    <x v="1"/>
    <s v="India"/>
    <x v="6"/>
    <x v="5"/>
    <s v="C01462"/>
    <n v="32"/>
    <s v="Female"/>
    <x v="4"/>
    <x v="1"/>
    <x v="1"/>
    <s v="No Meals"/>
    <n v="17749.75"/>
    <n v="2471.4299999999998"/>
    <x v="3"/>
    <s v="Confirmed"/>
    <x v="1"/>
    <x v="1"/>
    <x v="1"/>
    <x v="1"/>
    <x v="1"/>
  </r>
  <r>
    <s v="T001463"/>
    <d v="2027-01-02T00:00:00"/>
    <x v="2"/>
    <x v="2"/>
    <x v="1"/>
    <x v="1"/>
    <s v="India"/>
    <x v="1"/>
    <x v="0"/>
    <s v="C01463"/>
    <n v="19"/>
    <s v="Other"/>
    <x v="0"/>
    <x v="2"/>
    <x v="2"/>
    <s v="Full Board"/>
    <n v="49016.89"/>
    <n v="557.54999999999995"/>
    <x v="2"/>
    <s v="Pending"/>
    <x v="2"/>
    <x v="26"/>
    <x v="0"/>
    <x v="2"/>
    <x v="1"/>
  </r>
  <r>
    <s v="T001464"/>
    <d v="2027-01-03T00:00:00"/>
    <x v="0"/>
    <x v="0"/>
    <x v="0"/>
    <x v="0"/>
    <s v="India"/>
    <x v="4"/>
    <x v="2"/>
    <s v="C01464"/>
    <n v="28"/>
    <s v="Other"/>
    <x v="0"/>
    <x v="0"/>
    <x v="1"/>
    <s v="Full Board"/>
    <n v="16841.759999999998"/>
    <n v="581.70000000000005"/>
    <x v="1"/>
    <s v="Pending"/>
    <x v="3"/>
    <x v="2"/>
    <x v="3"/>
    <x v="4"/>
    <x v="0"/>
  </r>
  <r>
    <s v="T001465"/>
    <d v="2027-01-04T00:00:00"/>
    <x v="1"/>
    <x v="1"/>
    <x v="3"/>
    <x v="1"/>
    <s v="India"/>
    <x v="5"/>
    <x v="2"/>
    <s v="C01465"/>
    <n v="62"/>
    <s v="Other"/>
    <x v="4"/>
    <x v="2"/>
    <x v="0"/>
    <s v="No Meals"/>
    <n v="26133.3"/>
    <n v="4742.92"/>
    <x v="1"/>
    <s v="Cancelled"/>
    <x v="0"/>
    <x v="16"/>
    <x v="4"/>
    <x v="1"/>
    <x v="1"/>
  </r>
  <r>
    <s v="T001466"/>
    <d v="2027-01-05T00:00:00"/>
    <x v="2"/>
    <x v="2"/>
    <x v="3"/>
    <x v="1"/>
    <s v="India"/>
    <x v="5"/>
    <x v="11"/>
    <s v="C01466"/>
    <n v="40"/>
    <s v="Other"/>
    <x v="1"/>
    <x v="3"/>
    <x v="3"/>
    <s v="Full Board"/>
    <n v="44481.43"/>
    <n v="1067.82"/>
    <x v="1"/>
    <s v="Pending"/>
    <x v="2"/>
    <x v="28"/>
    <x v="3"/>
    <x v="2"/>
    <x v="1"/>
  </r>
  <r>
    <s v="T001467"/>
    <d v="2027-01-06T00:00:00"/>
    <x v="1"/>
    <x v="1"/>
    <x v="0"/>
    <x v="0"/>
    <s v="India"/>
    <x v="4"/>
    <x v="10"/>
    <s v="C01467"/>
    <n v="27"/>
    <s v="Female"/>
    <x v="2"/>
    <x v="2"/>
    <x v="2"/>
    <s v="Half Board"/>
    <n v="8602.86"/>
    <n v="4079.62"/>
    <x v="2"/>
    <s v="Confirmed"/>
    <x v="3"/>
    <x v="18"/>
    <x v="0"/>
    <x v="2"/>
    <x v="1"/>
  </r>
  <r>
    <s v="T001468"/>
    <d v="2027-01-07T00:00:00"/>
    <x v="3"/>
    <x v="1"/>
    <x v="4"/>
    <x v="1"/>
    <s v="India"/>
    <x v="6"/>
    <x v="7"/>
    <s v="C01468"/>
    <n v="20"/>
    <s v="Male"/>
    <x v="1"/>
    <x v="0"/>
    <x v="1"/>
    <s v="Full Board"/>
    <n v="41930.959999999999"/>
    <n v="1233.53"/>
    <x v="2"/>
    <s v="Pending"/>
    <x v="0"/>
    <x v="17"/>
    <x v="1"/>
    <x v="2"/>
    <x v="0"/>
  </r>
  <r>
    <s v="T001469"/>
    <d v="2027-01-08T00:00:00"/>
    <x v="4"/>
    <x v="3"/>
    <x v="4"/>
    <x v="1"/>
    <s v="India"/>
    <x v="6"/>
    <x v="11"/>
    <s v="C01469"/>
    <n v="22"/>
    <s v="Male"/>
    <x v="1"/>
    <x v="3"/>
    <x v="3"/>
    <s v="Half Board"/>
    <n v="30695.38"/>
    <n v="2153.9"/>
    <x v="2"/>
    <s v="Cancelled"/>
    <x v="2"/>
    <x v="9"/>
    <x v="4"/>
    <x v="0"/>
    <x v="0"/>
  </r>
  <r>
    <s v="T001470"/>
    <d v="2027-01-09T00:00:00"/>
    <x v="2"/>
    <x v="2"/>
    <x v="2"/>
    <x v="0"/>
    <s v="India"/>
    <x v="2"/>
    <x v="10"/>
    <s v="C01470"/>
    <n v="20"/>
    <s v="Other"/>
    <x v="2"/>
    <x v="2"/>
    <x v="0"/>
    <s v="No Meals"/>
    <n v="6431.09"/>
    <n v="3274.74"/>
    <x v="2"/>
    <s v="Cancelled"/>
    <x v="2"/>
    <x v="16"/>
    <x v="4"/>
    <x v="2"/>
    <x v="1"/>
  </r>
  <r>
    <s v="T001471"/>
    <d v="2027-01-10T00:00:00"/>
    <x v="3"/>
    <x v="1"/>
    <x v="1"/>
    <x v="1"/>
    <s v="India"/>
    <x v="1"/>
    <x v="5"/>
    <s v="C01471"/>
    <n v="55"/>
    <s v="Other"/>
    <x v="3"/>
    <x v="1"/>
    <x v="0"/>
    <s v="Full Board"/>
    <n v="45631.08"/>
    <n v="794.34"/>
    <x v="1"/>
    <s v="Cancelled"/>
    <x v="3"/>
    <x v="39"/>
    <x v="0"/>
    <x v="1"/>
    <x v="0"/>
  </r>
  <r>
    <s v="T001472"/>
    <d v="2027-01-11T00:00:00"/>
    <x v="3"/>
    <x v="1"/>
    <x v="1"/>
    <x v="1"/>
    <s v="India"/>
    <x v="1"/>
    <x v="11"/>
    <s v="C01472"/>
    <n v="30"/>
    <s v="Male"/>
    <x v="0"/>
    <x v="1"/>
    <x v="2"/>
    <s v="No Meals"/>
    <n v="6763.86"/>
    <n v="3686.23"/>
    <x v="1"/>
    <s v="Pending"/>
    <x v="0"/>
    <x v="17"/>
    <x v="1"/>
    <x v="2"/>
    <x v="0"/>
  </r>
  <r>
    <s v="T001473"/>
    <d v="2027-01-12T00:00:00"/>
    <x v="2"/>
    <x v="2"/>
    <x v="1"/>
    <x v="1"/>
    <s v="India"/>
    <x v="1"/>
    <x v="10"/>
    <s v="C01473"/>
    <n v="59"/>
    <s v="Other"/>
    <x v="6"/>
    <x v="1"/>
    <x v="0"/>
    <s v="Breakfast Only"/>
    <n v="28184.799999999999"/>
    <n v="3449.56"/>
    <x v="0"/>
    <s v="Pending"/>
    <x v="0"/>
    <x v="37"/>
    <x v="3"/>
    <x v="2"/>
    <x v="1"/>
  </r>
  <r>
    <s v="T001474"/>
    <d v="2027-01-13T00:00:00"/>
    <x v="1"/>
    <x v="1"/>
    <x v="2"/>
    <x v="0"/>
    <s v="India"/>
    <x v="2"/>
    <x v="7"/>
    <s v="C01474"/>
    <n v="36"/>
    <s v="Male"/>
    <x v="4"/>
    <x v="2"/>
    <x v="3"/>
    <s v="Full Board"/>
    <n v="7206.41"/>
    <n v="2715.41"/>
    <x v="2"/>
    <s v="Pending"/>
    <x v="3"/>
    <x v="19"/>
    <x v="3"/>
    <x v="1"/>
    <x v="1"/>
  </r>
  <r>
    <s v="T001475"/>
    <d v="2027-01-14T00:00:00"/>
    <x v="3"/>
    <x v="1"/>
    <x v="1"/>
    <x v="1"/>
    <s v="India"/>
    <x v="1"/>
    <x v="6"/>
    <s v="C01475"/>
    <n v="57"/>
    <s v="Female"/>
    <x v="0"/>
    <x v="2"/>
    <x v="1"/>
    <s v="Full Board"/>
    <n v="8204"/>
    <n v="2829.45"/>
    <x v="0"/>
    <s v="Pending"/>
    <x v="1"/>
    <x v="11"/>
    <x v="2"/>
    <x v="3"/>
    <x v="1"/>
  </r>
  <r>
    <s v="T001476"/>
    <d v="2027-01-15T00:00:00"/>
    <x v="0"/>
    <x v="0"/>
    <x v="0"/>
    <x v="0"/>
    <s v="India"/>
    <x v="4"/>
    <x v="3"/>
    <s v="C01476"/>
    <n v="67"/>
    <s v="Female"/>
    <x v="1"/>
    <x v="0"/>
    <x v="0"/>
    <s v="No Meals"/>
    <n v="44924.19"/>
    <n v="528.86"/>
    <x v="2"/>
    <s v="Pending"/>
    <x v="3"/>
    <x v="38"/>
    <x v="0"/>
    <x v="2"/>
    <x v="1"/>
  </r>
  <r>
    <s v="T001477"/>
    <d v="2027-01-16T00:00:00"/>
    <x v="3"/>
    <x v="1"/>
    <x v="2"/>
    <x v="0"/>
    <s v="India"/>
    <x v="3"/>
    <x v="6"/>
    <s v="C01477"/>
    <n v="52"/>
    <s v="Female"/>
    <x v="4"/>
    <x v="3"/>
    <x v="1"/>
    <s v="No Meals"/>
    <n v="39462.15"/>
    <n v="2179.75"/>
    <x v="0"/>
    <s v="Cancelled"/>
    <x v="0"/>
    <x v="7"/>
    <x v="2"/>
    <x v="1"/>
    <x v="0"/>
  </r>
  <r>
    <s v="T001478"/>
    <d v="2027-01-17T00:00:00"/>
    <x v="1"/>
    <x v="1"/>
    <x v="0"/>
    <x v="0"/>
    <s v="India"/>
    <x v="4"/>
    <x v="1"/>
    <s v="C01478"/>
    <n v="41"/>
    <s v="Female"/>
    <x v="6"/>
    <x v="3"/>
    <x v="3"/>
    <s v="No Meals"/>
    <n v="13862.35"/>
    <n v="432.86"/>
    <x v="1"/>
    <s v="Cancelled"/>
    <x v="3"/>
    <x v="1"/>
    <x v="1"/>
    <x v="4"/>
    <x v="0"/>
  </r>
  <r>
    <s v="T001479"/>
    <d v="2027-01-18T00:00:00"/>
    <x v="1"/>
    <x v="1"/>
    <x v="2"/>
    <x v="0"/>
    <s v="India"/>
    <x v="2"/>
    <x v="6"/>
    <s v="C01479"/>
    <n v="41"/>
    <s v="Female"/>
    <x v="0"/>
    <x v="3"/>
    <x v="3"/>
    <s v="Breakfast Only"/>
    <n v="32921.06"/>
    <n v="1539.32"/>
    <x v="1"/>
    <s v="Pending"/>
    <x v="1"/>
    <x v="4"/>
    <x v="0"/>
    <x v="1"/>
    <x v="0"/>
  </r>
  <r>
    <s v="T001480"/>
    <d v="2027-01-19T00:00:00"/>
    <x v="0"/>
    <x v="0"/>
    <x v="1"/>
    <x v="1"/>
    <s v="India"/>
    <x v="1"/>
    <x v="6"/>
    <s v="C01480"/>
    <n v="34"/>
    <s v="Female"/>
    <x v="0"/>
    <x v="3"/>
    <x v="1"/>
    <s v="Breakfast Only"/>
    <n v="40760.58"/>
    <n v="4501.5600000000004"/>
    <x v="0"/>
    <s v="Confirmed"/>
    <x v="3"/>
    <x v="17"/>
    <x v="1"/>
    <x v="0"/>
    <x v="0"/>
  </r>
  <r>
    <s v="T001481"/>
    <d v="2027-01-20T00:00:00"/>
    <x v="3"/>
    <x v="1"/>
    <x v="0"/>
    <x v="0"/>
    <s v="India"/>
    <x v="4"/>
    <x v="4"/>
    <s v="C01481"/>
    <n v="57"/>
    <s v="Male"/>
    <x v="3"/>
    <x v="2"/>
    <x v="3"/>
    <s v="No Meals"/>
    <n v="45031.58"/>
    <n v="2872.67"/>
    <x v="3"/>
    <s v="Cancelled"/>
    <x v="3"/>
    <x v="10"/>
    <x v="1"/>
    <x v="4"/>
    <x v="0"/>
  </r>
  <r>
    <s v="T001482"/>
    <d v="2027-01-21T00:00:00"/>
    <x v="1"/>
    <x v="1"/>
    <x v="0"/>
    <x v="0"/>
    <s v="India"/>
    <x v="4"/>
    <x v="6"/>
    <s v="C01482"/>
    <n v="27"/>
    <s v="Other"/>
    <x v="0"/>
    <x v="2"/>
    <x v="2"/>
    <s v="Full Board"/>
    <n v="26073.81"/>
    <n v="3713.52"/>
    <x v="2"/>
    <s v="Confirmed"/>
    <x v="2"/>
    <x v="33"/>
    <x v="4"/>
    <x v="3"/>
    <x v="0"/>
  </r>
  <r>
    <s v="T001483"/>
    <d v="2027-01-22T00:00:00"/>
    <x v="2"/>
    <x v="2"/>
    <x v="0"/>
    <x v="0"/>
    <s v="India"/>
    <x v="4"/>
    <x v="10"/>
    <s v="C01483"/>
    <n v="19"/>
    <s v="Male"/>
    <x v="0"/>
    <x v="0"/>
    <x v="0"/>
    <s v="Full Board"/>
    <n v="45387.49"/>
    <n v="2869.43"/>
    <x v="0"/>
    <s v="Confirmed"/>
    <x v="1"/>
    <x v="8"/>
    <x v="0"/>
    <x v="3"/>
    <x v="0"/>
  </r>
  <r>
    <s v="T001484"/>
    <d v="2027-01-23T00:00:00"/>
    <x v="4"/>
    <x v="3"/>
    <x v="2"/>
    <x v="0"/>
    <s v="India"/>
    <x v="2"/>
    <x v="7"/>
    <s v="C01484"/>
    <n v="61"/>
    <s v="Female"/>
    <x v="6"/>
    <x v="3"/>
    <x v="2"/>
    <s v="No Meals"/>
    <n v="27853.25"/>
    <n v="971.18"/>
    <x v="0"/>
    <s v="Cancelled"/>
    <x v="0"/>
    <x v="19"/>
    <x v="3"/>
    <x v="1"/>
    <x v="0"/>
  </r>
  <r>
    <s v="T001485"/>
    <d v="2027-01-24T00:00:00"/>
    <x v="4"/>
    <x v="3"/>
    <x v="3"/>
    <x v="1"/>
    <s v="India"/>
    <x v="5"/>
    <x v="1"/>
    <s v="C01485"/>
    <n v="40"/>
    <s v="Other"/>
    <x v="6"/>
    <x v="2"/>
    <x v="2"/>
    <s v="Half Board"/>
    <n v="35970.26"/>
    <n v="2974.04"/>
    <x v="3"/>
    <s v="Confirmed"/>
    <x v="1"/>
    <x v="18"/>
    <x v="0"/>
    <x v="1"/>
    <x v="0"/>
  </r>
  <r>
    <s v="T001486"/>
    <d v="2027-01-25T00:00:00"/>
    <x v="4"/>
    <x v="3"/>
    <x v="1"/>
    <x v="1"/>
    <s v="India"/>
    <x v="1"/>
    <x v="11"/>
    <s v="C01486"/>
    <n v="23"/>
    <s v="Other"/>
    <x v="4"/>
    <x v="2"/>
    <x v="2"/>
    <s v="Breakfast Only"/>
    <n v="49056.32"/>
    <n v="3776.94"/>
    <x v="1"/>
    <s v="Confirmed"/>
    <x v="0"/>
    <x v="25"/>
    <x v="3"/>
    <x v="2"/>
    <x v="1"/>
  </r>
  <r>
    <s v="T001487"/>
    <d v="2027-01-26T00:00:00"/>
    <x v="3"/>
    <x v="1"/>
    <x v="0"/>
    <x v="0"/>
    <s v="India"/>
    <x v="4"/>
    <x v="10"/>
    <s v="C01487"/>
    <n v="19"/>
    <s v="Female"/>
    <x v="1"/>
    <x v="2"/>
    <x v="1"/>
    <s v="Breakfast Only"/>
    <n v="15617.83"/>
    <n v="692.03"/>
    <x v="0"/>
    <s v="Cancelled"/>
    <x v="0"/>
    <x v="11"/>
    <x v="0"/>
    <x v="2"/>
    <x v="0"/>
  </r>
  <r>
    <s v="T001488"/>
    <d v="2027-01-27T00:00:00"/>
    <x v="0"/>
    <x v="0"/>
    <x v="3"/>
    <x v="1"/>
    <s v="India"/>
    <x v="5"/>
    <x v="10"/>
    <s v="C01488"/>
    <n v="38"/>
    <s v="Female"/>
    <x v="6"/>
    <x v="2"/>
    <x v="1"/>
    <s v="Half Board"/>
    <n v="12583.46"/>
    <n v="4084.53"/>
    <x v="1"/>
    <s v="Cancelled"/>
    <x v="2"/>
    <x v="31"/>
    <x v="1"/>
    <x v="0"/>
    <x v="0"/>
  </r>
  <r>
    <s v="T001489"/>
    <d v="2027-01-28T00:00:00"/>
    <x v="1"/>
    <x v="1"/>
    <x v="1"/>
    <x v="1"/>
    <s v="India"/>
    <x v="1"/>
    <x v="9"/>
    <s v="C01489"/>
    <n v="52"/>
    <s v="Female"/>
    <x v="4"/>
    <x v="3"/>
    <x v="3"/>
    <s v="No Meals"/>
    <n v="20390.849999999999"/>
    <n v="2776.96"/>
    <x v="2"/>
    <s v="Pending"/>
    <x v="1"/>
    <x v="16"/>
    <x v="4"/>
    <x v="2"/>
    <x v="0"/>
  </r>
  <r>
    <s v="T001490"/>
    <d v="2027-01-29T00:00:00"/>
    <x v="2"/>
    <x v="2"/>
    <x v="1"/>
    <x v="1"/>
    <s v="India"/>
    <x v="1"/>
    <x v="10"/>
    <s v="C01490"/>
    <n v="66"/>
    <s v="Female"/>
    <x v="0"/>
    <x v="3"/>
    <x v="1"/>
    <s v="Full Board"/>
    <n v="12397.96"/>
    <n v="21.38"/>
    <x v="3"/>
    <s v="Cancelled"/>
    <x v="2"/>
    <x v="14"/>
    <x v="1"/>
    <x v="1"/>
    <x v="1"/>
  </r>
  <r>
    <s v="T001491"/>
    <d v="2027-01-30T00:00:00"/>
    <x v="2"/>
    <x v="2"/>
    <x v="0"/>
    <x v="0"/>
    <s v="India"/>
    <x v="4"/>
    <x v="4"/>
    <s v="C01491"/>
    <n v="46"/>
    <s v="Female"/>
    <x v="4"/>
    <x v="2"/>
    <x v="3"/>
    <s v="Full Board"/>
    <n v="17787.330000000002"/>
    <n v="2598.89"/>
    <x v="1"/>
    <s v="Confirmed"/>
    <x v="3"/>
    <x v="4"/>
    <x v="0"/>
    <x v="1"/>
    <x v="1"/>
  </r>
  <r>
    <s v="T001492"/>
    <d v="2027-01-31T00:00:00"/>
    <x v="3"/>
    <x v="1"/>
    <x v="0"/>
    <x v="0"/>
    <s v="India"/>
    <x v="0"/>
    <x v="2"/>
    <s v="C01492"/>
    <n v="24"/>
    <s v="Female"/>
    <x v="4"/>
    <x v="1"/>
    <x v="1"/>
    <s v="Breakfast Only"/>
    <n v="38434.339999999997"/>
    <n v="1978.36"/>
    <x v="0"/>
    <s v="Cancelled"/>
    <x v="1"/>
    <x v="18"/>
    <x v="0"/>
    <x v="2"/>
    <x v="0"/>
  </r>
  <r>
    <s v="T001493"/>
    <d v="2027-02-01T00:00:00"/>
    <x v="4"/>
    <x v="3"/>
    <x v="2"/>
    <x v="0"/>
    <s v="India"/>
    <x v="2"/>
    <x v="9"/>
    <s v="C01493"/>
    <n v="46"/>
    <s v="Other"/>
    <x v="4"/>
    <x v="0"/>
    <x v="3"/>
    <s v="Half Board"/>
    <n v="26488.58"/>
    <n v="1482.23"/>
    <x v="3"/>
    <s v="Pending"/>
    <x v="3"/>
    <x v="12"/>
    <x v="1"/>
    <x v="0"/>
    <x v="0"/>
  </r>
  <r>
    <s v="T001494"/>
    <d v="2027-02-02T00:00:00"/>
    <x v="3"/>
    <x v="1"/>
    <x v="3"/>
    <x v="1"/>
    <s v="India"/>
    <x v="5"/>
    <x v="1"/>
    <s v="C01494"/>
    <n v="54"/>
    <s v="Female"/>
    <x v="2"/>
    <x v="3"/>
    <x v="0"/>
    <s v="Full Board"/>
    <n v="21876.86"/>
    <n v="3856.29"/>
    <x v="3"/>
    <s v="Cancelled"/>
    <x v="1"/>
    <x v="12"/>
    <x v="1"/>
    <x v="1"/>
    <x v="1"/>
  </r>
  <r>
    <s v="T001495"/>
    <d v="2027-02-03T00:00:00"/>
    <x v="0"/>
    <x v="0"/>
    <x v="3"/>
    <x v="1"/>
    <s v="India"/>
    <x v="5"/>
    <x v="11"/>
    <s v="C01495"/>
    <n v="40"/>
    <s v="Female"/>
    <x v="4"/>
    <x v="3"/>
    <x v="3"/>
    <s v="Breakfast Only"/>
    <n v="21592.58"/>
    <n v="4497.5"/>
    <x v="3"/>
    <s v="Confirmed"/>
    <x v="0"/>
    <x v="6"/>
    <x v="3"/>
    <x v="0"/>
    <x v="0"/>
  </r>
  <r>
    <s v="T001496"/>
    <d v="2027-02-04T00:00:00"/>
    <x v="0"/>
    <x v="0"/>
    <x v="0"/>
    <x v="0"/>
    <s v="India"/>
    <x v="4"/>
    <x v="2"/>
    <s v="C01496"/>
    <n v="50"/>
    <s v="Other"/>
    <x v="6"/>
    <x v="1"/>
    <x v="0"/>
    <s v="Full Board"/>
    <n v="13753.85"/>
    <n v="3813.27"/>
    <x v="3"/>
    <s v="Cancelled"/>
    <x v="3"/>
    <x v="20"/>
    <x v="0"/>
    <x v="1"/>
    <x v="1"/>
  </r>
  <r>
    <s v="T001497"/>
    <d v="2027-02-05T00:00:00"/>
    <x v="1"/>
    <x v="1"/>
    <x v="1"/>
    <x v="1"/>
    <s v="India"/>
    <x v="1"/>
    <x v="11"/>
    <s v="C01497"/>
    <n v="25"/>
    <s v="Male"/>
    <x v="5"/>
    <x v="3"/>
    <x v="3"/>
    <s v="Full Board"/>
    <n v="25133.52"/>
    <n v="4233.8599999999997"/>
    <x v="3"/>
    <s v="Confirmed"/>
    <x v="1"/>
    <x v="38"/>
    <x v="0"/>
    <x v="0"/>
    <x v="0"/>
  </r>
  <r>
    <s v="T001498"/>
    <d v="2027-02-06T00:00:00"/>
    <x v="1"/>
    <x v="1"/>
    <x v="0"/>
    <x v="0"/>
    <s v="India"/>
    <x v="4"/>
    <x v="8"/>
    <s v="C01498"/>
    <n v="29"/>
    <s v="Female"/>
    <x v="5"/>
    <x v="1"/>
    <x v="1"/>
    <s v="Full Board"/>
    <n v="33108.6"/>
    <n v="4543.8999999999996"/>
    <x v="2"/>
    <s v="Cancelled"/>
    <x v="1"/>
    <x v="8"/>
    <x v="0"/>
    <x v="0"/>
    <x v="1"/>
  </r>
  <r>
    <s v="T001499"/>
    <d v="2027-02-07T00:00:00"/>
    <x v="0"/>
    <x v="0"/>
    <x v="1"/>
    <x v="1"/>
    <s v="India"/>
    <x v="1"/>
    <x v="8"/>
    <s v="C01499"/>
    <n v="63"/>
    <s v="Other"/>
    <x v="5"/>
    <x v="1"/>
    <x v="1"/>
    <s v="Breakfast Only"/>
    <n v="11261.97"/>
    <n v="4563.1499999999996"/>
    <x v="2"/>
    <s v="Pending"/>
    <x v="3"/>
    <x v="39"/>
    <x v="0"/>
    <x v="0"/>
    <x v="1"/>
  </r>
  <r>
    <s v="T001500"/>
    <d v="2027-02-08T00:00:00"/>
    <x v="0"/>
    <x v="0"/>
    <x v="1"/>
    <x v="1"/>
    <s v="India"/>
    <x v="1"/>
    <x v="1"/>
    <s v="C01500"/>
    <n v="65"/>
    <s v="Other"/>
    <x v="5"/>
    <x v="2"/>
    <x v="0"/>
    <s v="Half Board"/>
    <n v="48776.58"/>
    <n v="573.19000000000005"/>
    <x v="3"/>
    <s v="Pending"/>
    <x v="2"/>
    <x v="6"/>
    <x v="3"/>
    <x v="2"/>
    <x v="0"/>
  </r>
  <r>
    <s v="T001501"/>
    <d v="2027-02-09T00:00:00"/>
    <x v="0"/>
    <x v="0"/>
    <x v="0"/>
    <x v="0"/>
    <s v="India"/>
    <x v="0"/>
    <x v="0"/>
    <s v="C01501"/>
    <n v="27"/>
    <s v="Male"/>
    <x v="2"/>
    <x v="3"/>
    <x v="2"/>
    <s v="No Meals"/>
    <n v="24947.65"/>
    <n v="2281.9299999999998"/>
    <x v="0"/>
    <s v="Cancelled"/>
    <x v="1"/>
    <x v="32"/>
    <x v="4"/>
    <x v="3"/>
    <x v="1"/>
  </r>
  <r>
    <s v="T001502"/>
    <d v="2027-02-10T00:00:00"/>
    <x v="3"/>
    <x v="1"/>
    <x v="4"/>
    <x v="1"/>
    <s v="India"/>
    <x v="6"/>
    <x v="7"/>
    <s v="C01502"/>
    <n v="32"/>
    <s v="Female"/>
    <x v="1"/>
    <x v="0"/>
    <x v="2"/>
    <s v="Half Board"/>
    <n v="47658.239999999998"/>
    <n v="1.43"/>
    <x v="0"/>
    <s v="Confirmed"/>
    <x v="2"/>
    <x v="12"/>
    <x v="1"/>
    <x v="0"/>
    <x v="1"/>
  </r>
  <r>
    <s v="T001503"/>
    <d v="2027-02-11T00:00:00"/>
    <x v="0"/>
    <x v="0"/>
    <x v="3"/>
    <x v="1"/>
    <s v="India"/>
    <x v="5"/>
    <x v="0"/>
    <s v="C01503"/>
    <n v="41"/>
    <s v="Female"/>
    <x v="4"/>
    <x v="1"/>
    <x v="3"/>
    <s v="Full Board"/>
    <n v="11059.65"/>
    <n v="2532.31"/>
    <x v="2"/>
    <s v="Pending"/>
    <x v="2"/>
    <x v="3"/>
    <x v="3"/>
    <x v="0"/>
    <x v="1"/>
  </r>
  <r>
    <s v="T001504"/>
    <d v="2027-02-12T00:00:00"/>
    <x v="2"/>
    <x v="2"/>
    <x v="1"/>
    <x v="1"/>
    <s v="India"/>
    <x v="1"/>
    <x v="7"/>
    <s v="C01504"/>
    <n v="43"/>
    <s v="Female"/>
    <x v="3"/>
    <x v="0"/>
    <x v="1"/>
    <s v="Half Board"/>
    <n v="39524.720000000001"/>
    <n v="4621.22"/>
    <x v="1"/>
    <s v="Confirmed"/>
    <x v="2"/>
    <x v="27"/>
    <x v="0"/>
    <x v="1"/>
    <x v="0"/>
  </r>
  <r>
    <s v="T001505"/>
    <d v="2027-02-13T00:00:00"/>
    <x v="4"/>
    <x v="3"/>
    <x v="1"/>
    <x v="1"/>
    <s v="India"/>
    <x v="1"/>
    <x v="9"/>
    <s v="C01505"/>
    <n v="64"/>
    <s v="Other"/>
    <x v="5"/>
    <x v="2"/>
    <x v="2"/>
    <s v="Full Board"/>
    <n v="32793.71"/>
    <n v="995.51"/>
    <x v="3"/>
    <s v="Cancelled"/>
    <x v="2"/>
    <x v="8"/>
    <x v="0"/>
    <x v="3"/>
    <x v="0"/>
  </r>
  <r>
    <s v="T001506"/>
    <d v="2027-02-14T00:00:00"/>
    <x v="0"/>
    <x v="0"/>
    <x v="4"/>
    <x v="1"/>
    <s v="India"/>
    <x v="6"/>
    <x v="1"/>
    <s v="C01506"/>
    <n v="59"/>
    <s v="Female"/>
    <x v="0"/>
    <x v="3"/>
    <x v="1"/>
    <s v="Breakfast Only"/>
    <n v="41902.89"/>
    <n v="3198.93"/>
    <x v="0"/>
    <s v="Pending"/>
    <x v="2"/>
    <x v="18"/>
    <x v="0"/>
    <x v="1"/>
    <x v="1"/>
  </r>
  <r>
    <s v="T001507"/>
    <d v="2027-02-15T00:00:00"/>
    <x v="4"/>
    <x v="3"/>
    <x v="2"/>
    <x v="0"/>
    <s v="India"/>
    <x v="3"/>
    <x v="7"/>
    <s v="C01507"/>
    <n v="56"/>
    <s v="Female"/>
    <x v="5"/>
    <x v="2"/>
    <x v="1"/>
    <s v="Breakfast Only"/>
    <n v="32030.51"/>
    <n v="3221.9"/>
    <x v="2"/>
    <s v="Pending"/>
    <x v="0"/>
    <x v="27"/>
    <x v="0"/>
    <x v="1"/>
    <x v="1"/>
  </r>
  <r>
    <s v="T001508"/>
    <d v="2027-02-16T00:00:00"/>
    <x v="3"/>
    <x v="1"/>
    <x v="4"/>
    <x v="1"/>
    <s v="India"/>
    <x v="6"/>
    <x v="8"/>
    <s v="C01508"/>
    <n v="20"/>
    <s v="Female"/>
    <x v="5"/>
    <x v="2"/>
    <x v="1"/>
    <s v="Breakfast Only"/>
    <n v="48327.65"/>
    <n v="801.77"/>
    <x v="2"/>
    <s v="Confirmed"/>
    <x v="2"/>
    <x v="5"/>
    <x v="1"/>
    <x v="0"/>
    <x v="0"/>
  </r>
  <r>
    <s v="T001509"/>
    <d v="2027-02-17T00:00:00"/>
    <x v="4"/>
    <x v="3"/>
    <x v="4"/>
    <x v="1"/>
    <s v="India"/>
    <x v="6"/>
    <x v="8"/>
    <s v="C01509"/>
    <n v="19"/>
    <s v="Female"/>
    <x v="0"/>
    <x v="0"/>
    <x v="3"/>
    <s v="Full Board"/>
    <n v="33211.93"/>
    <n v="1192.6400000000001"/>
    <x v="1"/>
    <s v="Pending"/>
    <x v="0"/>
    <x v="11"/>
    <x v="0"/>
    <x v="4"/>
    <x v="0"/>
  </r>
  <r>
    <s v="T001510"/>
    <d v="2027-02-18T00:00:00"/>
    <x v="3"/>
    <x v="1"/>
    <x v="1"/>
    <x v="1"/>
    <s v="India"/>
    <x v="1"/>
    <x v="5"/>
    <s v="C01510"/>
    <n v="23"/>
    <s v="Male"/>
    <x v="2"/>
    <x v="0"/>
    <x v="0"/>
    <s v="Half Board"/>
    <n v="40307.19"/>
    <n v="2310.11"/>
    <x v="1"/>
    <s v="Confirmed"/>
    <x v="1"/>
    <x v="34"/>
    <x v="1"/>
    <x v="3"/>
    <x v="0"/>
  </r>
  <r>
    <s v="T001511"/>
    <d v="2027-02-19T00:00:00"/>
    <x v="2"/>
    <x v="2"/>
    <x v="3"/>
    <x v="1"/>
    <s v="India"/>
    <x v="5"/>
    <x v="7"/>
    <s v="C01511"/>
    <n v="38"/>
    <s v="Male"/>
    <x v="0"/>
    <x v="1"/>
    <x v="3"/>
    <s v="No Meals"/>
    <n v="44491.18"/>
    <n v="941.05"/>
    <x v="0"/>
    <s v="Confirmed"/>
    <x v="0"/>
    <x v="14"/>
    <x v="1"/>
    <x v="1"/>
    <x v="1"/>
  </r>
  <r>
    <s v="T001512"/>
    <d v="2027-02-20T00:00:00"/>
    <x v="3"/>
    <x v="1"/>
    <x v="4"/>
    <x v="1"/>
    <s v="India"/>
    <x v="6"/>
    <x v="6"/>
    <s v="C01512"/>
    <n v="26"/>
    <s v="Male"/>
    <x v="0"/>
    <x v="3"/>
    <x v="2"/>
    <s v="No Meals"/>
    <n v="37156.26"/>
    <n v="2924.97"/>
    <x v="1"/>
    <s v="Cancelled"/>
    <x v="0"/>
    <x v="36"/>
    <x v="4"/>
    <x v="4"/>
    <x v="0"/>
  </r>
  <r>
    <s v="T001513"/>
    <d v="2027-02-21T00:00:00"/>
    <x v="3"/>
    <x v="1"/>
    <x v="2"/>
    <x v="0"/>
    <s v="India"/>
    <x v="2"/>
    <x v="1"/>
    <s v="C01513"/>
    <n v="27"/>
    <s v="Female"/>
    <x v="2"/>
    <x v="2"/>
    <x v="0"/>
    <s v="Breakfast Only"/>
    <n v="28590.65"/>
    <n v="2422.71"/>
    <x v="1"/>
    <s v="Confirmed"/>
    <x v="2"/>
    <x v="27"/>
    <x v="0"/>
    <x v="4"/>
    <x v="0"/>
  </r>
  <r>
    <s v="T001514"/>
    <d v="2027-02-22T00:00:00"/>
    <x v="1"/>
    <x v="1"/>
    <x v="0"/>
    <x v="0"/>
    <s v="India"/>
    <x v="4"/>
    <x v="2"/>
    <s v="C01514"/>
    <n v="53"/>
    <s v="Female"/>
    <x v="0"/>
    <x v="1"/>
    <x v="2"/>
    <s v="No Meals"/>
    <n v="17276.77"/>
    <n v="2595.9899999999998"/>
    <x v="3"/>
    <s v="Pending"/>
    <x v="1"/>
    <x v="8"/>
    <x v="0"/>
    <x v="1"/>
    <x v="0"/>
  </r>
  <r>
    <s v="T001515"/>
    <d v="2027-02-23T00:00:00"/>
    <x v="0"/>
    <x v="0"/>
    <x v="4"/>
    <x v="1"/>
    <s v="India"/>
    <x v="6"/>
    <x v="3"/>
    <s v="C01515"/>
    <n v="20"/>
    <s v="Other"/>
    <x v="4"/>
    <x v="1"/>
    <x v="0"/>
    <s v="Full Board"/>
    <n v="43452.17"/>
    <n v="672.34"/>
    <x v="2"/>
    <s v="Confirmed"/>
    <x v="1"/>
    <x v="24"/>
    <x v="0"/>
    <x v="0"/>
    <x v="0"/>
  </r>
  <r>
    <s v="T001516"/>
    <d v="2027-02-24T00:00:00"/>
    <x v="0"/>
    <x v="0"/>
    <x v="4"/>
    <x v="1"/>
    <s v="India"/>
    <x v="6"/>
    <x v="9"/>
    <s v="C01516"/>
    <n v="58"/>
    <s v="Other"/>
    <x v="5"/>
    <x v="2"/>
    <x v="0"/>
    <s v="Half Board"/>
    <n v="26626.02"/>
    <n v="2586.2600000000002"/>
    <x v="2"/>
    <s v="Pending"/>
    <x v="1"/>
    <x v="32"/>
    <x v="4"/>
    <x v="2"/>
    <x v="1"/>
  </r>
  <r>
    <s v="T001517"/>
    <d v="2027-02-25T00:00:00"/>
    <x v="2"/>
    <x v="2"/>
    <x v="2"/>
    <x v="0"/>
    <s v="India"/>
    <x v="2"/>
    <x v="10"/>
    <s v="C01517"/>
    <n v="41"/>
    <s v="Other"/>
    <x v="1"/>
    <x v="2"/>
    <x v="3"/>
    <s v="No Meals"/>
    <n v="32931.870000000003"/>
    <n v="247.39"/>
    <x v="1"/>
    <s v="Confirmed"/>
    <x v="3"/>
    <x v="24"/>
    <x v="0"/>
    <x v="1"/>
    <x v="1"/>
  </r>
  <r>
    <s v="T001518"/>
    <d v="2027-02-26T00:00:00"/>
    <x v="2"/>
    <x v="2"/>
    <x v="3"/>
    <x v="1"/>
    <s v="India"/>
    <x v="5"/>
    <x v="6"/>
    <s v="C01518"/>
    <n v="39"/>
    <s v="Female"/>
    <x v="2"/>
    <x v="1"/>
    <x v="1"/>
    <s v="No Meals"/>
    <n v="8565.19"/>
    <n v="4407.68"/>
    <x v="2"/>
    <s v="Cancelled"/>
    <x v="0"/>
    <x v="39"/>
    <x v="0"/>
    <x v="0"/>
    <x v="0"/>
  </r>
  <r>
    <s v="T001519"/>
    <d v="2027-02-27T00:00:00"/>
    <x v="0"/>
    <x v="0"/>
    <x v="4"/>
    <x v="1"/>
    <s v="India"/>
    <x v="6"/>
    <x v="10"/>
    <s v="C01519"/>
    <n v="66"/>
    <s v="Male"/>
    <x v="3"/>
    <x v="2"/>
    <x v="1"/>
    <s v="Half Board"/>
    <n v="27380.81"/>
    <n v="1716.25"/>
    <x v="2"/>
    <s v="Cancelled"/>
    <x v="2"/>
    <x v="15"/>
    <x v="0"/>
    <x v="3"/>
    <x v="1"/>
  </r>
  <r>
    <s v="T001520"/>
    <d v="2027-02-28T00:00:00"/>
    <x v="1"/>
    <x v="1"/>
    <x v="4"/>
    <x v="1"/>
    <s v="India"/>
    <x v="6"/>
    <x v="7"/>
    <s v="C01520"/>
    <n v="31"/>
    <s v="Male"/>
    <x v="2"/>
    <x v="2"/>
    <x v="0"/>
    <s v="No Meals"/>
    <n v="36417.089999999997"/>
    <n v="4281.6899999999996"/>
    <x v="0"/>
    <s v="Confirmed"/>
    <x v="3"/>
    <x v="32"/>
    <x v="4"/>
    <x v="0"/>
    <x v="0"/>
  </r>
  <r>
    <s v="T001521"/>
    <d v="2027-03-01T00:00:00"/>
    <x v="0"/>
    <x v="0"/>
    <x v="3"/>
    <x v="1"/>
    <s v="India"/>
    <x v="5"/>
    <x v="2"/>
    <s v="C01521"/>
    <n v="59"/>
    <s v="Male"/>
    <x v="6"/>
    <x v="0"/>
    <x v="3"/>
    <s v="Half Board"/>
    <n v="31283.24"/>
    <n v="3508.28"/>
    <x v="2"/>
    <s v="Confirmed"/>
    <x v="2"/>
    <x v="25"/>
    <x v="3"/>
    <x v="4"/>
    <x v="1"/>
  </r>
  <r>
    <s v="T001522"/>
    <d v="2027-03-02T00:00:00"/>
    <x v="1"/>
    <x v="1"/>
    <x v="2"/>
    <x v="0"/>
    <s v="India"/>
    <x v="3"/>
    <x v="6"/>
    <s v="C01522"/>
    <n v="62"/>
    <s v="Female"/>
    <x v="3"/>
    <x v="3"/>
    <x v="2"/>
    <s v="Full Board"/>
    <n v="25184.97"/>
    <n v="3830.86"/>
    <x v="1"/>
    <s v="Confirmed"/>
    <x v="3"/>
    <x v="24"/>
    <x v="0"/>
    <x v="3"/>
    <x v="0"/>
  </r>
  <r>
    <s v="T001523"/>
    <d v="2027-03-03T00:00:00"/>
    <x v="2"/>
    <x v="2"/>
    <x v="4"/>
    <x v="1"/>
    <s v="India"/>
    <x v="6"/>
    <x v="0"/>
    <s v="C01523"/>
    <n v="61"/>
    <s v="Male"/>
    <x v="6"/>
    <x v="1"/>
    <x v="2"/>
    <s v="Full Board"/>
    <n v="15054.23"/>
    <n v="1572.72"/>
    <x v="0"/>
    <s v="Cancelled"/>
    <x v="1"/>
    <x v="25"/>
    <x v="3"/>
    <x v="3"/>
    <x v="0"/>
  </r>
  <r>
    <s v="T001524"/>
    <d v="2027-03-04T00:00:00"/>
    <x v="4"/>
    <x v="3"/>
    <x v="3"/>
    <x v="1"/>
    <s v="India"/>
    <x v="5"/>
    <x v="9"/>
    <s v="C01524"/>
    <n v="44"/>
    <s v="Other"/>
    <x v="2"/>
    <x v="2"/>
    <x v="1"/>
    <s v="Full Board"/>
    <n v="18935.16"/>
    <n v="1138.72"/>
    <x v="2"/>
    <s v="Confirmed"/>
    <x v="3"/>
    <x v="35"/>
    <x v="3"/>
    <x v="2"/>
    <x v="1"/>
  </r>
  <r>
    <s v="T001525"/>
    <d v="2027-03-05T00:00:00"/>
    <x v="2"/>
    <x v="2"/>
    <x v="4"/>
    <x v="1"/>
    <s v="India"/>
    <x v="6"/>
    <x v="6"/>
    <s v="C01525"/>
    <n v="50"/>
    <s v="Other"/>
    <x v="6"/>
    <x v="1"/>
    <x v="1"/>
    <s v="Breakfast Only"/>
    <n v="36528.1"/>
    <n v="2033.7"/>
    <x v="2"/>
    <s v="Confirmed"/>
    <x v="1"/>
    <x v="22"/>
    <x v="4"/>
    <x v="2"/>
    <x v="0"/>
  </r>
  <r>
    <s v="T001526"/>
    <d v="2027-03-06T00:00:00"/>
    <x v="2"/>
    <x v="2"/>
    <x v="0"/>
    <x v="0"/>
    <s v="India"/>
    <x v="0"/>
    <x v="11"/>
    <s v="C01526"/>
    <n v="39"/>
    <s v="Male"/>
    <x v="3"/>
    <x v="3"/>
    <x v="2"/>
    <s v="Full Board"/>
    <n v="15088.58"/>
    <n v="121.13"/>
    <x v="0"/>
    <s v="Pending"/>
    <x v="3"/>
    <x v="9"/>
    <x v="4"/>
    <x v="1"/>
    <x v="0"/>
  </r>
  <r>
    <s v="T001527"/>
    <d v="2027-03-07T00:00:00"/>
    <x v="3"/>
    <x v="1"/>
    <x v="1"/>
    <x v="1"/>
    <s v="India"/>
    <x v="1"/>
    <x v="2"/>
    <s v="C01527"/>
    <n v="46"/>
    <s v="Other"/>
    <x v="4"/>
    <x v="1"/>
    <x v="2"/>
    <s v="No Meals"/>
    <n v="32977.699999999997"/>
    <n v="4593.78"/>
    <x v="0"/>
    <s v="Cancelled"/>
    <x v="2"/>
    <x v="21"/>
    <x v="2"/>
    <x v="0"/>
    <x v="1"/>
  </r>
  <r>
    <s v="T001528"/>
    <d v="2027-03-08T00:00:00"/>
    <x v="3"/>
    <x v="1"/>
    <x v="0"/>
    <x v="0"/>
    <s v="India"/>
    <x v="0"/>
    <x v="4"/>
    <s v="C01528"/>
    <n v="36"/>
    <s v="Male"/>
    <x v="2"/>
    <x v="1"/>
    <x v="3"/>
    <s v="Breakfast Only"/>
    <n v="31538.19"/>
    <n v="1935.07"/>
    <x v="2"/>
    <s v="Cancelled"/>
    <x v="2"/>
    <x v="40"/>
    <x v="2"/>
    <x v="1"/>
    <x v="0"/>
  </r>
  <r>
    <s v="T001529"/>
    <d v="2027-03-09T00:00:00"/>
    <x v="3"/>
    <x v="1"/>
    <x v="4"/>
    <x v="1"/>
    <s v="India"/>
    <x v="6"/>
    <x v="10"/>
    <s v="C01529"/>
    <n v="36"/>
    <s v="Male"/>
    <x v="2"/>
    <x v="1"/>
    <x v="2"/>
    <s v="Breakfast Only"/>
    <n v="48668.79"/>
    <n v="4942.78"/>
    <x v="3"/>
    <s v="Confirmed"/>
    <x v="3"/>
    <x v="8"/>
    <x v="2"/>
    <x v="2"/>
    <x v="1"/>
  </r>
  <r>
    <s v="T001530"/>
    <d v="2027-03-10T00:00:00"/>
    <x v="3"/>
    <x v="1"/>
    <x v="2"/>
    <x v="0"/>
    <s v="India"/>
    <x v="2"/>
    <x v="8"/>
    <s v="C01530"/>
    <n v="23"/>
    <s v="Other"/>
    <x v="0"/>
    <x v="0"/>
    <x v="3"/>
    <s v="Breakfast Only"/>
    <n v="7735.18"/>
    <n v="3807.25"/>
    <x v="3"/>
    <s v="Confirmed"/>
    <x v="0"/>
    <x v="15"/>
    <x v="0"/>
    <x v="4"/>
    <x v="0"/>
  </r>
  <r>
    <s v="T001531"/>
    <d v="2027-03-11T00:00:00"/>
    <x v="1"/>
    <x v="1"/>
    <x v="1"/>
    <x v="1"/>
    <s v="India"/>
    <x v="1"/>
    <x v="9"/>
    <s v="C01531"/>
    <n v="62"/>
    <s v="Other"/>
    <x v="2"/>
    <x v="3"/>
    <x v="1"/>
    <s v="Full Board"/>
    <n v="9865.52"/>
    <n v="402.58"/>
    <x v="2"/>
    <s v="Pending"/>
    <x v="0"/>
    <x v="5"/>
    <x v="1"/>
    <x v="2"/>
    <x v="0"/>
  </r>
  <r>
    <s v="T001532"/>
    <d v="2027-03-12T00:00:00"/>
    <x v="0"/>
    <x v="0"/>
    <x v="0"/>
    <x v="0"/>
    <s v="India"/>
    <x v="4"/>
    <x v="6"/>
    <s v="C01532"/>
    <n v="36"/>
    <s v="Other"/>
    <x v="5"/>
    <x v="3"/>
    <x v="2"/>
    <s v="Breakfast Only"/>
    <n v="27773.759999999998"/>
    <n v="3300.94"/>
    <x v="2"/>
    <s v="Confirmed"/>
    <x v="3"/>
    <x v="31"/>
    <x v="1"/>
    <x v="0"/>
    <x v="1"/>
  </r>
  <r>
    <s v="T001533"/>
    <d v="2027-03-13T00:00:00"/>
    <x v="4"/>
    <x v="3"/>
    <x v="3"/>
    <x v="1"/>
    <s v="India"/>
    <x v="5"/>
    <x v="0"/>
    <s v="C01533"/>
    <n v="30"/>
    <s v="Other"/>
    <x v="5"/>
    <x v="1"/>
    <x v="1"/>
    <s v="Full Board"/>
    <n v="28719.94"/>
    <n v="1354.2"/>
    <x v="0"/>
    <s v="Cancelled"/>
    <x v="0"/>
    <x v="12"/>
    <x v="1"/>
    <x v="4"/>
    <x v="1"/>
  </r>
  <r>
    <s v="T001534"/>
    <d v="2027-03-14T00:00:00"/>
    <x v="2"/>
    <x v="2"/>
    <x v="2"/>
    <x v="0"/>
    <s v="India"/>
    <x v="2"/>
    <x v="1"/>
    <s v="C01534"/>
    <n v="43"/>
    <s v="Male"/>
    <x v="2"/>
    <x v="1"/>
    <x v="0"/>
    <s v="Full Board"/>
    <n v="6796.74"/>
    <n v="1218.5899999999999"/>
    <x v="0"/>
    <s v="Pending"/>
    <x v="2"/>
    <x v="36"/>
    <x v="4"/>
    <x v="1"/>
    <x v="0"/>
  </r>
  <r>
    <s v="T001535"/>
    <d v="2027-03-15T00:00:00"/>
    <x v="1"/>
    <x v="1"/>
    <x v="0"/>
    <x v="0"/>
    <s v="India"/>
    <x v="4"/>
    <x v="2"/>
    <s v="C01535"/>
    <n v="39"/>
    <s v="Other"/>
    <x v="4"/>
    <x v="3"/>
    <x v="0"/>
    <s v="Breakfast Only"/>
    <n v="42163.49"/>
    <n v="1282.81"/>
    <x v="2"/>
    <s v="Cancelled"/>
    <x v="0"/>
    <x v="34"/>
    <x v="1"/>
    <x v="1"/>
    <x v="0"/>
  </r>
  <r>
    <s v="T001536"/>
    <d v="2027-03-16T00:00:00"/>
    <x v="4"/>
    <x v="3"/>
    <x v="3"/>
    <x v="1"/>
    <s v="India"/>
    <x v="5"/>
    <x v="0"/>
    <s v="C01536"/>
    <n v="38"/>
    <s v="Other"/>
    <x v="0"/>
    <x v="2"/>
    <x v="0"/>
    <s v="Breakfast Only"/>
    <n v="27262.560000000001"/>
    <n v="4580.38"/>
    <x v="2"/>
    <s v="Confirmed"/>
    <x v="3"/>
    <x v="12"/>
    <x v="1"/>
    <x v="2"/>
    <x v="1"/>
  </r>
  <r>
    <s v="T001537"/>
    <d v="2027-03-17T00:00:00"/>
    <x v="1"/>
    <x v="1"/>
    <x v="4"/>
    <x v="1"/>
    <s v="India"/>
    <x v="6"/>
    <x v="9"/>
    <s v="C01537"/>
    <n v="53"/>
    <s v="Female"/>
    <x v="1"/>
    <x v="0"/>
    <x v="2"/>
    <s v="No Meals"/>
    <n v="20598.97"/>
    <n v="2499.9"/>
    <x v="2"/>
    <s v="Pending"/>
    <x v="0"/>
    <x v="20"/>
    <x v="0"/>
    <x v="2"/>
    <x v="1"/>
  </r>
  <r>
    <s v="T001538"/>
    <d v="2027-03-18T00:00:00"/>
    <x v="1"/>
    <x v="1"/>
    <x v="3"/>
    <x v="1"/>
    <s v="India"/>
    <x v="5"/>
    <x v="11"/>
    <s v="C01538"/>
    <n v="19"/>
    <s v="Other"/>
    <x v="6"/>
    <x v="3"/>
    <x v="1"/>
    <s v="Breakfast Only"/>
    <n v="19348.419999999998"/>
    <n v="3347.35"/>
    <x v="2"/>
    <s v="Cancelled"/>
    <x v="3"/>
    <x v="15"/>
    <x v="0"/>
    <x v="1"/>
    <x v="0"/>
  </r>
  <r>
    <s v="T001539"/>
    <d v="2027-03-19T00:00:00"/>
    <x v="2"/>
    <x v="2"/>
    <x v="0"/>
    <x v="0"/>
    <s v="India"/>
    <x v="0"/>
    <x v="10"/>
    <s v="C01539"/>
    <n v="64"/>
    <s v="Other"/>
    <x v="3"/>
    <x v="1"/>
    <x v="2"/>
    <s v="Full Board"/>
    <n v="43763.32"/>
    <n v="1404.74"/>
    <x v="3"/>
    <s v="Cancelled"/>
    <x v="2"/>
    <x v="33"/>
    <x v="4"/>
    <x v="1"/>
    <x v="0"/>
  </r>
  <r>
    <s v="T001540"/>
    <d v="2027-03-20T00:00:00"/>
    <x v="0"/>
    <x v="0"/>
    <x v="0"/>
    <x v="0"/>
    <s v="India"/>
    <x v="4"/>
    <x v="2"/>
    <s v="C01540"/>
    <n v="61"/>
    <s v="Male"/>
    <x v="1"/>
    <x v="2"/>
    <x v="1"/>
    <s v="No Meals"/>
    <n v="13852.98"/>
    <n v="2614.77"/>
    <x v="0"/>
    <s v="Cancelled"/>
    <x v="1"/>
    <x v="35"/>
    <x v="3"/>
    <x v="3"/>
    <x v="0"/>
  </r>
  <r>
    <s v="T001541"/>
    <d v="2027-03-21T00:00:00"/>
    <x v="3"/>
    <x v="1"/>
    <x v="4"/>
    <x v="1"/>
    <s v="India"/>
    <x v="6"/>
    <x v="8"/>
    <s v="C01541"/>
    <n v="47"/>
    <s v="Male"/>
    <x v="0"/>
    <x v="2"/>
    <x v="3"/>
    <s v="No Meals"/>
    <n v="12218.8"/>
    <n v="1750.5"/>
    <x v="1"/>
    <s v="Confirmed"/>
    <x v="2"/>
    <x v="24"/>
    <x v="0"/>
    <x v="0"/>
    <x v="1"/>
  </r>
  <r>
    <s v="T001542"/>
    <d v="2027-03-22T00:00:00"/>
    <x v="0"/>
    <x v="0"/>
    <x v="3"/>
    <x v="1"/>
    <s v="India"/>
    <x v="5"/>
    <x v="3"/>
    <s v="C01542"/>
    <n v="44"/>
    <s v="Female"/>
    <x v="5"/>
    <x v="2"/>
    <x v="2"/>
    <s v="Full Board"/>
    <n v="14593.03"/>
    <n v="1605.7"/>
    <x v="2"/>
    <s v="Confirmed"/>
    <x v="2"/>
    <x v="33"/>
    <x v="4"/>
    <x v="3"/>
    <x v="0"/>
  </r>
  <r>
    <s v="T001543"/>
    <d v="2027-03-23T00:00:00"/>
    <x v="2"/>
    <x v="2"/>
    <x v="3"/>
    <x v="1"/>
    <s v="India"/>
    <x v="5"/>
    <x v="1"/>
    <s v="C01543"/>
    <n v="24"/>
    <s v="Other"/>
    <x v="5"/>
    <x v="0"/>
    <x v="0"/>
    <s v="Breakfast Only"/>
    <n v="33126.01"/>
    <n v="1234.8399999999999"/>
    <x v="2"/>
    <s v="Confirmed"/>
    <x v="3"/>
    <x v="17"/>
    <x v="1"/>
    <x v="3"/>
    <x v="1"/>
  </r>
  <r>
    <s v="T001544"/>
    <d v="2027-03-24T00:00:00"/>
    <x v="2"/>
    <x v="2"/>
    <x v="4"/>
    <x v="1"/>
    <s v="India"/>
    <x v="6"/>
    <x v="2"/>
    <s v="C01544"/>
    <n v="37"/>
    <s v="Other"/>
    <x v="5"/>
    <x v="0"/>
    <x v="3"/>
    <s v="Breakfast Only"/>
    <n v="41491.89"/>
    <n v="2045.03"/>
    <x v="2"/>
    <s v="Confirmed"/>
    <x v="2"/>
    <x v="36"/>
    <x v="4"/>
    <x v="1"/>
    <x v="0"/>
  </r>
  <r>
    <s v="T001545"/>
    <d v="2027-03-25T00:00:00"/>
    <x v="2"/>
    <x v="2"/>
    <x v="3"/>
    <x v="1"/>
    <s v="India"/>
    <x v="5"/>
    <x v="8"/>
    <s v="C01545"/>
    <n v="67"/>
    <s v="Other"/>
    <x v="4"/>
    <x v="3"/>
    <x v="1"/>
    <s v="Half Board"/>
    <n v="19894.04"/>
    <n v="3300.15"/>
    <x v="1"/>
    <s v="Cancelled"/>
    <x v="2"/>
    <x v="12"/>
    <x v="1"/>
    <x v="0"/>
    <x v="1"/>
  </r>
  <r>
    <s v="T001546"/>
    <d v="2027-03-26T00:00:00"/>
    <x v="4"/>
    <x v="3"/>
    <x v="4"/>
    <x v="1"/>
    <s v="India"/>
    <x v="6"/>
    <x v="11"/>
    <s v="C01546"/>
    <n v="48"/>
    <s v="Other"/>
    <x v="5"/>
    <x v="3"/>
    <x v="2"/>
    <s v="Breakfast Only"/>
    <n v="12805.79"/>
    <n v="1110.22"/>
    <x v="0"/>
    <s v="Pending"/>
    <x v="0"/>
    <x v="40"/>
    <x v="3"/>
    <x v="1"/>
    <x v="0"/>
  </r>
  <r>
    <s v="T001547"/>
    <d v="2027-03-27T00:00:00"/>
    <x v="0"/>
    <x v="0"/>
    <x v="2"/>
    <x v="0"/>
    <s v="India"/>
    <x v="2"/>
    <x v="4"/>
    <s v="C01547"/>
    <n v="40"/>
    <s v="Other"/>
    <x v="3"/>
    <x v="3"/>
    <x v="1"/>
    <s v="Half Board"/>
    <n v="14413.74"/>
    <n v="4827.22"/>
    <x v="0"/>
    <s v="Confirmed"/>
    <x v="3"/>
    <x v="12"/>
    <x v="1"/>
    <x v="3"/>
    <x v="1"/>
  </r>
  <r>
    <s v="T001548"/>
    <d v="2027-03-28T00:00:00"/>
    <x v="0"/>
    <x v="0"/>
    <x v="0"/>
    <x v="0"/>
    <s v="India"/>
    <x v="4"/>
    <x v="11"/>
    <s v="C01548"/>
    <n v="30"/>
    <s v="Other"/>
    <x v="6"/>
    <x v="3"/>
    <x v="1"/>
    <s v="No Meals"/>
    <n v="32863.269999999997"/>
    <n v="623.05999999999995"/>
    <x v="2"/>
    <s v="Pending"/>
    <x v="0"/>
    <x v="9"/>
    <x v="4"/>
    <x v="3"/>
    <x v="1"/>
  </r>
  <r>
    <s v="T001549"/>
    <d v="2027-03-29T00:00:00"/>
    <x v="1"/>
    <x v="1"/>
    <x v="2"/>
    <x v="0"/>
    <s v="India"/>
    <x v="2"/>
    <x v="11"/>
    <s v="C01549"/>
    <n v="34"/>
    <s v="Female"/>
    <x v="2"/>
    <x v="1"/>
    <x v="2"/>
    <s v="No Meals"/>
    <n v="16071.59"/>
    <n v="2401.04"/>
    <x v="2"/>
    <s v="Cancelled"/>
    <x v="3"/>
    <x v="5"/>
    <x v="1"/>
    <x v="1"/>
    <x v="0"/>
  </r>
  <r>
    <s v="T001550"/>
    <d v="2027-03-30T00:00:00"/>
    <x v="1"/>
    <x v="1"/>
    <x v="1"/>
    <x v="1"/>
    <s v="India"/>
    <x v="1"/>
    <x v="6"/>
    <s v="C01550"/>
    <n v="21"/>
    <s v="Other"/>
    <x v="2"/>
    <x v="0"/>
    <x v="2"/>
    <s v="No Meals"/>
    <n v="44477.61"/>
    <n v="425.14"/>
    <x v="0"/>
    <s v="Confirmed"/>
    <x v="0"/>
    <x v="12"/>
    <x v="1"/>
    <x v="2"/>
    <x v="1"/>
  </r>
  <r>
    <s v="T001551"/>
    <d v="2027-03-31T00:00:00"/>
    <x v="1"/>
    <x v="1"/>
    <x v="1"/>
    <x v="1"/>
    <s v="India"/>
    <x v="1"/>
    <x v="10"/>
    <s v="C01551"/>
    <n v="31"/>
    <s v="Other"/>
    <x v="1"/>
    <x v="2"/>
    <x v="1"/>
    <s v="Half Board"/>
    <n v="9675.11"/>
    <n v="113.33"/>
    <x v="1"/>
    <s v="Cancelled"/>
    <x v="0"/>
    <x v="16"/>
    <x v="4"/>
    <x v="2"/>
    <x v="1"/>
  </r>
  <r>
    <s v="T001552"/>
    <d v="2027-04-01T00:00:00"/>
    <x v="2"/>
    <x v="2"/>
    <x v="1"/>
    <x v="1"/>
    <s v="India"/>
    <x v="1"/>
    <x v="9"/>
    <s v="C01552"/>
    <n v="37"/>
    <s v="Other"/>
    <x v="6"/>
    <x v="1"/>
    <x v="1"/>
    <s v="Full Board"/>
    <n v="6456.58"/>
    <n v="4613.3900000000003"/>
    <x v="2"/>
    <s v="Confirmed"/>
    <x v="1"/>
    <x v="5"/>
    <x v="1"/>
    <x v="1"/>
    <x v="1"/>
  </r>
  <r>
    <s v="T001553"/>
    <d v="2027-04-02T00:00:00"/>
    <x v="0"/>
    <x v="0"/>
    <x v="4"/>
    <x v="1"/>
    <s v="India"/>
    <x v="6"/>
    <x v="2"/>
    <s v="C01553"/>
    <n v="30"/>
    <s v="Female"/>
    <x v="0"/>
    <x v="3"/>
    <x v="3"/>
    <s v="Full Board"/>
    <n v="8977.02"/>
    <n v="4051.92"/>
    <x v="1"/>
    <s v="Confirmed"/>
    <x v="2"/>
    <x v="19"/>
    <x v="3"/>
    <x v="4"/>
    <x v="0"/>
  </r>
  <r>
    <s v="T001554"/>
    <d v="2027-04-03T00:00:00"/>
    <x v="2"/>
    <x v="2"/>
    <x v="3"/>
    <x v="1"/>
    <s v="India"/>
    <x v="5"/>
    <x v="9"/>
    <s v="C01554"/>
    <n v="20"/>
    <s v="Other"/>
    <x v="6"/>
    <x v="3"/>
    <x v="0"/>
    <s v="No Meals"/>
    <n v="43053.94"/>
    <n v="3470.78"/>
    <x v="1"/>
    <s v="Pending"/>
    <x v="0"/>
    <x v="40"/>
    <x v="3"/>
    <x v="4"/>
    <x v="0"/>
  </r>
  <r>
    <s v="T001555"/>
    <d v="2027-04-04T00:00:00"/>
    <x v="4"/>
    <x v="3"/>
    <x v="2"/>
    <x v="0"/>
    <s v="India"/>
    <x v="2"/>
    <x v="2"/>
    <s v="C01555"/>
    <n v="43"/>
    <s v="Female"/>
    <x v="4"/>
    <x v="1"/>
    <x v="1"/>
    <s v="Half Board"/>
    <n v="34305.33"/>
    <n v="4325.95"/>
    <x v="0"/>
    <s v="Cancelled"/>
    <x v="1"/>
    <x v="15"/>
    <x v="0"/>
    <x v="2"/>
    <x v="0"/>
  </r>
  <r>
    <s v="T001556"/>
    <d v="2027-04-05T00:00:00"/>
    <x v="1"/>
    <x v="1"/>
    <x v="2"/>
    <x v="0"/>
    <s v="India"/>
    <x v="2"/>
    <x v="8"/>
    <s v="C01556"/>
    <n v="43"/>
    <s v="Male"/>
    <x v="1"/>
    <x v="2"/>
    <x v="0"/>
    <s v="Half Board"/>
    <n v="48098.51"/>
    <n v="4014.24"/>
    <x v="2"/>
    <s v="Cancelled"/>
    <x v="0"/>
    <x v="39"/>
    <x v="0"/>
    <x v="0"/>
    <x v="0"/>
  </r>
  <r>
    <s v="T001557"/>
    <d v="2027-04-06T00:00:00"/>
    <x v="2"/>
    <x v="2"/>
    <x v="2"/>
    <x v="0"/>
    <s v="India"/>
    <x v="2"/>
    <x v="4"/>
    <s v="C01557"/>
    <n v="35"/>
    <s v="Other"/>
    <x v="1"/>
    <x v="0"/>
    <x v="3"/>
    <s v="No Meals"/>
    <n v="20133.34"/>
    <n v="3236.19"/>
    <x v="3"/>
    <s v="Cancelled"/>
    <x v="0"/>
    <x v="9"/>
    <x v="4"/>
    <x v="3"/>
    <x v="1"/>
  </r>
  <r>
    <s v="T001558"/>
    <d v="2027-04-07T00:00:00"/>
    <x v="2"/>
    <x v="2"/>
    <x v="2"/>
    <x v="0"/>
    <s v="India"/>
    <x v="3"/>
    <x v="6"/>
    <s v="C01558"/>
    <n v="49"/>
    <s v="Female"/>
    <x v="4"/>
    <x v="0"/>
    <x v="0"/>
    <s v="Breakfast Only"/>
    <n v="14570.52"/>
    <n v="4236.71"/>
    <x v="0"/>
    <s v="Pending"/>
    <x v="1"/>
    <x v="32"/>
    <x v="4"/>
    <x v="0"/>
    <x v="1"/>
  </r>
  <r>
    <s v="T001559"/>
    <d v="2027-04-08T00:00:00"/>
    <x v="4"/>
    <x v="3"/>
    <x v="1"/>
    <x v="1"/>
    <s v="India"/>
    <x v="1"/>
    <x v="4"/>
    <s v="C01559"/>
    <n v="31"/>
    <s v="Male"/>
    <x v="6"/>
    <x v="2"/>
    <x v="0"/>
    <s v="No Meals"/>
    <n v="30288.89"/>
    <n v="1954"/>
    <x v="0"/>
    <s v="Pending"/>
    <x v="1"/>
    <x v="30"/>
    <x v="0"/>
    <x v="2"/>
    <x v="0"/>
  </r>
  <r>
    <s v="T001560"/>
    <d v="2027-04-09T00:00:00"/>
    <x v="3"/>
    <x v="1"/>
    <x v="2"/>
    <x v="0"/>
    <s v="India"/>
    <x v="3"/>
    <x v="0"/>
    <s v="C01560"/>
    <n v="64"/>
    <s v="Female"/>
    <x v="5"/>
    <x v="0"/>
    <x v="3"/>
    <s v="Half Board"/>
    <n v="29202.27"/>
    <n v="2763.76"/>
    <x v="3"/>
    <s v="Cancelled"/>
    <x v="1"/>
    <x v="29"/>
    <x v="1"/>
    <x v="1"/>
    <x v="1"/>
  </r>
  <r>
    <s v="T001561"/>
    <d v="2027-04-10T00:00:00"/>
    <x v="0"/>
    <x v="0"/>
    <x v="3"/>
    <x v="1"/>
    <s v="India"/>
    <x v="5"/>
    <x v="6"/>
    <s v="C01561"/>
    <n v="20"/>
    <s v="Female"/>
    <x v="4"/>
    <x v="3"/>
    <x v="1"/>
    <s v="Breakfast Only"/>
    <n v="31596.080000000002"/>
    <n v="3881.55"/>
    <x v="2"/>
    <s v="Cancelled"/>
    <x v="2"/>
    <x v="24"/>
    <x v="0"/>
    <x v="4"/>
    <x v="1"/>
  </r>
  <r>
    <s v="T001562"/>
    <d v="2027-04-11T00:00:00"/>
    <x v="3"/>
    <x v="1"/>
    <x v="1"/>
    <x v="1"/>
    <s v="India"/>
    <x v="1"/>
    <x v="3"/>
    <s v="C01562"/>
    <n v="18"/>
    <s v="Male"/>
    <x v="5"/>
    <x v="3"/>
    <x v="0"/>
    <s v="Full Board"/>
    <n v="20639.02"/>
    <n v="423.99"/>
    <x v="1"/>
    <s v="Confirmed"/>
    <x v="2"/>
    <x v="29"/>
    <x v="1"/>
    <x v="2"/>
    <x v="0"/>
  </r>
  <r>
    <s v="T001563"/>
    <d v="2027-04-12T00:00:00"/>
    <x v="1"/>
    <x v="1"/>
    <x v="2"/>
    <x v="0"/>
    <s v="India"/>
    <x v="2"/>
    <x v="11"/>
    <s v="C01563"/>
    <n v="43"/>
    <s v="Other"/>
    <x v="3"/>
    <x v="3"/>
    <x v="1"/>
    <s v="Breakfast Only"/>
    <n v="5265.36"/>
    <n v="4293.2299999999996"/>
    <x v="1"/>
    <s v="Confirmed"/>
    <x v="0"/>
    <x v="11"/>
    <x v="0"/>
    <x v="0"/>
    <x v="0"/>
  </r>
  <r>
    <s v="T001564"/>
    <d v="2027-04-13T00:00:00"/>
    <x v="2"/>
    <x v="2"/>
    <x v="4"/>
    <x v="1"/>
    <s v="India"/>
    <x v="6"/>
    <x v="3"/>
    <s v="C01564"/>
    <n v="41"/>
    <s v="Other"/>
    <x v="4"/>
    <x v="3"/>
    <x v="1"/>
    <s v="Full Board"/>
    <n v="6576.42"/>
    <n v="784.15"/>
    <x v="1"/>
    <s v="Pending"/>
    <x v="2"/>
    <x v="32"/>
    <x v="4"/>
    <x v="0"/>
    <x v="1"/>
  </r>
  <r>
    <s v="T001565"/>
    <d v="2027-04-14T00:00:00"/>
    <x v="4"/>
    <x v="3"/>
    <x v="0"/>
    <x v="0"/>
    <s v="India"/>
    <x v="0"/>
    <x v="5"/>
    <s v="C01565"/>
    <n v="66"/>
    <s v="Female"/>
    <x v="5"/>
    <x v="2"/>
    <x v="2"/>
    <s v="Half Board"/>
    <n v="34872.19"/>
    <n v="4322.71"/>
    <x v="2"/>
    <s v="Confirmed"/>
    <x v="1"/>
    <x v="6"/>
    <x v="3"/>
    <x v="2"/>
    <x v="0"/>
  </r>
  <r>
    <s v="T001566"/>
    <d v="2027-04-15T00:00:00"/>
    <x v="4"/>
    <x v="3"/>
    <x v="0"/>
    <x v="0"/>
    <s v="India"/>
    <x v="4"/>
    <x v="7"/>
    <s v="C01566"/>
    <n v="52"/>
    <s v="Male"/>
    <x v="6"/>
    <x v="0"/>
    <x v="1"/>
    <s v="No Meals"/>
    <n v="28546.61"/>
    <n v="1556.66"/>
    <x v="0"/>
    <s v="Cancelled"/>
    <x v="3"/>
    <x v="19"/>
    <x v="3"/>
    <x v="3"/>
    <x v="1"/>
  </r>
  <r>
    <s v="T001567"/>
    <d v="2027-04-16T00:00:00"/>
    <x v="0"/>
    <x v="0"/>
    <x v="0"/>
    <x v="0"/>
    <s v="India"/>
    <x v="4"/>
    <x v="11"/>
    <s v="C01567"/>
    <n v="31"/>
    <s v="Other"/>
    <x v="5"/>
    <x v="0"/>
    <x v="1"/>
    <s v="No Meals"/>
    <n v="41945.51"/>
    <n v="1633.91"/>
    <x v="0"/>
    <s v="Cancelled"/>
    <x v="2"/>
    <x v="4"/>
    <x v="0"/>
    <x v="0"/>
    <x v="1"/>
  </r>
  <r>
    <s v="T001568"/>
    <d v="2027-04-17T00:00:00"/>
    <x v="3"/>
    <x v="1"/>
    <x v="1"/>
    <x v="1"/>
    <s v="India"/>
    <x v="1"/>
    <x v="3"/>
    <s v="C01568"/>
    <n v="20"/>
    <s v="Female"/>
    <x v="4"/>
    <x v="1"/>
    <x v="0"/>
    <s v="No Meals"/>
    <n v="18518.439999999999"/>
    <n v="369.74"/>
    <x v="0"/>
    <s v="Confirmed"/>
    <x v="1"/>
    <x v="27"/>
    <x v="0"/>
    <x v="3"/>
    <x v="0"/>
  </r>
  <r>
    <s v="T001569"/>
    <d v="2027-04-18T00:00:00"/>
    <x v="0"/>
    <x v="0"/>
    <x v="2"/>
    <x v="0"/>
    <s v="India"/>
    <x v="2"/>
    <x v="10"/>
    <s v="C01569"/>
    <n v="30"/>
    <s v="Male"/>
    <x v="0"/>
    <x v="2"/>
    <x v="1"/>
    <s v="No Meals"/>
    <n v="41696.25"/>
    <n v="4429.5"/>
    <x v="0"/>
    <s v="Confirmed"/>
    <x v="1"/>
    <x v="40"/>
    <x v="3"/>
    <x v="3"/>
    <x v="0"/>
  </r>
  <r>
    <s v="T001570"/>
    <d v="2027-04-19T00:00:00"/>
    <x v="2"/>
    <x v="2"/>
    <x v="1"/>
    <x v="1"/>
    <s v="India"/>
    <x v="1"/>
    <x v="7"/>
    <s v="C01570"/>
    <n v="64"/>
    <s v="Female"/>
    <x v="2"/>
    <x v="0"/>
    <x v="1"/>
    <s v="No Meals"/>
    <n v="24147.11"/>
    <n v="872.55"/>
    <x v="0"/>
    <s v="Pending"/>
    <x v="1"/>
    <x v="19"/>
    <x v="2"/>
    <x v="1"/>
    <x v="1"/>
  </r>
  <r>
    <s v="T001571"/>
    <d v="2027-04-20T00:00:00"/>
    <x v="0"/>
    <x v="0"/>
    <x v="3"/>
    <x v="1"/>
    <s v="India"/>
    <x v="5"/>
    <x v="4"/>
    <s v="C01571"/>
    <n v="67"/>
    <s v="Male"/>
    <x v="4"/>
    <x v="0"/>
    <x v="2"/>
    <s v="Half Board"/>
    <n v="9351.43"/>
    <n v="3150.25"/>
    <x v="3"/>
    <s v="Confirmed"/>
    <x v="1"/>
    <x v="35"/>
    <x v="2"/>
    <x v="2"/>
    <x v="0"/>
  </r>
  <r>
    <s v="T001572"/>
    <d v="2027-04-21T00:00:00"/>
    <x v="4"/>
    <x v="3"/>
    <x v="4"/>
    <x v="1"/>
    <s v="India"/>
    <x v="6"/>
    <x v="11"/>
    <s v="C01572"/>
    <n v="31"/>
    <s v="Other"/>
    <x v="2"/>
    <x v="1"/>
    <x v="2"/>
    <s v="Half Board"/>
    <n v="49006.02"/>
    <n v="3219.84"/>
    <x v="1"/>
    <s v="Pending"/>
    <x v="0"/>
    <x v="17"/>
    <x v="1"/>
    <x v="2"/>
    <x v="1"/>
  </r>
  <r>
    <s v="T001573"/>
    <d v="2027-04-22T00:00:00"/>
    <x v="4"/>
    <x v="3"/>
    <x v="4"/>
    <x v="1"/>
    <s v="India"/>
    <x v="6"/>
    <x v="11"/>
    <s v="C01573"/>
    <n v="38"/>
    <s v="Other"/>
    <x v="4"/>
    <x v="3"/>
    <x v="0"/>
    <s v="No Meals"/>
    <n v="28037.119999999999"/>
    <n v="1405.76"/>
    <x v="1"/>
    <s v="Confirmed"/>
    <x v="1"/>
    <x v="15"/>
    <x v="2"/>
    <x v="3"/>
    <x v="1"/>
  </r>
  <r>
    <s v="T001574"/>
    <d v="2027-04-23T00:00:00"/>
    <x v="1"/>
    <x v="1"/>
    <x v="0"/>
    <x v="0"/>
    <s v="India"/>
    <x v="0"/>
    <x v="4"/>
    <s v="C01574"/>
    <n v="43"/>
    <s v="Female"/>
    <x v="6"/>
    <x v="0"/>
    <x v="0"/>
    <s v="Breakfast Only"/>
    <n v="33326.53"/>
    <n v="4928.3"/>
    <x v="2"/>
    <s v="Confirmed"/>
    <x v="1"/>
    <x v="13"/>
    <x v="0"/>
    <x v="1"/>
    <x v="0"/>
  </r>
  <r>
    <s v="T001575"/>
    <d v="2027-04-24T00:00:00"/>
    <x v="1"/>
    <x v="1"/>
    <x v="0"/>
    <x v="0"/>
    <s v="India"/>
    <x v="0"/>
    <x v="0"/>
    <s v="C01575"/>
    <n v="20"/>
    <s v="Other"/>
    <x v="3"/>
    <x v="3"/>
    <x v="2"/>
    <s v="No Meals"/>
    <n v="35185.870000000003"/>
    <n v="320.83"/>
    <x v="3"/>
    <s v="Confirmed"/>
    <x v="0"/>
    <x v="1"/>
    <x v="1"/>
    <x v="0"/>
    <x v="0"/>
  </r>
  <r>
    <s v="T001576"/>
    <d v="2027-04-25T00:00:00"/>
    <x v="2"/>
    <x v="2"/>
    <x v="0"/>
    <x v="0"/>
    <s v="India"/>
    <x v="4"/>
    <x v="10"/>
    <s v="C01576"/>
    <n v="68"/>
    <s v="Other"/>
    <x v="3"/>
    <x v="1"/>
    <x v="2"/>
    <s v="Full Board"/>
    <n v="21308.55"/>
    <n v="3039.36"/>
    <x v="0"/>
    <s v="Confirmed"/>
    <x v="2"/>
    <x v="35"/>
    <x v="2"/>
    <x v="0"/>
    <x v="0"/>
  </r>
  <r>
    <s v="T001577"/>
    <d v="2027-04-26T00:00:00"/>
    <x v="3"/>
    <x v="1"/>
    <x v="2"/>
    <x v="0"/>
    <s v="India"/>
    <x v="2"/>
    <x v="11"/>
    <s v="C01577"/>
    <n v="57"/>
    <s v="Male"/>
    <x v="2"/>
    <x v="0"/>
    <x v="3"/>
    <s v="Full Board"/>
    <n v="38638.769999999997"/>
    <n v="2397.7199999999998"/>
    <x v="0"/>
    <s v="Cancelled"/>
    <x v="3"/>
    <x v="24"/>
    <x v="0"/>
    <x v="2"/>
    <x v="0"/>
  </r>
  <r>
    <s v="T001578"/>
    <d v="2027-04-27T00:00:00"/>
    <x v="0"/>
    <x v="0"/>
    <x v="3"/>
    <x v="1"/>
    <s v="India"/>
    <x v="5"/>
    <x v="3"/>
    <s v="C01578"/>
    <n v="21"/>
    <s v="Other"/>
    <x v="6"/>
    <x v="3"/>
    <x v="1"/>
    <s v="Full Board"/>
    <n v="44161.99"/>
    <n v="1227.42"/>
    <x v="0"/>
    <s v="Cancelled"/>
    <x v="0"/>
    <x v="9"/>
    <x v="4"/>
    <x v="3"/>
    <x v="1"/>
  </r>
  <r>
    <s v="T001579"/>
    <d v="2027-04-28T00:00:00"/>
    <x v="2"/>
    <x v="2"/>
    <x v="3"/>
    <x v="1"/>
    <s v="India"/>
    <x v="5"/>
    <x v="11"/>
    <s v="C01579"/>
    <n v="53"/>
    <s v="Male"/>
    <x v="5"/>
    <x v="2"/>
    <x v="0"/>
    <s v="Full Board"/>
    <n v="22423.41"/>
    <n v="817.76"/>
    <x v="3"/>
    <s v="Cancelled"/>
    <x v="0"/>
    <x v="20"/>
    <x v="0"/>
    <x v="1"/>
    <x v="0"/>
  </r>
  <r>
    <s v="T001580"/>
    <d v="2027-04-29T00:00:00"/>
    <x v="1"/>
    <x v="1"/>
    <x v="3"/>
    <x v="1"/>
    <s v="India"/>
    <x v="5"/>
    <x v="7"/>
    <s v="C01580"/>
    <n v="68"/>
    <s v="Male"/>
    <x v="6"/>
    <x v="3"/>
    <x v="0"/>
    <s v="No Meals"/>
    <n v="34565.040000000001"/>
    <n v="3685.42"/>
    <x v="2"/>
    <s v="Confirmed"/>
    <x v="2"/>
    <x v="11"/>
    <x v="0"/>
    <x v="1"/>
    <x v="0"/>
  </r>
  <r>
    <s v="T001581"/>
    <d v="2027-04-30T00:00:00"/>
    <x v="0"/>
    <x v="0"/>
    <x v="3"/>
    <x v="1"/>
    <s v="India"/>
    <x v="5"/>
    <x v="11"/>
    <s v="C01581"/>
    <n v="60"/>
    <s v="Female"/>
    <x v="6"/>
    <x v="3"/>
    <x v="1"/>
    <s v="Full Board"/>
    <n v="39070.57"/>
    <n v="4581.57"/>
    <x v="3"/>
    <s v="Pending"/>
    <x v="2"/>
    <x v="25"/>
    <x v="2"/>
    <x v="0"/>
    <x v="0"/>
  </r>
  <r>
    <s v="T001582"/>
    <d v="2027-05-01T00:00:00"/>
    <x v="1"/>
    <x v="1"/>
    <x v="0"/>
    <x v="0"/>
    <s v="India"/>
    <x v="4"/>
    <x v="3"/>
    <s v="C01582"/>
    <n v="18"/>
    <s v="Male"/>
    <x v="0"/>
    <x v="3"/>
    <x v="1"/>
    <s v="Breakfast Only"/>
    <n v="13555.67"/>
    <n v="537.73"/>
    <x v="2"/>
    <s v="Confirmed"/>
    <x v="1"/>
    <x v="38"/>
    <x v="0"/>
    <x v="0"/>
    <x v="1"/>
  </r>
  <r>
    <s v="T001583"/>
    <d v="2027-05-02T00:00:00"/>
    <x v="0"/>
    <x v="0"/>
    <x v="4"/>
    <x v="1"/>
    <s v="India"/>
    <x v="6"/>
    <x v="1"/>
    <s v="C01583"/>
    <n v="57"/>
    <s v="Other"/>
    <x v="1"/>
    <x v="3"/>
    <x v="0"/>
    <s v="No Meals"/>
    <n v="19966.82"/>
    <n v="969.9"/>
    <x v="1"/>
    <s v="Cancelled"/>
    <x v="2"/>
    <x v="25"/>
    <x v="3"/>
    <x v="4"/>
    <x v="0"/>
  </r>
  <r>
    <s v="T001584"/>
    <d v="2027-05-03T00:00:00"/>
    <x v="3"/>
    <x v="1"/>
    <x v="0"/>
    <x v="0"/>
    <s v="India"/>
    <x v="4"/>
    <x v="7"/>
    <s v="C01584"/>
    <n v="64"/>
    <s v="Male"/>
    <x v="4"/>
    <x v="2"/>
    <x v="2"/>
    <s v="Full Board"/>
    <n v="9895.81"/>
    <n v="4931.3500000000004"/>
    <x v="2"/>
    <s v="Pending"/>
    <x v="3"/>
    <x v="37"/>
    <x v="3"/>
    <x v="4"/>
    <x v="0"/>
  </r>
  <r>
    <s v="T001585"/>
    <d v="2027-05-04T00:00:00"/>
    <x v="2"/>
    <x v="2"/>
    <x v="3"/>
    <x v="1"/>
    <s v="India"/>
    <x v="5"/>
    <x v="2"/>
    <s v="C01585"/>
    <n v="50"/>
    <s v="Male"/>
    <x v="6"/>
    <x v="1"/>
    <x v="2"/>
    <s v="No Meals"/>
    <n v="32099.38"/>
    <n v="75.11"/>
    <x v="1"/>
    <s v="Pending"/>
    <x v="0"/>
    <x v="9"/>
    <x v="4"/>
    <x v="3"/>
    <x v="0"/>
  </r>
  <r>
    <s v="T001586"/>
    <d v="2027-05-05T00:00:00"/>
    <x v="0"/>
    <x v="0"/>
    <x v="0"/>
    <x v="0"/>
    <s v="India"/>
    <x v="4"/>
    <x v="8"/>
    <s v="C01586"/>
    <n v="24"/>
    <s v="Female"/>
    <x v="6"/>
    <x v="3"/>
    <x v="1"/>
    <s v="No Meals"/>
    <n v="41042.199999999997"/>
    <n v="2541.2600000000002"/>
    <x v="2"/>
    <s v="Cancelled"/>
    <x v="3"/>
    <x v="27"/>
    <x v="0"/>
    <x v="4"/>
    <x v="0"/>
  </r>
  <r>
    <s v="T001587"/>
    <d v="2027-05-06T00:00:00"/>
    <x v="4"/>
    <x v="3"/>
    <x v="3"/>
    <x v="1"/>
    <s v="India"/>
    <x v="5"/>
    <x v="8"/>
    <s v="C01587"/>
    <n v="69"/>
    <s v="Other"/>
    <x v="6"/>
    <x v="3"/>
    <x v="0"/>
    <s v="No Meals"/>
    <n v="32487.74"/>
    <n v="2580.56"/>
    <x v="1"/>
    <s v="Confirmed"/>
    <x v="1"/>
    <x v="5"/>
    <x v="1"/>
    <x v="1"/>
    <x v="0"/>
  </r>
  <r>
    <s v="T001588"/>
    <d v="2027-05-07T00:00:00"/>
    <x v="4"/>
    <x v="3"/>
    <x v="1"/>
    <x v="1"/>
    <s v="India"/>
    <x v="1"/>
    <x v="7"/>
    <s v="C01588"/>
    <n v="69"/>
    <s v="Other"/>
    <x v="3"/>
    <x v="0"/>
    <x v="1"/>
    <s v="Half Board"/>
    <n v="13090.27"/>
    <n v="1315.81"/>
    <x v="1"/>
    <s v="Pending"/>
    <x v="3"/>
    <x v="30"/>
    <x v="0"/>
    <x v="4"/>
    <x v="1"/>
  </r>
  <r>
    <s v="T001589"/>
    <d v="2027-05-08T00:00:00"/>
    <x v="0"/>
    <x v="0"/>
    <x v="4"/>
    <x v="1"/>
    <s v="India"/>
    <x v="6"/>
    <x v="2"/>
    <s v="C01589"/>
    <n v="28"/>
    <s v="Other"/>
    <x v="6"/>
    <x v="0"/>
    <x v="2"/>
    <s v="Full Board"/>
    <n v="29586.58"/>
    <n v="3315.14"/>
    <x v="0"/>
    <s v="Pending"/>
    <x v="1"/>
    <x v="6"/>
    <x v="3"/>
    <x v="2"/>
    <x v="1"/>
  </r>
  <r>
    <s v="T001590"/>
    <d v="2027-05-09T00:00:00"/>
    <x v="0"/>
    <x v="0"/>
    <x v="1"/>
    <x v="1"/>
    <s v="India"/>
    <x v="1"/>
    <x v="10"/>
    <s v="C01590"/>
    <n v="44"/>
    <s v="Male"/>
    <x v="4"/>
    <x v="2"/>
    <x v="3"/>
    <s v="Half Board"/>
    <n v="42572.04"/>
    <n v="4724.7"/>
    <x v="2"/>
    <s v="Cancelled"/>
    <x v="3"/>
    <x v="4"/>
    <x v="0"/>
    <x v="2"/>
    <x v="1"/>
  </r>
  <r>
    <s v="T001591"/>
    <d v="2027-05-10T00:00:00"/>
    <x v="0"/>
    <x v="0"/>
    <x v="2"/>
    <x v="0"/>
    <s v="India"/>
    <x v="2"/>
    <x v="1"/>
    <s v="C01591"/>
    <n v="31"/>
    <s v="Other"/>
    <x v="5"/>
    <x v="2"/>
    <x v="3"/>
    <s v="Breakfast Only"/>
    <n v="18622.62"/>
    <n v="2251.0700000000002"/>
    <x v="0"/>
    <s v="Pending"/>
    <x v="0"/>
    <x v="0"/>
    <x v="0"/>
    <x v="0"/>
    <x v="0"/>
  </r>
  <r>
    <s v="T001592"/>
    <d v="2027-05-11T00:00:00"/>
    <x v="4"/>
    <x v="3"/>
    <x v="0"/>
    <x v="0"/>
    <s v="India"/>
    <x v="0"/>
    <x v="7"/>
    <s v="C01592"/>
    <n v="39"/>
    <s v="Other"/>
    <x v="5"/>
    <x v="2"/>
    <x v="2"/>
    <s v="Breakfast Only"/>
    <n v="42469.32"/>
    <n v="3747.1"/>
    <x v="1"/>
    <s v="Pending"/>
    <x v="3"/>
    <x v="17"/>
    <x v="1"/>
    <x v="0"/>
    <x v="0"/>
  </r>
  <r>
    <s v="T001593"/>
    <d v="2027-05-12T00:00:00"/>
    <x v="4"/>
    <x v="3"/>
    <x v="2"/>
    <x v="0"/>
    <s v="India"/>
    <x v="2"/>
    <x v="3"/>
    <s v="C01593"/>
    <n v="33"/>
    <s v="Male"/>
    <x v="6"/>
    <x v="0"/>
    <x v="1"/>
    <s v="Half Board"/>
    <n v="40308.050000000003"/>
    <n v="3230.35"/>
    <x v="0"/>
    <s v="Pending"/>
    <x v="2"/>
    <x v="27"/>
    <x v="0"/>
    <x v="3"/>
    <x v="1"/>
  </r>
  <r>
    <s v="T001594"/>
    <d v="2027-05-13T00:00:00"/>
    <x v="0"/>
    <x v="0"/>
    <x v="0"/>
    <x v="0"/>
    <s v="India"/>
    <x v="0"/>
    <x v="6"/>
    <s v="C01594"/>
    <n v="63"/>
    <s v="Female"/>
    <x v="4"/>
    <x v="3"/>
    <x v="3"/>
    <s v="Full Board"/>
    <n v="5978.34"/>
    <n v="2364.71"/>
    <x v="3"/>
    <s v="Confirmed"/>
    <x v="3"/>
    <x v="37"/>
    <x v="3"/>
    <x v="2"/>
    <x v="0"/>
  </r>
  <r>
    <s v="T001595"/>
    <d v="2027-05-14T00:00:00"/>
    <x v="1"/>
    <x v="1"/>
    <x v="1"/>
    <x v="1"/>
    <s v="India"/>
    <x v="1"/>
    <x v="5"/>
    <s v="C01595"/>
    <n v="29"/>
    <s v="Female"/>
    <x v="0"/>
    <x v="0"/>
    <x v="2"/>
    <s v="No Meals"/>
    <n v="15775.47"/>
    <n v="249.06"/>
    <x v="0"/>
    <s v="Confirmed"/>
    <x v="0"/>
    <x v="14"/>
    <x v="1"/>
    <x v="3"/>
    <x v="1"/>
  </r>
  <r>
    <s v="T001596"/>
    <d v="2027-05-15T00:00:00"/>
    <x v="1"/>
    <x v="1"/>
    <x v="3"/>
    <x v="1"/>
    <s v="India"/>
    <x v="5"/>
    <x v="6"/>
    <s v="C01596"/>
    <n v="66"/>
    <s v="Male"/>
    <x v="5"/>
    <x v="1"/>
    <x v="0"/>
    <s v="Breakfast Only"/>
    <n v="29432.41"/>
    <n v="3708.75"/>
    <x v="2"/>
    <s v="Cancelled"/>
    <x v="1"/>
    <x v="13"/>
    <x v="0"/>
    <x v="3"/>
    <x v="0"/>
  </r>
  <r>
    <s v="T001597"/>
    <d v="2027-05-16T00:00:00"/>
    <x v="3"/>
    <x v="1"/>
    <x v="3"/>
    <x v="1"/>
    <s v="India"/>
    <x v="5"/>
    <x v="9"/>
    <s v="C01597"/>
    <n v="63"/>
    <s v="Female"/>
    <x v="1"/>
    <x v="2"/>
    <x v="1"/>
    <s v="Breakfast Only"/>
    <n v="37292.78"/>
    <n v="1816.26"/>
    <x v="0"/>
    <s v="Confirmed"/>
    <x v="3"/>
    <x v="17"/>
    <x v="1"/>
    <x v="4"/>
    <x v="1"/>
  </r>
  <r>
    <s v="T001598"/>
    <d v="2027-05-17T00:00:00"/>
    <x v="2"/>
    <x v="2"/>
    <x v="0"/>
    <x v="0"/>
    <s v="India"/>
    <x v="4"/>
    <x v="11"/>
    <s v="C01598"/>
    <n v="27"/>
    <s v="Female"/>
    <x v="3"/>
    <x v="2"/>
    <x v="1"/>
    <s v="Breakfast Only"/>
    <n v="44623.87"/>
    <n v="1122.47"/>
    <x v="3"/>
    <s v="Pending"/>
    <x v="3"/>
    <x v="37"/>
    <x v="2"/>
    <x v="0"/>
    <x v="1"/>
  </r>
  <r>
    <s v="T001599"/>
    <d v="2027-05-18T00:00:00"/>
    <x v="1"/>
    <x v="1"/>
    <x v="3"/>
    <x v="1"/>
    <s v="India"/>
    <x v="5"/>
    <x v="2"/>
    <s v="C01599"/>
    <n v="41"/>
    <s v="Female"/>
    <x v="4"/>
    <x v="2"/>
    <x v="3"/>
    <s v="Full Board"/>
    <n v="33846.9"/>
    <n v="4741.34"/>
    <x v="0"/>
    <s v="Confirmed"/>
    <x v="2"/>
    <x v="32"/>
    <x v="4"/>
    <x v="3"/>
    <x v="0"/>
  </r>
  <r>
    <s v="T001600"/>
    <d v="2027-05-19T00:00:00"/>
    <x v="4"/>
    <x v="3"/>
    <x v="1"/>
    <x v="1"/>
    <s v="India"/>
    <x v="1"/>
    <x v="0"/>
    <s v="C01600"/>
    <n v="63"/>
    <s v="Other"/>
    <x v="5"/>
    <x v="1"/>
    <x v="1"/>
    <s v="Half Board"/>
    <n v="22115.49"/>
    <n v="3867.51"/>
    <x v="1"/>
    <s v="Pending"/>
    <x v="1"/>
    <x v="8"/>
    <x v="0"/>
    <x v="3"/>
    <x v="0"/>
  </r>
  <r>
    <s v="T001601"/>
    <d v="2027-05-20T00:00:00"/>
    <x v="1"/>
    <x v="1"/>
    <x v="3"/>
    <x v="1"/>
    <s v="India"/>
    <x v="5"/>
    <x v="1"/>
    <s v="C01601"/>
    <n v="35"/>
    <s v="Female"/>
    <x v="5"/>
    <x v="3"/>
    <x v="3"/>
    <s v="Half Board"/>
    <n v="13308.22"/>
    <n v="4811.34"/>
    <x v="1"/>
    <s v="Pending"/>
    <x v="1"/>
    <x v="17"/>
    <x v="1"/>
    <x v="0"/>
    <x v="0"/>
  </r>
  <r>
    <s v="T001602"/>
    <d v="2027-05-21T00:00:00"/>
    <x v="3"/>
    <x v="1"/>
    <x v="1"/>
    <x v="1"/>
    <s v="India"/>
    <x v="1"/>
    <x v="3"/>
    <s v="C01602"/>
    <n v="39"/>
    <s v="Other"/>
    <x v="2"/>
    <x v="3"/>
    <x v="3"/>
    <s v="Full Board"/>
    <n v="39201.61"/>
    <n v="1281.08"/>
    <x v="1"/>
    <s v="Confirmed"/>
    <x v="1"/>
    <x v="29"/>
    <x v="1"/>
    <x v="0"/>
    <x v="0"/>
  </r>
  <r>
    <s v="T001603"/>
    <d v="2027-05-22T00:00:00"/>
    <x v="3"/>
    <x v="1"/>
    <x v="2"/>
    <x v="0"/>
    <s v="India"/>
    <x v="2"/>
    <x v="0"/>
    <s v="C01603"/>
    <n v="26"/>
    <s v="Female"/>
    <x v="0"/>
    <x v="3"/>
    <x v="2"/>
    <s v="Breakfast Only"/>
    <n v="14305.17"/>
    <n v="4178.97"/>
    <x v="2"/>
    <s v="Confirmed"/>
    <x v="0"/>
    <x v="4"/>
    <x v="0"/>
    <x v="2"/>
    <x v="0"/>
  </r>
  <r>
    <s v="T001604"/>
    <d v="2027-05-23T00:00:00"/>
    <x v="2"/>
    <x v="2"/>
    <x v="1"/>
    <x v="1"/>
    <s v="India"/>
    <x v="1"/>
    <x v="8"/>
    <s v="C01604"/>
    <n v="34"/>
    <s v="Other"/>
    <x v="1"/>
    <x v="2"/>
    <x v="3"/>
    <s v="Full Board"/>
    <n v="36294.370000000003"/>
    <n v="3038.61"/>
    <x v="0"/>
    <s v="Confirmed"/>
    <x v="0"/>
    <x v="15"/>
    <x v="2"/>
    <x v="0"/>
    <x v="1"/>
  </r>
  <r>
    <s v="T001605"/>
    <d v="2027-05-24T00:00:00"/>
    <x v="1"/>
    <x v="1"/>
    <x v="4"/>
    <x v="1"/>
    <s v="India"/>
    <x v="6"/>
    <x v="7"/>
    <s v="C01605"/>
    <n v="55"/>
    <s v="Male"/>
    <x v="1"/>
    <x v="3"/>
    <x v="0"/>
    <s v="Full Board"/>
    <n v="13154.52"/>
    <n v="4907.5200000000004"/>
    <x v="1"/>
    <s v="Confirmed"/>
    <x v="2"/>
    <x v="26"/>
    <x v="0"/>
    <x v="4"/>
    <x v="0"/>
  </r>
  <r>
    <s v="T001606"/>
    <d v="2027-05-25T00:00:00"/>
    <x v="4"/>
    <x v="3"/>
    <x v="4"/>
    <x v="1"/>
    <s v="India"/>
    <x v="6"/>
    <x v="1"/>
    <s v="C01606"/>
    <n v="57"/>
    <s v="Male"/>
    <x v="1"/>
    <x v="0"/>
    <x v="1"/>
    <s v="Half Board"/>
    <n v="9097.42"/>
    <n v="4731.58"/>
    <x v="0"/>
    <s v="Cancelled"/>
    <x v="3"/>
    <x v="9"/>
    <x v="4"/>
    <x v="2"/>
    <x v="1"/>
  </r>
  <r>
    <s v="T001607"/>
    <d v="2027-05-26T00:00:00"/>
    <x v="4"/>
    <x v="3"/>
    <x v="4"/>
    <x v="1"/>
    <s v="India"/>
    <x v="6"/>
    <x v="6"/>
    <s v="C01607"/>
    <n v="30"/>
    <s v="Female"/>
    <x v="4"/>
    <x v="2"/>
    <x v="3"/>
    <s v="Full Board"/>
    <n v="16299.51"/>
    <n v="4864.84"/>
    <x v="3"/>
    <s v="Confirmed"/>
    <x v="0"/>
    <x v="33"/>
    <x v="4"/>
    <x v="3"/>
    <x v="0"/>
  </r>
  <r>
    <s v="T001608"/>
    <d v="2027-05-27T00:00:00"/>
    <x v="0"/>
    <x v="0"/>
    <x v="0"/>
    <x v="0"/>
    <s v="India"/>
    <x v="4"/>
    <x v="4"/>
    <s v="C01608"/>
    <n v="67"/>
    <s v="Other"/>
    <x v="0"/>
    <x v="1"/>
    <x v="1"/>
    <s v="Full Board"/>
    <n v="17821.84"/>
    <n v="4758.84"/>
    <x v="3"/>
    <s v="Cancelled"/>
    <x v="1"/>
    <x v="5"/>
    <x v="1"/>
    <x v="4"/>
    <x v="1"/>
  </r>
  <r>
    <s v="T001609"/>
    <d v="2027-05-28T00:00:00"/>
    <x v="4"/>
    <x v="3"/>
    <x v="0"/>
    <x v="0"/>
    <s v="India"/>
    <x v="0"/>
    <x v="11"/>
    <s v="C01609"/>
    <n v="54"/>
    <s v="Male"/>
    <x v="6"/>
    <x v="1"/>
    <x v="3"/>
    <s v="Breakfast Only"/>
    <n v="34124.410000000003"/>
    <n v="38.299999999999997"/>
    <x v="2"/>
    <s v="Pending"/>
    <x v="3"/>
    <x v="14"/>
    <x v="1"/>
    <x v="4"/>
    <x v="1"/>
  </r>
  <r>
    <s v="T001610"/>
    <d v="2027-05-29T00:00:00"/>
    <x v="2"/>
    <x v="2"/>
    <x v="0"/>
    <x v="0"/>
    <s v="India"/>
    <x v="0"/>
    <x v="9"/>
    <s v="C01610"/>
    <n v="23"/>
    <s v="Male"/>
    <x v="2"/>
    <x v="3"/>
    <x v="2"/>
    <s v="No Meals"/>
    <n v="12239.75"/>
    <n v="3705.43"/>
    <x v="0"/>
    <s v="Cancelled"/>
    <x v="3"/>
    <x v="13"/>
    <x v="0"/>
    <x v="2"/>
    <x v="1"/>
  </r>
  <r>
    <s v="T001611"/>
    <d v="2027-05-30T00:00:00"/>
    <x v="2"/>
    <x v="2"/>
    <x v="1"/>
    <x v="1"/>
    <s v="India"/>
    <x v="1"/>
    <x v="2"/>
    <s v="C01611"/>
    <n v="38"/>
    <s v="Male"/>
    <x v="0"/>
    <x v="2"/>
    <x v="0"/>
    <s v="Breakfast Only"/>
    <n v="46863.81"/>
    <n v="1359.67"/>
    <x v="3"/>
    <s v="Pending"/>
    <x v="3"/>
    <x v="30"/>
    <x v="0"/>
    <x v="3"/>
    <x v="0"/>
  </r>
  <r>
    <s v="T001612"/>
    <d v="2027-05-31T00:00:00"/>
    <x v="4"/>
    <x v="3"/>
    <x v="0"/>
    <x v="0"/>
    <s v="India"/>
    <x v="0"/>
    <x v="6"/>
    <s v="C01612"/>
    <n v="68"/>
    <s v="Male"/>
    <x v="0"/>
    <x v="0"/>
    <x v="1"/>
    <s v="Half Board"/>
    <n v="29946.28"/>
    <n v="3525.14"/>
    <x v="2"/>
    <s v="Cancelled"/>
    <x v="2"/>
    <x v="8"/>
    <x v="0"/>
    <x v="2"/>
    <x v="1"/>
  </r>
  <r>
    <s v="T001613"/>
    <d v="2027-06-01T00:00:00"/>
    <x v="4"/>
    <x v="3"/>
    <x v="2"/>
    <x v="0"/>
    <s v="India"/>
    <x v="3"/>
    <x v="8"/>
    <s v="C01613"/>
    <n v="53"/>
    <s v="Female"/>
    <x v="5"/>
    <x v="0"/>
    <x v="2"/>
    <s v="No Meals"/>
    <n v="27091.93"/>
    <n v="4903.0600000000004"/>
    <x v="2"/>
    <s v="Cancelled"/>
    <x v="0"/>
    <x v="6"/>
    <x v="3"/>
    <x v="1"/>
    <x v="0"/>
  </r>
  <r>
    <s v="T001614"/>
    <d v="2027-06-02T00:00:00"/>
    <x v="0"/>
    <x v="0"/>
    <x v="4"/>
    <x v="1"/>
    <s v="India"/>
    <x v="6"/>
    <x v="7"/>
    <s v="C01614"/>
    <n v="24"/>
    <s v="Other"/>
    <x v="0"/>
    <x v="2"/>
    <x v="1"/>
    <s v="Breakfast Only"/>
    <n v="24561.25"/>
    <n v="196.8"/>
    <x v="1"/>
    <s v="Pending"/>
    <x v="0"/>
    <x v="34"/>
    <x v="1"/>
    <x v="1"/>
    <x v="1"/>
  </r>
  <r>
    <s v="T001615"/>
    <d v="2027-06-03T00:00:00"/>
    <x v="4"/>
    <x v="3"/>
    <x v="1"/>
    <x v="1"/>
    <s v="India"/>
    <x v="1"/>
    <x v="11"/>
    <s v="C01615"/>
    <n v="53"/>
    <s v="Male"/>
    <x v="4"/>
    <x v="3"/>
    <x v="2"/>
    <s v="Full Board"/>
    <n v="30497.06"/>
    <n v="2834.94"/>
    <x v="3"/>
    <s v="Cancelled"/>
    <x v="3"/>
    <x v="19"/>
    <x v="3"/>
    <x v="2"/>
    <x v="0"/>
  </r>
  <r>
    <s v="T001616"/>
    <d v="2027-06-04T00:00:00"/>
    <x v="0"/>
    <x v="0"/>
    <x v="4"/>
    <x v="1"/>
    <s v="India"/>
    <x v="6"/>
    <x v="8"/>
    <s v="C01616"/>
    <n v="42"/>
    <s v="Female"/>
    <x v="2"/>
    <x v="1"/>
    <x v="0"/>
    <s v="Full Board"/>
    <n v="6010.11"/>
    <n v="3674.77"/>
    <x v="0"/>
    <s v="Pending"/>
    <x v="2"/>
    <x v="15"/>
    <x v="0"/>
    <x v="3"/>
    <x v="1"/>
  </r>
  <r>
    <s v="T001617"/>
    <d v="2027-06-05T00:00:00"/>
    <x v="0"/>
    <x v="0"/>
    <x v="0"/>
    <x v="0"/>
    <s v="India"/>
    <x v="0"/>
    <x v="4"/>
    <s v="C01617"/>
    <n v="28"/>
    <s v="Male"/>
    <x v="4"/>
    <x v="1"/>
    <x v="3"/>
    <s v="No Meals"/>
    <n v="49553.89"/>
    <n v="1266.79"/>
    <x v="3"/>
    <s v="Confirmed"/>
    <x v="2"/>
    <x v="36"/>
    <x v="4"/>
    <x v="3"/>
    <x v="0"/>
  </r>
  <r>
    <s v="T001618"/>
    <d v="2027-06-06T00:00:00"/>
    <x v="4"/>
    <x v="3"/>
    <x v="1"/>
    <x v="1"/>
    <s v="India"/>
    <x v="1"/>
    <x v="0"/>
    <s v="C01618"/>
    <n v="61"/>
    <s v="Male"/>
    <x v="2"/>
    <x v="0"/>
    <x v="2"/>
    <s v="No Meals"/>
    <n v="30088.6"/>
    <n v="1125.6099999999999"/>
    <x v="3"/>
    <s v="Pending"/>
    <x v="0"/>
    <x v="28"/>
    <x v="2"/>
    <x v="0"/>
    <x v="0"/>
  </r>
  <r>
    <s v="T001619"/>
    <d v="2027-06-07T00:00:00"/>
    <x v="3"/>
    <x v="1"/>
    <x v="3"/>
    <x v="1"/>
    <s v="India"/>
    <x v="5"/>
    <x v="6"/>
    <s v="C01619"/>
    <n v="31"/>
    <s v="Male"/>
    <x v="2"/>
    <x v="0"/>
    <x v="1"/>
    <s v="Full Board"/>
    <n v="6583.78"/>
    <n v="301.73"/>
    <x v="0"/>
    <s v="Cancelled"/>
    <x v="0"/>
    <x v="37"/>
    <x v="2"/>
    <x v="4"/>
    <x v="1"/>
  </r>
  <r>
    <s v="T001620"/>
    <d v="2027-06-08T00:00:00"/>
    <x v="3"/>
    <x v="1"/>
    <x v="2"/>
    <x v="0"/>
    <s v="India"/>
    <x v="2"/>
    <x v="9"/>
    <s v="C01620"/>
    <n v="62"/>
    <s v="Male"/>
    <x v="5"/>
    <x v="0"/>
    <x v="1"/>
    <s v="Half Board"/>
    <n v="31548.99"/>
    <n v="469.6"/>
    <x v="0"/>
    <s v="Confirmed"/>
    <x v="2"/>
    <x v="1"/>
    <x v="1"/>
    <x v="2"/>
    <x v="1"/>
  </r>
  <r>
    <s v="T001621"/>
    <d v="2027-06-09T00:00:00"/>
    <x v="0"/>
    <x v="0"/>
    <x v="0"/>
    <x v="0"/>
    <s v="India"/>
    <x v="4"/>
    <x v="9"/>
    <s v="C01621"/>
    <n v="46"/>
    <s v="Female"/>
    <x v="4"/>
    <x v="1"/>
    <x v="2"/>
    <s v="Breakfast Only"/>
    <n v="24668.54"/>
    <n v="3283.75"/>
    <x v="1"/>
    <s v="Cancelled"/>
    <x v="1"/>
    <x v="6"/>
    <x v="3"/>
    <x v="4"/>
    <x v="0"/>
  </r>
  <r>
    <s v="T001622"/>
    <d v="2027-06-10T00:00:00"/>
    <x v="4"/>
    <x v="3"/>
    <x v="0"/>
    <x v="0"/>
    <s v="India"/>
    <x v="4"/>
    <x v="11"/>
    <s v="C01622"/>
    <n v="27"/>
    <s v="Other"/>
    <x v="2"/>
    <x v="0"/>
    <x v="0"/>
    <s v="Full Board"/>
    <n v="6081.7"/>
    <n v="2526.0500000000002"/>
    <x v="2"/>
    <s v="Confirmed"/>
    <x v="2"/>
    <x v="23"/>
    <x v="1"/>
    <x v="4"/>
    <x v="1"/>
  </r>
  <r>
    <s v="T001623"/>
    <d v="2027-06-11T00:00:00"/>
    <x v="3"/>
    <x v="1"/>
    <x v="2"/>
    <x v="0"/>
    <s v="India"/>
    <x v="2"/>
    <x v="3"/>
    <s v="C01623"/>
    <n v="67"/>
    <s v="Female"/>
    <x v="0"/>
    <x v="1"/>
    <x v="0"/>
    <s v="Breakfast Only"/>
    <n v="46599.29"/>
    <n v="150.36000000000001"/>
    <x v="0"/>
    <s v="Pending"/>
    <x v="1"/>
    <x v="28"/>
    <x v="3"/>
    <x v="1"/>
    <x v="0"/>
  </r>
  <r>
    <s v="T001624"/>
    <d v="2027-06-12T00:00:00"/>
    <x v="4"/>
    <x v="3"/>
    <x v="2"/>
    <x v="0"/>
    <s v="India"/>
    <x v="2"/>
    <x v="11"/>
    <s v="C01624"/>
    <n v="65"/>
    <s v="Female"/>
    <x v="4"/>
    <x v="1"/>
    <x v="3"/>
    <s v="Breakfast Only"/>
    <n v="5475.51"/>
    <n v="4848.3100000000004"/>
    <x v="0"/>
    <s v="Confirmed"/>
    <x v="0"/>
    <x v="12"/>
    <x v="1"/>
    <x v="1"/>
    <x v="0"/>
  </r>
  <r>
    <s v="T001625"/>
    <d v="2027-06-13T00:00:00"/>
    <x v="4"/>
    <x v="3"/>
    <x v="3"/>
    <x v="1"/>
    <s v="India"/>
    <x v="5"/>
    <x v="8"/>
    <s v="C01625"/>
    <n v="22"/>
    <s v="Female"/>
    <x v="2"/>
    <x v="3"/>
    <x v="3"/>
    <s v="Breakfast Only"/>
    <n v="31004.23"/>
    <n v="3280.23"/>
    <x v="3"/>
    <s v="Confirmed"/>
    <x v="2"/>
    <x v="34"/>
    <x v="1"/>
    <x v="2"/>
    <x v="1"/>
  </r>
  <r>
    <s v="T001626"/>
    <d v="2027-06-14T00:00:00"/>
    <x v="4"/>
    <x v="3"/>
    <x v="0"/>
    <x v="0"/>
    <s v="India"/>
    <x v="4"/>
    <x v="2"/>
    <s v="C01626"/>
    <n v="25"/>
    <s v="Male"/>
    <x v="1"/>
    <x v="3"/>
    <x v="1"/>
    <s v="Breakfast Only"/>
    <n v="48280.58"/>
    <n v="2577.34"/>
    <x v="0"/>
    <s v="Confirmed"/>
    <x v="2"/>
    <x v="5"/>
    <x v="1"/>
    <x v="2"/>
    <x v="0"/>
  </r>
  <r>
    <s v="T001627"/>
    <d v="2027-06-15T00:00:00"/>
    <x v="1"/>
    <x v="1"/>
    <x v="0"/>
    <x v="0"/>
    <s v="India"/>
    <x v="4"/>
    <x v="3"/>
    <s v="C01627"/>
    <n v="63"/>
    <s v="Other"/>
    <x v="4"/>
    <x v="3"/>
    <x v="1"/>
    <s v="Half Board"/>
    <n v="15692.2"/>
    <n v="1363.62"/>
    <x v="0"/>
    <s v="Cancelled"/>
    <x v="2"/>
    <x v="12"/>
    <x v="1"/>
    <x v="3"/>
    <x v="1"/>
  </r>
  <r>
    <s v="T001628"/>
    <d v="2027-06-16T00:00:00"/>
    <x v="4"/>
    <x v="3"/>
    <x v="4"/>
    <x v="1"/>
    <s v="India"/>
    <x v="6"/>
    <x v="9"/>
    <s v="C01628"/>
    <n v="22"/>
    <s v="Male"/>
    <x v="5"/>
    <x v="0"/>
    <x v="3"/>
    <s v="Half Board"/>
    <n v="16438.060000000001"/>
    <n v="3290.49"/>
    <x v="3"/>
    <s v="Confirmed"/>
    <x v="2"/>
    <x v="27"/>
    <x v="0"/>
    <x v="2"/>
    <x v="0"/>
  </r>
  <r>
    <s v="T001629"/>
    <d v="2027-06-17T00:00:00"/>
    <x v="1"/>
    <x v="1"/>
    <x v="1"/>
    <x v="1"/>
    <s v="India"/>
    <x v="1"/>
    <x v="5"/>
    <s v="C01629"/>
    <n v="41"/>
    <s v="Female"/>
    <x v="3"/>
    <x v="1"/>
    <x v="3"/>
    <s v="Half Board"/>
    <n v="5019.04"/>
    <n v="1820.84"/>
    <x v="3"/>
    <s v="Pending"/>
    <x v="3"/>
    <x v="22"/>
    <x v="4"/>
    <x v="3"/>
    <x v="0"/>
  </r>
  <r>
    <s v="T001630"/>
    <d v="2027-06-18T00:00:00"/>
    <x v="0"/>
    <x v="0"/>
    <x v="1"/>
    <x v="1"/>
    <s v="India"/>
    <x v="1"/>
    <x v="9"/>
    <s v="C01630"/>
    <n v="57"/>
    <s v="Male"/>
    <x v="4"/>
    <x v="0"/>
    <x v="3"/>
    <s v="Full Board"/>
    <n v="7985.8"/>
    <n v="3512.47"/>
    <x v="3"/>
    <s v="Pending"/>
    <x v="3"/>
    <x v="13"/>
    <x v="0"/>
    <x v="3"/>
    <x v="0"/>
  </r>
  <r>
    <s v="T001631"/>
    <d v="2027-06-19T00:00:00"/>
    <x v="3"/>
    <x v="1"/>
    <x v="4"/>
    <x v="1"/>
    <s v="India"/>
    <x v="6"/>
    <x v="11"/>
    <s v="C01631"/>
    <n v="43"/>
    <s v="Other"/>
    <x v="4"/>
    <x v="1"/>
    <x v="2"/>
    <s v="Full Board"/>
    <n v="7019.98"/>
    <n v="3412.86"/>
    <x v="1"/>
    <s v="Pending"/>
    <x v="0"/>
    <x v="40"/>
    <x v="3"/>
    <x v="2"/>
    <x v="0"/>
  </r>
  <r>
    <s v="T001632"/>
    <d v="2027-06-20T00:00:00"/>
    <x v="3"/>
    <x v="1"/>
    <x v="1"/>
    <x v="1"/>
    <s v="India"/>
    <x v="1"/>
    <x v="8"/>
    <s v="C01632"/>
    <n v="23"/>
    <s v="Other"/>
    <x v="4"/>
    <x v="3"/>
    <x v="3"/>
    <s v="Full Board"/>
    <n v="42019.53"/>
    <n v="463.72"/>
    <x v="2"/>
    <s v="Confirmed"/>
    <x v="0"/>
    <x v="34"/>
    <x v="1"/>
    <x v="3"/>
    <x v="1"/>
  </r>
  <r>
    <s v="T001633"/>
    <d v="2027-06-21T00:00:00"/>
    <x v="3"/>
    <x v="1"/>
    <x v="2"/>
    <x v="0"/>
    <s v="India"/>
    <x v="2"/>
    <x v="3"/>
    <s v="C01633"/>
    <n v="33"/>
    <s v="Male"/>
    <x v="2"/>
    <x v="3"/>
    <x v="2"/>
    <s v="Half Board"/>
    <n v="42653.19"/>
    <n v="4546.3"/>
    <x v="0"/>
    <s v="Pending"/>
    <x v="2"/>
    <x v="4"/>
    <x v="0"/>
    <x v="4"/>
    <x v="0"/>
  </r>
  <r>
    <s v="T001634"/>
    <d v="2027-06-22T00:00:00"/>
    <x v="3"/>
    <x v="1"/>
    <x v="1"/>
    <x v="1"/>
    <s v="India"/>
    <x v="1"/>
    <x v="7"/>
    <s v="C01634"/>
    <n v="53"/>
    <s v="Female"/>
    <x v="4"/>
    <x v="0"/>
    <x v="2"/>
    <s v="Breakfast Only"/>
    <n v="37701.5"/>
    <n v="2434.87"/>
    <x v="3"/>
    <s v="Cancelled"/>
    <x v="3"/>
    <x v="10"/>
    <x v="1"/>
    <x v="3"/>
    <x v="1"/>
  </r>
  <r>
    <s v="T001635"/>
    <d v="2027-06-23T00:00:00"/>
    <x v="3"/>
    <x v="1"/>
    <x v="1"/>
    <x v="1"/>
    <s v="India"/>
    <x v="1"/>
    <x v="3"/>
    <s v="C01635"/>
    <n v="29"/>
    <s v="Male"/>
    <x v="3"/>
    <x v="1"/>
    <x v="3"/>
    <s v="Half Board"/>
    <n v="20873.53"/>
    <n v="1964.72"/>
    <x v="3"/>
    <s v="Pending"/>
    <x v="0"/>
    <x v="1"/>
    <x v="1"/>
    <x v="4"/>
    <x v="0"/>
  </r>
  <r>
    <s v="T001636"/>
    <d v="2027-06-24T00:00:00"/>
    <x v="3"/>
    <x v="1"/>
    <x v="4"/>
    <x v="1"/>
    <s v="India"/>
    <x v="6"/>
    <x v="4"/>
    <s v="C01636"/>
    <n v="28"/>
    <s v="Female"/>
    <x v="6"/>
    <x v="0"/>
    <x v="0"/>
    <s v="Full Board"/>
    <n v="41956.45"/>
    <n v="4777.3100000000004"/>
    <x v="2"/>
    <s v="Confirmed"/>
    <x v="1"/>
    <x v="5"/>
    <x v="1"/>
    <x v="4"/>
    <x v="0"/>
  </r>
  <r>
    <s v="T001637"/>
    <d v="2027-06-25T00:00:00"/>
    <x v="3"/>
    <x v="1"/>
    <x v="3"/>
    <x v="1"/>
    <s v="India"/>
    <x v="5"/>
    <x v="10"/>
    <s v="C01637"/>
    <n v="20"/>
    <s v="Other"/>
    <x v="4"/>
    <x v="2"/>
    <x v="0"/>
    <s v="No Meals"/>
    <n v="29289.85"/>
    <n v="2191.0500000000002"/>
    <x v="1"/>
    <s v="Pending"/>
    <x v="3"/>
    <x v="30"/>
    <x v="0"/>
    <x v="4"/>
    <x v="1"/>
  </r>
  <r>
    <s v="T001638"/>
    <d v="2027-06-26T00:00:00"/>
    <x v="0"/>
    <x v="0"/>
    <x v="1"/>
    <x v="1"/>
    <s v="India"/>
    <x v="1"/>
    <x v="6"/>
    <s v="C01638"/>
    <n v="61"/>
    <s v="Male"/>
    <x v="1"/>
    <x v="0"/>
    <x v="1"/>
    <s v="Full Board"/>
    <n v="18693.96"/>
    <n v="3606.1"/>
    <x v="0"/>
    <s v="Confirmed"/>
    <x v="3"/>
    <x v="23"/>
    <x v="1"/>
    <x v="0"/>
    <x v="0"/>
  </r>
  <r>
    <s v="T001639"/>
    <d v="2027-06-27T00:00:00"/>
    <x v="4"/>
    <x v="3"/>
    <x v="1"/>
    <x v="1"/>
    <s v="India"/>
    <x v="1"/>
    <x v="10"/>
    <s v="C01639"/>
    <n v="54"/>
    <s v="Other"/>
    <x v="3"/>
    <x v="3"/>
    <x v="3"/>
    <s v="Breakfast Only"/>
    <n v="24677.45"/>
    <n v="3275.68"/>
    <x v="1"/>
    <s v="Confirmed"/>
    <x v="3"/>
    <x v="16"/>
    <x v="4"/>
    <x v="0"/>
    <x v="0"/>
  </r>
  <r>
    <s v="T001640"/>
    <d v="2027-06-28T00:00:00"/>
    <x v="2"/>
    <x v="2"/>
    <x v="3"/>
    <x v="1"/>
    <s v="India"/>
    <x v="5"/>
    <x v="1"/>
    <s v="C01640"/>
    <n v="23"/>
    <s v="Female"/>
    <x v="6"/>
    <x v="1"/>
    <x v="1"/>
    <s v="Half Board"/>
    <n v="7959.55"/>
    <n v="825.7"/>
    <x v="1"/>
    <s v="Pending"/>
    <x v="2"/>
    <x v="4"/>
    <x v="0"/>
    <x v="3"/>
    <x v="1"/>
  </r>
  <r>
    <s v="T001641"/>
    <d v="2027-06-29T00:00:00"/>
    <x v="1"/>
    <x v="1"/>
    <x v="4"/>
    <x v="1"/>
    <s v="India"/>
    <x v="6"/>
    <x v="0"/>
    <s v="C01641"/>
    <n v="36"/>
    <s v="Female"/>
    <x v="2"/>
    <x v="1"/>
    <x v="3"/>
    <s v="No Meals"/>
    <n v="47520.89"/>
    <n v="4955.71"/>
    <x v="1"/>
    <s v="Cancelled"/>
    <x v="1"/>
    <x v="7"/>
    <x v="3"/>
    <x v="2"/>
    <x v="0"/>
  </r>
  <r>
    <s v="T001642"/>
    <d v="2027-06-30T00:00:00"/>
    <x v="2"/>
    <x v="2"/>
    <x v="3"/>
    <x v="1"/>
    <s v="India"/>
    <x v="5"/>
    <x v="1"/>
    <s v="C01642"/>
    <n v="35"/>
    <s v="Male"/>
    <x v="4"/>
    <x v="0"/>
    <x v="1"/>
    <s v="No Meals"/>
    <n v="32860.239999999998"/>
    <n v="2318.02"/>
    <x v="3"/>
    <s v="Cancelled"/>
    <x v="2"/>
    <x v="36"/>
    <x v="4"/>
    <x v="3"/>
    <x v="0"/>
  </r>
  <r>
    <s v="T001643"/>
    <d v="2027-07-01T00:00:00"/>
    <x v="2"/>
    <x v="2"/>
    <x v="4"/>
    <x v="1"/>
    <s v="India"/>
    <x v="6"/>
    <x v="2"/>
    <s v="C01643"/>
    <n v="33"/>
    <s v="Male"/>
    <x v="6"/>
    <x v="3"/>
    <x v="2"/>
    <s v="Breakfast Only"/>
    <n v="37905.54"/>
    <n v="1973.91"/>
    <x v="2"/>
    <s v="Pending"/>
    <x v="0"/>
    <x v="2"/>
    <x v="3"/>
    <x v="0"/>
    <x v="0"/>
  </r>
  <r>
    <s v="T001644"/>
    <d v="2027-07-02T00:00:00"/>
    <x v="4"/>
    <x v="3"/>
    <x v="2"/>
    <x v="0"/>
    <s v="India"/>
    <x v="3"/>
    <x v="2"/>
    <s v="C01644"/>
    <n v="40"/>
    <s v="Male"/>
    <x v="1"/>
    <x v="2"/>
    <x v="3"/>
    <s v="Half Board"/>
    <n v="35446.25"/>
    <n v="4598.07"/>
    <x v="2"/>
    <s v="Confirmed"/>
    <x v="1"/>
    <x v="16"/>
    <x v="4"/>
    <x v="1"/>
    <x v="1"/>
  </r>
  <r>
    <s v="T001645"/>
    <d v="2027-07-03T00:00:00"/>
    <x v="4"/>
    <x v="3"/>
    <x v="4"/>
    <x v="1"/>
    <s v="India"/>
    <x v="6"/>
    <x v="1"/>
    <s v="C01645"/>
    <n v="60"/>
    <s v="Other"/>
    <x v="3"/>
    <x v="0"/>
    <x v="0"/>
    <s v="No Meals"/>
    <n v="35048.75"/>
    <n v="2646.19"/>
    <x v="2"/>
    <s v="Pending"/>
    <x v="2"/>
    <x v="34"/>
    <x v="1"/>
    <x v="1"/>
    <x v="1"/>
  </r>
  <r>
    <s v="T001646"/>
    <d v="2027-07-04T00:00:00"/>
    <x v="4"/>
    <x v="3"/>
    <x v="2"/>
    <x v="0"/>
    <s v="India"/>
    <x v="3"/>
    <x v="3"/>
    <s v="C01646"/>
    <n v="54"/>
    <s v="Female"/>
    <x v="3"/>
    <x v="1"/>
    <x v="3"/>
    <s v="Full Board"/>
    <n v="5776.74"/>
    <n v="3525.38"/>
    <x v="1"/>
    <s v="Confirmed"/>
    <x v="3"/>
    <x v="25"/>
    <x v="2"/>
    <x v="3"/>
    <x v="1"/>
  </r>
  <r>
    <s v="T001647"/>
    <d v="2027-07-05T00:00:00"/>
    <x v="3"/>
    <x v="1"/>
    <x v="2"/>
    <x v="0"/>
    <s v="India"/>
    <x v="2"/>
    <x v="8"/>
    <s v="C01647"/>
    <n v="26"/>
    <s v="Female"/>
    <x v="2"/>
    <x v="3"/>
    <x v="1"/>
    <s v="Breakfast Only"/>
    <n v="28641.71"/>
    <n v="4231.2299999999996"/>
    <x v="0"/>
    <s v="Confirmed"/>
    <x v="1"/>
    <x v="24"/>
    <x v="0"/>
    <x v="0"/>
    <x v="1"/>
  </r>
  <r>
    <s v="T001648"/>
    <d v="2027-07-06T00:00:00"/>
    <x v="0"/>
    <x v="0"/>
    <x v="4"/>
    <x v="1"/>
    <s v="India"/>
    <x v="6"/>
    <x v="6"/>
    <s v="C01648"/>
    <n v="20"/>
    <s v="Other"/>
    <x v="2"/>
    <x v="1"/>
    <x v="1"/>
    <s v="No Meals"/>
    <n v="41976.959999999999"/>
    <n v="1177.47"/>
    <x v="1"/>
    <s v="Confirmed"/>
    <x v="3"/>
    <x v="18"/>
    <x v="0"/>
    <x v="4"/>
    <x v="1"/>
  </r>
  <r>
    <s v="T001649"/>
    <d v="2027-07-07T00:00:00"/>
    <x v="3"/>
    <x v="1"/>
    <x v="0"/>
    <x v="0"/>
    <s v="India"/>
    <x v="4"/>
    <x v="1"/>
    <s v="C01649"/>
    <n v="25"/>
    <s v="Male"/>
    <x v="2"/>
    <x v="1"/>
    <x v="1"/>
    <s v="Breakfast Only"/>
    <n v="7003.35"/>
    <n v="847.33"/>
    <x v="2"/>
    <s v="Cancelled"/>
    <x v="0"/>
    <x v="28"/>
    <x v="3"/>
    <x v="0"/>
    <x v="1"/>
  </r>
  <r>
    <s v="T001650"/>
    <d v="2027-07-08T00:00:00"/>
    <x v="0"/>
    <x v="0"/>
    <x v="4"/>
    <x v="1"/>
    <s v="India"/>
    <x v="6"/>
    <x v="11"/>
    <s v="C01650"/>
    <n v="55"/>
    <s v="Male"/>
    <x v="6"/>
    <x v="1"/>
    <x v="1"/>
    <s v="Half Board"/>
    <n v="48027.46"/>
    <n v="342.53"/>
    <x v="3"/>
    <s v="Cancelled"/>
    <x v="1"/>
    <x v="16"/>
    <x v="4"/>
    <x v="3"/>
    <x v="1"/>
  </r>
  <r>
    <s v="T001651"/>
    <d v="2027-07-09T00:00:00"/>
    <x v="0"/>
    <x v="0"/>
    <x v="1"/>
    <x v="1"/>
    <s v="India"/>
    <x v="1"/>
    <x v="3"/>
    <s v="C01651"/>
    <n v="21"/>
    <s v="Other"/>
    <x v="4"/>
    <x v="1"/>
    <x v="1"/>
    <s v="Half Board"/>
    <n v="24087.19"/>
    <n v="4485.67"/>
    <x v="1"/>
    <s v="Pending"/>
    <x v="0"/>
    <x v="16"/>
    <x v="4"/>
    <x v="0"/>
    <x v="1"/>
  </r>
  <r>
    <s v="T001652"/>
    <d v="2027-07-10T00:00:00"/>
    <x v="2"/>
    <x v="2"/>
    <x v="1"/>
    <x v="1"/>
    <s v="India"/>
    <x v="1"/>
    <x v="8"/>
    <s v="C01652"/>
    <n v="29"/>
    <s v="Female"/>
    <x v="0"/>
    <x v="2"/>
    <x v="1"/>
    <s v="Half Board"/>
    <n v="18045.3"/>
    <n v="1001.84"/>
    <x v="3"/>
    <s v="Cancelled"/>
    <x v="0"/>
    <x v="5"/>
    <x v="1"/>
    <x v="1"/>
    <x v="0"/>
  </r>
  <r>
    <s v="T001653"/>
    <d v="2027-07-11T00:00:00"/>
    <x v="2"/>
    <x v="2"/>
    <x v="0"/>
    <x v="0"/>
    <s v="India"/>
    <x v="4"/>
    <x v="10"/>
    <s v="C01653"/>
    <n v="61"/>
    <s v="Female"/>
    <x v="3"/>
    <x v="3"/>
    <x v="0"/>
    <s v="Full Board"/>
    <n v="28931.96"/>
    <n v="1538.77"/>
    <x v="2"/>
    <s v="Confirmed"/>
    <x v="0"/>
    <x v="39"/>
    <x v="0"/>
    <x v="4"/>
    <x v="1"/>
  </r>
  <r>
    <s v="T001654"/>
    <d v="2027-07-12T00:00:00"/>
    <x v="0"/>
    <x v="0"/>
    <x v="2"/>
    <x v="0"/>
    <s v="India"/>
    <x v="3"/>
    <x v="5"/>
    <s v="C01654"/>
    <n v="48"/>
    <s v="Female"/>
    <x v="0"/>
    <x v="0"/>
    <x v="1"/>
    <s v="No Meals"/>
    <n v="41054.639999999999"/>
    <n v="1429.03"/>
    <x v="1"/>
    <s v="Confirmed"/>
    <x v="1"/>
    <x v="19"/>
    <x v="2"/>
    <x v="3"/>
    <x v="0"/>
  </r>
  <r>
    <s v="T001655"/>
    <d v="2027-07-13T00:00:00"/>
    <x v="0"/>
    <x v="0"/>
    <x v="0"/>
    <x v="0"/>
    <s v="India"/>
    <x v="0"/>
    <x v="2"/>
    <s v="C01655"/>
    <n v="42"/>
    <s v="Female"/>
    <x v="5"/>
    <x v="3"/>
    <x v="0"/>
    <s v="Half Board"/>
    <n v="26363.98"/>
    <n v="1522.94"/>
    <x v="3"/>
    <s v="Pending"/>
    <x v="0"/>
    <x v="35"/>
    <x v="3"/>
    <x v="3"/>
    <x v="0"/>
  </r>
  <r>
    <s v="T001656"/>
    <d v="2027-07-14T00:00:00"/>
    <x v="3"/>
    <x v="1"/>
    <x v="1"/>
    <x v="1"/>
    <s v="India"/>
    <x v="1"/>
    <x v="11"/>
    <s v="C01656"/>
    <n v="33"/>
    <s v="Other"/>
    <x v="3"/>
    <x v="3"/>
    <x v="3"/>
    <s v="Full Board"/>
    <n v="34029.760000000002"/>
    <n v="3340.31"/>
    <x v="1"/>
    <s v="Confirmed"/>
    <x v="2"/>
    <x v="17"/>
    <x v="1"/>
    <x v="2"/>
    <x v="0"/>
  </r>
  <r>
    <s v="T001657"/>
    <d v="2027-07-15T00:00:00"/>
    <x v="3"/>
    <x v="1"/>
    <x v="0"/>
    <x v="0"/>
    <s v="India"/>
    <x v="4"/>
    <x v="7"/>
    <s v="C01657"/>
    <n v="59"/>
    <s v="Female"/>
    <x v="2"/>
    <x v="3"/>
    <x v="2"/>
    <s v="Half Board"/>
    <n v="27496.15"/>
    <n v="4770.57"/>
    <x v="2"/>
    <s v="Pending"/>
    <x v="2"/>
    <x v="4"/>
    <x v="0"/>
    <x v="4"/>
    <x v="0"/>
  </r>
  <r>
    <s v="T001658"/>
    <d v="2027-07-16T00:00:00"/>
    <x v="2"/>
    <x v="2"/>
    <x v="4"/>
    <x v="1"/>
    <s v="India"/>
    <x v="6"/>
    <x v="0"/>
    <s v="C01658"/>
    <n v="31"/>
    <s v="Other"/>
    <x v="4"/>
    <x v="0"/>
    <x v="0"/>
    <s v="Half Board"/>
    <n v="33407.25"/>
    <n v="1647.27"/>
    <x v="0"/>
    <s v="Pending"/>
    <x v="0"/>
    <x v="25"/>
    <x v="3"/>
    <x v="3"/>
    <x v="0"/>
  </r>
  <r>
    <s v="T001659"/>
    <d v="2027-07-17T00:00:00"/>
    <x v="4"/>
    <x v="3"/>
    <x v="0"/>
    <x v="0"/>
    <s v="India"/>
    <x v="4"/>
    <x v="7"/>
    <s v="C01659"/>
    <n v="30"/>
    <s v="Male"/>
    <x v="4"/>
    <x v="3"/>
    <x v="3"/>
    <s v="No Meals"/>
    <n v="11211.39"/>
    <n v="2038.24"/>
    <x v="2"/>
    <s v="Confirmed"/>
    <x v="3"/>
    <x v="40"/>
    <x v="3"/>
    <x v="0"/>
    <x v="1"/>
  </r>
  <r>
    <s v="T001660"/>
    <d v="2027-07-18T00:00:00"/>
    <x v="0"/>
    <x v="0"/>
    <x v="2"/>
    <x v="0"/>
    <s v="India"/>
    <x v="2"/>
    <x v="8"/>
    <s v="C01660"/>
    <n v="58"/>
    <s v="Other"/>
    <x v="3"/>
    <x v="0"/>
    <x v="2"/>
    <s v="Full Board"/>
    <n v="6739.85"/>
    <n v="3855.73"/>
    <x v="0"/>
    <s v="Cancelled"/>
    <x v="0"/>
    <x v="38"/>
    <x v="0"/>
    <x v="0"/>
    <x v="1"/>
  </r>
  <r>
    <s v="T001661"/>
    <d v="2027-07-19T00:00:00"/>
    <x v="3"/>
    <x v="1"/>
    <x v="4"/>
    <x v="1"/>
    <s v="India"/>
    <x v="6"/>
    <x v="6"/>
    <s v="C01661"/>
    <n v="24"/>
    <s v="Female"/>
    <x v="6"/>
    <x v="0"/>
    <x v="0"/>
    <s v="Half Board"/>
    <n v="11160.56"/>
    <n v="2161.69"/>
    <x v="0"/>
    <s v="Confirmed"/>
    <x v="0"/>
    <x v="37"/>
    <x v="2"/>
    <x v="0"/>
    <x v="0"/>
  </r>
  <r>
    <s v="T001662"/>
    <d v="2027-07-20T00:00:00"/>
    <x v="2"/>
    <x v="2"/>
    <x v="3"/>
    <x v="1"/>
    <s v="India"/>
    <x v="5"/>
    <x v="4"/>
    <s v="C01662"/>
    <n v="29"/>
    <s v="Male"/>
    <x v="5"/>
    <x v="2"/>
    <x v="0"/>
    <s v="Full Board"/>
    <n v="17862.72"/>
    <n v="4630.21"/>
    <x v="2"/>
    <s v="Confirmed"/>
    <x v="3"/>
    <x v="11"/>
    <x v="0"/>
    <x v="0"/>
    <x v="1"/>
  </r>
  <r>
    <s v="T001663"/>
    <d v="2027-07-21T00:00:00"/>
    <x v="3"/>
    <x v="1"/>
    <x v="1"/>
    <x v="1"/>
    <s v="India"/>
    <x v="1"/>
    <x v="8"/>
    <s v="C01663"/>
    <n v="54"/>
    <s v="Other"/>
    <x v="2"/>
    <x v="1"/>
    <x v="3"/>
    <s v="Full Board"/>
    <n v="16401.02"/>
    <n v="2516.09"/>
    <x v="3"/>
    <s v="Pending"/>
    <x v="1"/>
    <x v="9"/>
    <x v="4"/>
    <x v="3"/>
    <x v="1"/>
  </r>
  <r>
    <s v="T001664"/>
    <d v="2027-07-22T00:00:00"/>
    <x v="0"/>
    <x v="0"/>
    <x v="1"/>
    <x v="1"/>
    <s v="India"/>
    <x v="1"/>
    <x v="5"/>
    <s v="C01664"/>
    <n v="67"/>
    <s v="Other"/>
    <x v="4"/>
    <x v="0"/>
    <x v="1"/>
    <s v="Half Board"/>
    <n v="32682.89"/>
    <n v="1738.67"/>
    <x v="1"/>
    <s v="Cancelled"/>
    <x v="1"/>
    <x v="8"/>
    <x v="0"/>
    <x v="1"/>
    <x v="1"/>
  </r>
  <r>
    <s v="T001665"/>
    <d v="2027-07-23T00:00:00"/>
    <x v="0"/>
    <x v="0"/>
    <x v="0"/>
    <x v="0"/>
    <s v="India"/>
    <x v="4"/>
    <x v="10"/>
    <s v="C01665"/>
    <n v="21"/>
    <s v="Other"/>
    <x v="5"/>
    <x v="1"/>
    <x v="0"/>
    <s v="Half Board"/>
    <n v="25515.02"/>
    <n v="4857.8599999999997"/>
    <x v="1"/>
    <s v="Pending"/>
    <x v="0"/>
    <x v="38"/>
    <x v="0"/>
    <x v="4"/>
    <x v="1"/>
  </r>
  <r>
    <s v="T001666"/>
    <d v="2027-07-24T00:00:00"/>
    <x v="1"/>
    <x v="1"/>
    <x v="4"/>
    <x v="1"/>
    <s v="India"/>
    <x v="6"/>
    <x v="9"/>
    <s v="C01666"/>
    <n v="19"/>
    <s v="Male"/>
    <x v="5"/>
    <x v="3"/>
    <x v="0"/>
    <s v="Breakfast Only"/>
    <n v="6746.54"/>
    <n v="2128.91"/>
    <x v="1"/>
    <s v="Confirmed"/>
    <x v="2"/>
    <x v="32"/>
    <x v="4"/>
    <x v="0"/>
    <x v="1"/>
  </r>
  <r>
    <s v="T001667"/>
    <d v="2027-07-25T00:00:00"/>
    <x v="4"/>
    <x v="3"/>
    <x v="3"/>
    <x v="1"/>
    <s v="India"/>
    <x v="5"/>
    <x v="8"/>
    <s v="C01667"/>
    <n v="52"/>
    <s v="Other"/>
    <x v="4"/>
    <x v="1"/>
    <x v="3"/>
    <s v="No Meals"/>
    <n v="6568.97"/>
    <n v="1155.8699999999999"/>
    <x v="0"/>
    <s v="Pending"/>
    <x v="2"/>
    <x v="12"/>
    <x v="1"/>
    <x v="3"/>
    <x v="0"/>
  </r>
  <r>
    <s v="T001668"/>
    <d v="2027-07-26T00:00:00"/>
    <x v="1"/>
    <x v="1"/>
    <x v="4"/>
    <x v="1"/>
    <s v="India"/>
    <x v="6"/>
    <x v="10"/>
    <s v="C01668"/>
    <n v="61"/>
    <s v="Female"/>
    <x v="1"/>
    <x v="1"/>
    <x v="1"/>
    <s v="Half Board"/>
    <n v="9076.4599999999991"/>
    <n v="888.5"/>
    <x v="0"/>
    <s v="Pending"/>
    <x v="2"/>
    <x v="16"/>
    <x v="4"/>
    <x v="3"/>
    <x v="0"/>
  </r>
  <r>
    <s v="T001669"/>
    <d v="2027-07-27T00:00:00"/>
    <x v="2"/>
    <x v="2"/>
    <x v="1"/>
    <x v="1"/>
    <s v="India"/>
    <x v="1"/>
    <x v="6"/>
    <s v="C01669"/>
    <n v="20"/>
    <s v="Male"/>
    <x v="5"/>
    <x v="1"/>
    <x v="2"/>
    <s v="Breakfast Only"/>
    <n v="20888.650000000001"/>
    <n v="4975.91"/>
    <x v="2"/>
    <s v="Confirmed"/>
    <x v="0"/>
    <x v="35"/>
    <x v="3"/>
    <x v="0"/>
    <x v="0"/>
  </r>
  <r>
    <s v="T001670"/>
    <d v="2027-07-28T00:00:00"/>
    <x v="3"/>
    <x v="1"/>
    <x v="4"/>
    <x v="1"/>
    <s v="India"/>
    <x v="6"/>
    <x v="7"/>
    <s v="C01670"/>
    <n v="21"/>
    <s v="Male"/>
    <x v="4"/>
    <x v="3"/>
    <x v="1"/>
    <s v="No Meals"/>
    <n v="5278.23"/>
    <n v="3764.94"/>
    <x v="3"/>
    <s v="Pending"/>
    <x v="2"/>
    <x v="33"/>
    <x v="4"/>
    <x v="2"/>
    <x v="0"/>
  </r>
  <r>
    <s v="T001671"/>
    <d v="2027-07-29T00:00:00"/>
    <x v="2"/>
    <x v="2"/>
    <x v="3"/>
    <x v="1"/>
    <s v="India"/>
    <x v="5"/>
    <x v="8"/>
    <s v="C01671"/>
    <n v="55"/>
    <s v="Other"/>
    <x v="1"/>
    <x v="3"/>
    <x v="1"/>
    <s v="Half Board"/>
    <n v="27229.43"/>
    <n v="2043.3"/>
    <x v="2"/>
    <s v="Confirmed"/>
    <x v="2"/>
    <x v="0"/>
    <x v="0"/>
    <x v="3"/>
    <x v="0"/>
  </r>
  <r>
    <s v="T001672"/>
    <d v="2027-07-30T00:00:00"/>
    <x v="0"/>
    <x v="0"/>
    <x v="0"/>
    <x v="0"/>
    <s v="India"/>
    <x v="4"/>
    <x v="8"/>
    <s v="C01672"/>
    <n v="29"/>
    <s v="Female"/>
    <x v="4"/>
    <x v="0"/>
    <x v="3"/>
    <s v="Full Board"/>
    <n v="21230.13"/>
    <n v="4131.82"/>
    <x v="2"/>
    <s v="Pending"/>
    <x v="1"/>
    <x v="35"/>
    <x v="3"/>
    <x v="4"/>
    <x v="1"/>
  </r>
  <r>
    <s v="T001673"/>
    <d v="2027-07-31T00:00:00"/>
    <x v="1"/>
    <x v="1"/>
    <x v="2"/>
    <x v="0"/>
    <s v="India"/>
    <x v="3"/>
    <x v="1"/>
    <s v="C01673"/>
    <n v="36"/>
    <s v="Male"/>
    <x v="4"/>
    <x v="0"/>
    <x v="1"/>
    <s v="No Meals"/>
    <n v="29994.86"/>
    <n v="2734.03"/>
    <x v="3"/>
    <s v="Cancelled"/>
    <x v="0"/>
    <x v="19"/>
    <x v="3"/>
    <x v="4"/>
    <x v="1"/>
  </r>
  <r>
    <s v="T001674"/>
    <d v="2027-08-01T00:00:00"/>
    <x v="1"/>
    <x v="1"/>
    <x v="4"/>
    <x v="1"/>
    <s v="India"/>
    <x v="6"/>
    <x v="7"/>
    <s v="C01674"/>
    <n v="27"/>
    <s v="Other"/>
    <x v="5"/>
    <x v="2"/>
    <x v="3"/>
    <s v="Full Board"/>
    <n v="37437.14"/>
    <n v="1586.95"/>
    <x v="0"/>
    <s v="Confirmed"/>
    <x v="1"/>
    <x v="35"/>
    <x v="3"/>
    <x v="2"/>
    <x v="0"/>
  </r>
  <r>
    <s v="T001675"/>
    <d v="2027-08-02T00:00:00"/>
    <x v="1"/>
    <x v="1"/>
    <x v="2"/>
    <x v="0"/>
    <s v="India"/>
    <x v="3"/>
    <x v="0"/>
    <s v="C01675"/>
    <n v="18"/>
    <s v="Female"/>
    <x v="6"/>
    <x v="3"/>
    <x v="2"/>
    <s v="Breakfast Only"/>
    <n v="16293.78"/>
    <n v="3716.93"/>
    <x v="2"/>
    <s v="Cancelled"/>
    <x v="3"/>
    <x v="1"/>
    <x v="1"/>
    <x v="3"/>
    <x v="0"/>
  </r>
  <r>
    <s v="T001676"/>
    <d v="2027-08-03T00:00:00"/>
    <x v="2"/>
    <x v="2"/>
    <x v="1"/>
    <x v="1"/>
    <s v="India"/>
    <x v="1"/>
    <x v="0"/>
    <s v="C01676"/>
    <n v="34"/>
    <s v="Other"/>
    <x v="6"/>
    <x v="2"/>
    <x v="0"/>
    <s v="Half Board"/>
    <n v="12068.76"/>
    <n v="3729.47"/>
    <x v="2"/>
    <s v="Pending"/>
    <x v="1"/>
    <x v="24"/>
    <x v="0"/>
    <x v="2"/>
    <x v="1"/>
  </r>
  <r>
    <s v="T001677"/>
    <d v="2027-08-04T00:00:00"/>
    <x v="0"/>
    <x v="0"/>
    <x v="0"/>
    <x v="0"/>
    <s v="India"/>
    <x v="4"/>
    <x v="11"/>
    <s v="C01677"/>
    <n v="33"/>
    <s v="Other"/>
    <x v="2"/>
    <x v="3"/>
    <x v="0"/>
    <s v="Breakfast Only"/>
    <n v="17512.41"/>
    <n v="2500.85"/>
    <x v="0"/>
    <s v="Cancelled"/>
    <x v="0"/>
    <x v="8"/>
    <x v="0"/>
    <x v="3"/>
    <x v="1"/>
  </r>
  <r>
    <s v="T001678"/>
    <d v="2027-08-05T00:00:00"/>
    <x v="3"/>
    <x v="1"/>
    <x v="0"/>
    <x v="0"/>
    <s v="India"/>
    <x v="4"/>
    <x v="4"/>
    <s v="C01678"/>
    <n v="26"/>
    <s v="Male"/>
    <x v="4"/>
    <x v="1"/>
    <x v="3"/>
    <s v="Half Board"/>
    <n v="5079.34"/>
    <n v="225.79"/>
    <x v="1"/>
    <s v="Cancelled"/>
    <x v="2"/>
    <x v="4"/>
    <x v="0"/>
    <x v="3"/>
    <x v="0"/>
  </r>
  <r>
    <s v="T001679"/>
    <d v="2027-08-06T00:00:00"/>
    <x v="3"/>
    <x v="1"/>
    <x v="4"/>
    <x v="1"/>
    <s v="India"/>
    <x v="6"/>
    <x v="2"/>
    <s v="C01679"/>
    <n v="26"/>
    <s v="Male"/>
    <x v="2"/>
    <x v="2"/>
    <x v="3"/>
    <s v="Half Board"/>
    <n v="10400.58"/>
    <n v="385.11"/>
    <x v="3"/>
    <s v="Cancelled"/>
    <x v="0"/>
    <x v="37"/>
    <x v="3"/>
    <x v="2"/>
    <x v="0"/>
  </r>
  <r>
    <s v="T001680"/>
    <d v="2027-08-07T00:00:00"/>
    <x v="2"/>
    <x v="2"/>
    <x v="0"/>
    <x v="0"/>
    <s v="India"/>
    <x v="4"/>
    <x v="9"/>
    <s v="C01680"/>
    <n v="26"/>
    <s v="Other"/>
    <x v="2"/>
    <x v="2"/>
    <x v="1"/>
    <s v="Full Board"/>
    <n v="38787.370000000003"/>
    <n v="3943.75"/>
    <x v="3"/>
    <s v="Pending"/>
    <x v="1"/>
    <x v="39"/>
    <x v="0"/>
    <x v="1"/>
    <x v="1"/>
  </r>
  <r>
    <s v="T001681"/>
    <d v="2027-08-08T00:00:00"/>
    <x v="1"/>
    <x v="1"/>
    <x v="4"/>
    <x v="1"/>
    <s v="India"/>
    <x v="6"/>
    <x v="8"/>
    <s v="C01681"/>
    <n v="29"/>
    <s v="Male"/>
    <x v="2"/>
    <x v="2"/>
    <x v="1"/>
    <s v="Breakfast Only"/>
    <n v="15026.31"/>
    <n v="4117.38"/>
    <x v="1"/>
    <s v="Confirmed"/>
    <x v="0"/>
    <x v="7"/>
    <x v="3"/>
    <x v="0"/>
    <x v="1"/>
  </r>
  <r>
    <s v="T001682"/>
    <d v="2027-08-09T00:00:00"/>
    <x v="4"/>
    <x v="3"/>
    <x v="4"/>
    <x v="1"/>
    <s v="India"/>
    <x v="6"/>
    <x v="8"/>
    <s v="C01682"/>
    <n v="58"/>
    <s v="Male"/>
    <x v="2"/>
    <x v="3"/>
    <x v="0"/>
    <s v="Full Board"/>
    <n v="49743.48"/>
    <n v="3391.45"/>
    <x v="3"/>
    <s v="Pending"/>
    <x v="0"/>
    <x v="30"/>
    <x v="0"/>
    <x v="0"/>
    <x v="0"/>
  </r>
  <r>
    <s v="T001683"/>
    <d v="2027-08-10T00:00:00"/>
    <x v="2"/>
    <x v="2"/>
    <x v="2"/>
    <x v="0"/>
    <s v="India"/>
    <x v="3"/>
    <x v="11"/>
    <s v="C01683"/>
    <n v="32"/>
    <s v="Female"/>
    <x v="3"/>
    <x v="0"/>
    <x v="0"/>
    <s v="Full Board"/>
    <n v="12552.42"/>
    <n v="4195.34"/>
    <x v="1"/>
    <s v="Pending"/>
    <x v="1"/>
    <x v="12"/>
    <x v="1"/>
    <x v="0"/>
    <x v="1"/>
  </r>
  <r>
    <s v="T001684"/>
    <d v="2027-08-11T00:00:00"/>
    <x v="2"/>
    <x v="2"/>
    <x v="0"/>
    <x v="0"/>
    <s v="India"/>
    <x v="4"/>
    <x v="4"/>
    <s v="C01684"/>
    <n v="19"/>
    <s v="Female"/>
    <x v="5"/>
    <x v="2"/>
    <x v="0"/>
    <s v="Full Board"/>
    <n v="40494.730000000003"/>
    <n v="3597.44"/>
    <x v="2"/>
    <s v="Pending"/>
    <x v="1"/>
    <x v="17"/>
    <x v="1"/>
    <x v="2"/>
    <x v="1"/>
  </r>
  <r>
    <s v="T001685"/>
    <d v="2027-08-12T00:00:00"/>
    <x v="0"/>
    <x v="0"/>
    <x v="4"/>
    <x v="1"/>
    <s v="India"/>
    <x v="6"/>
    <x v="7"/>
    <s v="C01685"/>
    <n v="28"/>
    <s v="Other"/>
    <x v="5"/>
    <x v="0"/>
    <x v="3"/>
    <s v="Breakfast Only"/>
    <n v="36727"/>
    <n v="4484.67"/>
    <x v="3"/>
    <s v="Confirmed"/>
    <x v="3"/>
    <x v="28"/>
    <x v="2"/>
    <x v="3"/>
    <x v="0"/>
  </r>
  <r>
    <s v="T001686"/>
    <d v="2027-08-13T00:00:00"/>
    <x v="3"/>
    <x v="1"/>
    <x v="2"/>
    <x v="0"/>
    <s v="India"/>
    <x v="2"/>
    <x v="8"/>
    <s v="C01686"/>
    <n v="28"/>
    <s v="Other"/>
    <x v="3"/>
    <x v="3"/>
    <x v="2"/>
    <s v="Half Board"/>
    <n v="19495.95"/>
    <n v="751.99"/>
    <x v="3"/>
    <s v="Pending"/>
    <x v="3"/>
    <x v="11"/>
    <x v="2"/>
    <x v="3"/>
    <x v="1"/>
  </r>
  <r>
    <s v="T001687"/>
    <d v="2027-08-14T00:00:00"/>
    <x v="2"/>
    <x v="2"/>
    <x v="3"/>
    <x v="1"/>
    <s v="India"/>
    <x v="5"/>
    <x v="10"/>
    <s v="C01687"/>
    <n v="25"/>
    <s v="Other"/>
    <x v="4"/>
    <x v="2"/>
    <x v="2"/>
    <s v="Half Board"/>
    <n v="19883.259999999998"/>
    <n v="1938.71"/>
    <x v="2"/>
    <s v="Pending"/>
    <x v="1"/>
    <x v="11"/>
    <x v="2"/>
    <x v="4"/>
    <x v="0"/>
  </r>
  <r>
    <s v="T001688"/>
    <d v="2027-08-15T00:00:00"/>
    <x v="2"/>
    <x v="2"/>
    <x v="2"/>
    <x v="0"/>
    <s v="India"/>
    <x v="2"/>
    <x v="3"/>
    <s v="C01688"/>
    <n v="49"/>
    <s v="Other"/>
    <x v="3"/>
    <x v="3"/>
    <x v="3"/>
    <s v="Breakfast Only"/>
    <n v="30359.82"/>
    <n v="2320.5500000000002"/>
    <x v="0"/>
    <s v="Confirmed"/>
    <x v="0"/>
    <x v="19"/>
    <x v="3"/>
    <x v="3"/>
    <x v="1"/>
  </r>
  <r>
    <s v="T001689"/>
    <d v="2027-08-16T00:00:00"/>
    <x v="1"/>
    <x v="1"/>
    <x v="2"/>
    <x v="0"/>
    <s v="India"/>
    <x v="2"/>
    <x v="2"/>
    <s v="C01689"/>
    <n v="23"/>
    <s v="Female"/>
    <x v="4"/>
    <x v="0"/>
    <x v="1"/>
    <s v="Half Board"/>
    <n v="43356.83"/>
    <n v="1488.32"/>
    <x v="0"/>
    <s v="Confirmed"/>
    <x v="1"/>
    <x v="39"/>
    <x v="0"/>
    <x v="1"/>
    <x v="0"/>
  </r>
  <r>
    <s v="T001690"/>
    <d v="2027-08-17T00:00:00"/>
    <x v="1"/>
    <x v="1"/>
    <x v="4"/>
    <x v="1"/>
    <s v="India"/>
    <x v="6"/>
    <x v="4"/>
    <s v="C01690"/>
    <n v="37"/>
    <s v="Male"/>
    <x v="6"/>
    <x v="0"/>
    <x v="2"/>
    <s v="Breakfast Only"/>
    <n v="22378.41"/>
    <n v="3626.83"/>
    <x v="2"/>
    <s v="Confirmed"/>
    <x v="2"/>
    <x v="22"/>
    <x v="4"/>
    <x v="0"/>
    <x v="1"/>
  </r>
  <r>
    <s v="T001691"/>
    <d v="2027-08-18T00:00:00"/>
    <x v="4"/>
    <x v="3"/>
    <x v="1"/>
    <x v="1"/>
    <s v="India"/>
    <x v="1"/>
    <x v="8"/>
    <s v="C01691"/>
    <n v="56"/>
    <s v="Female"/>
    <x v="5"/>
    <x v="2"/>
    <x v="1"/>
    <s v="Breakfast Only"/>
    <n v="7753.09"/>
    <n v="4562.1899999999996"/>
    <x v="3"/>
    <s v="Cancelled"/>
    <x v="3"/>
    <x v="33"/>
    <x v="4"/>
    <x v="1"/>
    <x v="1"/>
  </r>
  <r>
    <s v="T001692"/>
    <d v="2027-08-19T00:00:00"/>
    <x v="0"/>
    <x v="0"/>
    <x v="1"/>
    <x v="1"/>
    <s v="India"/>
    <x v="1"/>
    <x v="4"/>
    <s v="C01692"/>
    <n v="52"/>
    <s v="Other"/>
    <x v="0"/>
    <x v="0"/>
    <x v="0"/>
    <s v="Half Board"/>
    <n v="21848.86"/>
    <n v="2062.41"/>
    <x v="3"/>
    <s v="Confirmed"/>
    <x v="2"/>
    <x v="17"/>
    <x v="1"/>
    <x v="0"/>
    <x v="0"/>
  </r>
  <r>
    <s v="T001693"/>
    <d v="2027-08-20T00:00:00"/>
    <x v="4"/>
    <x v="3"/>
    <x v="1"/>
    <x v="1"/>
    <s v="India"/>
    <x v="1"/>
    <x v="0"/>
    <s v="C01693"/>
    <n v="25"/>
    <s v="Other"/>
    <x v="1"/>
    <x v="1"/>
    <x v="0"/>
    <s v="No Meals"/>
    <n v="14329.07"/>
    <n v="4707.71"/>
    <x v="3"/>
    <s v="Cancelled"/>
    <x v="0"/>
    <x v="16"/>
    <x v="4"/>
    <x v="2"/>
    <x v="0"/>
  </r>
  <r>
    <s v="T001694"/>
    <d v="2027-08-21T00:00:00"/>
    <x v="1"/>
    <x v="1"/>
    <x v="2"/>
    <x v="0"/>
    <s v="India"/>
    <x v="2"/>
    <x v="6"/>
    <s v="C01694"/>
    <n v="67"/>
    <s v="Female"/>
    <x v="5"/>
    <x v="1"/>
    <x v="1"/>
    <s v="Full Board"/>
    <n v="47264.32"/>
    <n v="2583.84"/>
    <x v="1"/>
    <s v="Cancelled"/>
    <x v="2"/>
    <x v="2"/>
    <x v="3"/>
    <x v="1"/>
    <x v="1"/>
  </r>
  <r>
    <s v="T001695"/>
    <d v="2027-08-22T00:00:00"/>
    <x v="3"/>
    <x v="1"/>
    <x v="4"/>
    <x v="1"/>
    <s v="India"/>
    <x v="6"/>
    <x v="9"/>
    <s v="C01695"/>
    <n v="66"/>
    <s v="Female"/>
    <x v="3"/>
    <x v="2"/>
    <x v="0"/>
    <s v="Breakfast Only"/>
    <n v="36377.35"/>
    <n v="2612.58"/>
    <x v="0"/>
    <s v="Pending"/>
    <x v="1"/>
    <x v="26"/>
    <x v="0"/>
    <x v="3"/>
    <x v="0"/>
  </r>
  <r>
    <s v="T001696"/>
    <d v="2027-08-23T00:00:00"/>
    <x v="1"/>
    <x v="1"/>
    <x v="0"/>
    <x v="0"/>
    <s v="India"/>
    <x v="4"/>
    <x v="8"/>
    <s v="C01696"/>
    <n v="60"/>
    <s v="Other"/>
    <x v="3"/>
    <x v="3"/>
    <x v="3"/>
    <s v="Breakfast Only"/>
    <n v="7287.47"/>
    <n v="3001.1"/>
    <x v="3"/>
    <s v="Cancelled"/>
    <x v="1"/>
    <x v="8"/>
    <x v="0"/>
    <x v="0"/>
    <x v="0"/>
  </r>
  <r>
    <s v="T001697"/>
    <d v="2027-08-24T00:00:00"/>
    <x v="0"/>
    <x v="0"/>
    <x v="2"/>
    <x v="0"/>
    <s v="India"/>
    <x v="2"/>
    <x v="9"/>
    <s v="C01697"/>
    <n v="51"/>
    <s v="Male"/>
    <x v="6"/>
    <x v="3"/>
    <x v="1"/>
    <s v="No Meals"/>
    <n v="18184.48"/>
    <n v="1341.66"/>
    <x v="0"/>
    <s v="Pending"/>
    <x v="1"/>
    <x v="7"/>
    <x v="3"/>
    <x v="4"/>
    <x v="1"/>
  </r>
  <r>
    <s v="T001698"/>
    <d v="2027-08-25T00:00:00"/>
    <x v="1"/>
    <x v="1"/>
    <x v="2"/>
    <x v="0"/>
    <s v="India"/>
    <x v="2"/>
    <x v="5"/>
    <s v="C01698"/>
    <n v="36"/>
    <s v="Other"/>
    <x v="3"/>
    <x v="3"/>
    <x v="1"/>
    <s v="Breakfast Only"/>
    <n v="7259.72"/>
    <n v="1916.8"/>
    <x v="0"/>
    <s v="Cancelled"/>
    <x v="2"/>
    <x v="33"/>
    <x v="4"/>
    <x v="1"/>
    <x v="1"/>
  </r>
  <r>
    <s v="T001699"/>
    <d v="2027-08-26T00:00:00"/>
    <x v="0"/>
    <x v="0"/>
    <x v="4"/>
    <x v="1"/>
    <s v="India"/>
    <x v="6"/>
    <x v="6"/>
    <s v="C01699"/>
    <n v="24"/>
    <s v="Female"/>
    <x v="4"/>
    <x v="1"/>
    <x v="1"/>
    <s v="Breakfast Only"/>
    <n v="42350.75"/>
    <n v="2766.19"/>
    <x v="3"/>
    <s v="Confirmed"/>
    <x v="2"/>
    <x v="11"/>
    <x v="0"/>
    <x v="2"/>
    <x v="1"/>
  </r>
  <r>
    <s v="T001700"/>
    <d v="2027-08-27T00:00:00"/>
    <x v="0"/>
    <x v="0"/>
    <x v="3"/>
    <x v="1"/>
    <s v="India"/>
    <x v="5"/>
    <x v="3"/>
    <s v="C01700"/>
    <n v="48"/>
    <s v="Other"/>
    <x v="4"/>
    <x v="0"/>
    <x v="2"/>
    <s v="Half Board"/>
    <n v="45783.34"/>
    <n v="4709.91"/>
    <x v="2"/>
    <s v="Pending"/>
    <x v="2"/>
    <x v="10"/>
    <x v="1"/>
    <x v="4"/>
    <x v="0"/>
  </r>
  <r>
    <s v="T001701"/>
    <d v="2027-08-28T00:00:00"/>
    <x v="0"/>
    <x v="0"/>
    <x v="2"/>
    <x v="0"/>
    <s v="India"/>
    <x v="2"/>
    <x v="11"/>
    <s v="C01701"/>
    <n v="35"/>
    <s v="Other"/>
    <x v="0"/>
    <x v="1"/>
    <x v="1"/>
    <s v="Half Board"/>
    <n v="10052.58"/>
    <n v="3213.46"/>
    <x v="2"/>
    <s v="Cancelled"/>
    <x v="1"/>
    <x v="28"/>
    <x v="3"/>
    <x v="2"/>
    <x v="1"/>
  </r>
  <r>
    <s v="T001702"/>
    <d v="2027-08-29T00:00:00"/>
    <x v="0"/>
    <x v="0"/>
    <x v="3"/>
    <x v="1"/>
    <s v="India"/>
    <x v="5"/>
    <x v="9"/>
    <s v="C01702"/>
    <n v="57"/>
    <s v="Male"/>
    <x v="0"/>
    <x v="0"/>
    <x v="1"/>
    <s v="No Meals"/>
    <n v="24813.05"/>
    <n v="1665.58"/>
    <x v="0"/>
    <s v="Pending"/>
    <x v="1"/>
    <x v="23"/>
    <x v="1"/>
    <x v="0"/>
    <x v="1"/>
  </r>
  <r>
    <s v="T001703"/>
    <d v="2027-08-30T00:00:00"/>
    <x v="0"/>
    <x v="0"/>
    <x v="3"/>
    <x v="1"/>
    <s v="India"/>
    <x v="5"/>
    <x v="8"/>
    <s v="C01703"/>
    <n v="31"/>
    <s v="Other"/>
    <x v="5"/>
    <x v="1"/>
    <x v="1"/>
    <s v="Breakfast Only"/>
    <n v="46934.75"/>
    <n v="52.34"/>
    <x v="1"/>
    <s v="Confirmed"/>
    <x v="1"/>
    <x v="3"/>
    <x v="3"/>
    <x v="1"/>
    <x v="0"/>
  </r>
  <r>
    <s v="T001704"/>
    <d v="2027-08-31T00:00:00"/>
    <x v="3"/>
    <x v="1"/>
    <x v="1"/>
    <x v="1"/>
    <s v="India"/>
    <x v="1"/>
    <x v="1"/>
    <s v="C01704"/>
    <n v="56"/>
    <s v="Other"/>
    <x v="0"/>
    <x v="3"/>
    <x v="2"/>
    <s v="Full Board"/>
    <n v="11534.53"/>
    <n v="4908.33"/>
    <x v="0"/>
    <s v="Cancelled"/>
    <x v="2"/>
    <x v="19"/>
    <x v="2"/>
    <x v="2"/>
    <x v="0"/>
  </r>
  <r>
    <s v="T001705"/>
    <d v="2027-09-01T00:00:00"/>
    <x v="4"/>
    <x v="3"/>
    <x v="4"/>
    <x v="1"/>
    <s v="India"/>
    <x v="6"/>
    <x v="11"/>
    <s v="C01705"/>
    <n v="53"/>
    <s v="Other"/>
    <x v="4"/>
    <x v="3"/>
    <x v="0"/>
    <s v="Half Board"/>
    <n v="18135.66"/>
    <n v="2464.92"/>
    <x v="0"/>
    <s v="Cancelled"/>
    <x v="2"/>
    <x v="13"/>
    <x v="0"/>
    <x v="4"/>
    <x v="0"/>
  </r>
  <r>
    <s v="T001706"/>
    <d v="2027-09-02T00:00:00"/>
    <x v="2"/>
    <x v="2"/>
    <x v="3"/>
    <x v="1"/>
    <s v="India"/>
    <x v="5"/>
    <x v="2"/>
    <s v="C01706"/>
    <n v="34"/>
    <s v="Female"/>
    <x v="2"/>
    <x v="3"/>
    <x v="2"/>
    <s v="Full Board"/>
    <n v="18692.36"/>
    <n v="4692.4799999999996"/>
    <x v="2"/>
    <s v="Confirmed"/>
    <x v="0"/>
    <x v="23"/>
    <x v="1"/>
    <x v="4"/>
    <x v="1"/>
  </r>
  <r>
    <s v="T001707"/>
    <d v="2027-09-03T00:00:00"/>
    <x v="4"/>
    <x v="3"/>
    <x v="4"/>
    <x v="1"/>
    <s v="India"/>
    <x v="6"/>
    <x v="11"/>
    <s v="C01707"/>
    <n v="54"/>
    <s v="Female"/>
    <x v="2"/>
    <x v="2"/>
    <x v="3"/>
    <s v="Full Board"/>
    <n v="6352.62"/>
    <n v="2746.73"/>
    <x v="3"/>
    <s v="Cancelled"/>
    <x v="3"/>
    <x v="35"/>
    <x v="2"/>
    <x v="3"/>
    <x v="0"/>
  </r>
  <r>
    <s v="T001708"/>
    <d v="2027-09-04T00:00:00"/>
    <x v="0"/>
    <x v="0"/>
    <x v="1"/>
    <x v="1"/>
    <s v="India"/>
    <x v="1"/>
    <x v="7"/>
    <s v="C01708"/>
    <n v="61"/>
    <s v="Male"/>
    <x v="0"/>
    <x v="2"/>
    <x v="1"/>
    <s v="No Meals"/>
    <n v="6632.3"/>
    <n v="3027.32"/>
    <x v="3"/>
    <s v="Cancelled"/>
    <x v="1"/>
    <x v="13"/>
    <x v="0"/>
    <x v="2"/>
    <x v="1"/>
  </r>
  <r>
    <s v="T001709"/>
    <d v="2027-09-05T00:00:00"/>
    <x v="3"/>
    <x v="1"/>
    <x v="4"/>
    <x v="1"/>
    <s v="India"/>
    <x v="6"/>
    <x v="9"/>
    <s v="C01709"/>
    <n v="26"/>
    <s v="Other"/>
    <x v="0"/>
    <x v="0"/>
    <x v="3"/>
    <s v="No Meals"/>
    <n v="47875.68"/>
    <n v="3559.56"/>
    <x v="1"/>
    <s v="Pending"/>
    <x v="2"/>
    <x v="0"/>
    <x v="0"/>
    <x v="1"/>
    <x v="1"/>
  </r>
  <r>
    <s v="T001710"/>
    <d v="2027-09-06T00:00:00"/>
    <x v="1"/>
    <x v="1"/>
    <x v="2"/>
    <x v="0"/>
    <s v="India"/>
    <x v="3"/>
    <x v="1"/>
    <s v="C01710"/>
    <n v="37"/>
    <s v="Female"/>
    <x v="4"/>
    <x v="2"/>
    <x v="2"/>
    <s v="Breakfast Only"/>
    <n v="30699.17"/>
    <n v="1604.88"/>
    <x v="2"/>
    <s v="Cancelled"/>
    <x v="3"/>
    <x v="35"/>
    <x v="3"/>
    <x v="1"/>
    <x v="1"/>
  </r>
  <r>
    <s v="T001711"/>
    <d v="2027-09-07T00:00:00"/>
    <x v="3"/>
    <x v="1"/>
    <x v="3"/>
    <x v="1"/>
    <s v="India"/>
    <x v="5"/>
    <x v="9"/>
    <s v="C01711"/>
    <n v="62"/>
    <s v="Male"/>
    <x v="6"/>
    <x v="1"/>
    <x v="0"/>
    <s v="No Meals"/>
    <n v="18799.169999999998"/>
    <n v="3494.92"/>
    <x v="2"/>
    <s v="Confirmed"/>
    <x v="2"/>
    <x v="36"/>
    <x v="4"/>
    <x v="3"/>
    <x v="1"/>
  </r>
  <r>
    <s v="T001712"/>
    <d v="2027-09-08T00:00:00"/>
    <x v="0"/>
    <x v="0"/>
    <x v="4"/>
    <x v="1"/>
    <s v="India"/>
    <x v="6"/>
    <x v="7"/>
    <s v="C01712"/>
    <n v="45"/>
    <s v="Other"/>
    <x v="5"/>
    <x v="1"/>
    <x v="0"/>
    <s v="Half Board"/>
    <n v="22040.36"/>
    <n v="2633.96"/>
    <x v="0"/>
    <s v="Cancelled"/>
    <x v="2"/>
    <x v="40"/>
    <x v="3"/>
    <x v="4"/>
    <x v="0"/>
  </r>
  <r>
    <s v="T001713"/>
    <d v="2027-09-09T00:00:00"/>
    <x v="3"/>
    <x v="1"/>
    <x v="0"/>
    <x v="0"/>
    <s v="India"/>
    <x v="0"/>
    <x v="6"/>
    <s v="C01713"/>
    <n v="67"/>
    <s v="Male"/>
    <x v="3"/>
    <x v="0"/>
    <x v="1"/>
    <s v="Breakfast Only"/>
    <n v="37167.93"/>
    <n v="3362.4"/>
    <x v="2"/>
    <s v="Pending"/>
    <x v="1"/>
    <x v="26"/>
    <x v="0"/>
    <x v="2"/>
    <x v="0"/>
  </r>
  <r>
    <s v="T001714"/>
    <d v="2027-09-10T00:00:00"/>
    <x v="3"/>
    <x v="1"/>
    <x v="4"/>
    <x v="1"/>
    <s v="India"/>
    <x v="6"/>
    <x v="6"/>
    <s v="C01714"/>
    <n v="37"/>
    <s v="Male"/>
    <x v="5"/>
    <x v="0"/>
    <x v="0"/>
    <s v="Breakfast Only"/>
    <n v="21493.27"/>
    <n v="4179.17"/>
    <x v="0"/>
    <s v="Cancelled"/>
    <x v="3"/>
    <x v="15"/>
    <x v="0"/>
    <x v="4"/>
    <x v="0"/>
  </r>
  <r>
    <s v="T001715"/>
    <d v="2027-09-11T00:00:00"/>
    <x v="0"/>
    <x v="0"/>
    <x v="3"/>
    <x v="1"/>
    <s v="India"/>
    <x v="5"/>
    <x v="2"/>
    <s v="C01715"/>
    <n v="58"/>
    <s v="Male"/>
    <x v="1"/>
    <x v="3"/>
    <x v="2"/>
    <s v="Full Board"/>
    <n v="15249.22"/>
    <n v="921.15"/>
    <x v="1"/>
    <s v="Pending"/>
    <x v="2"/>
    <x v="14"/>
    <x v="1"/>
    <x v="2"/>
    <x v="0"/>
  </r>
  <r>
    <s v="T001716"/>
    <d v="2027-09-12T00:00:00"/>
    <x v="3"/>
    <x v="1"/>
    <x v="1"/>
    <x v="1"/>
    <s v="India"/>
    <x v="1"/>
    <x v="3"/>
    <s v="C01716"/>
    <n v="53"/>
    <s v="Male"/>
    <x v="2"/>
    <x v="2"/>
    <x v="2"/>
    <s v="Full Board"/>
    <n v="9582.68"/>
    <n v="3067.75"/>
    <x v="2"/>
    <s v="Cancelled"/>
    <x v="3"/>
    <x v="25"/>
    <x v="3"/>
    <x v="2"/>
    <x v="1"/>
  </r>
  <r>
    <s v="T001717"/>
    <d v="2027-09-13T00:00:00"/>
    <x v="2"/>
    <x v="2"/>
    <x v="1"/>
    <x v="1"/>
    <s v="India"/>
    <x v="1"/>
    <x v="8"/>
    <s v="C01717"/>
    <n v="44"/>
    <s v="Male"/>
    <x v="2"/>
    <x v="3"/>
    <x v="0"/>
    <s v="Full Board"/>
    <n v="37801.99"/>
    <n v="260.56"/>
    <x v="2"/>
    <s v="Pending"/>
    <x v="3"/>
    <x v="15"/>
    <x v="0"/>
    <x v="2"/>
    <x v="0"/>
  </r>
  <r>
    <s v="T001718"/>
    <d v="2027-09-14T00:00:00"/>
    <x v="2"/>
    <x v="2"/>
    <x v="3"/>
    <x v="1"/>
    <s v="India"/>
    <x v="5"/>
    <x v="0"/>
    <s v="C01718"/>
    <n v="25"/>
    <s v="Male"/>
    <x v="4"/>
    <x v="2"/>
    <x v="1"/>
    <s v="Breakfast Only"/>
    <n v="13125.43"/>
    <n v="510.58"/>
    <x v="0"/>
    <s v="Pending"/>
    <x v="1"/>
    <x v="36"/>
    <x v="4"/>
    <x v="4"/>
    <x v="1"/>
  </r>
  <r>
    <s v="T001719"/>
    <d v="2027-09-15T00:00:00"/>
    <x v="3"/>
    <x v="1"/>
    <x v="2"/>
    <x v="0"/>
    <s v="India"/>
    <x v="3"/>
    <x v="6"/>
    <s v="C01719"/>
    <n v="49"/>
    <s v="Male"/>
    <x v="5"/>
    <x v="2"/>
    <x v="1"/>
    <s v="No Meals"/>
    <n v="8134.17"/>
    <n v="3372.97"/>
    <x v="2"/>
    <s v="Cancelled"/>
    <x v="3"/>
    <x v="36"/>
    <x v="4"/>
    <x v="4"/>
    <x v="0"/>
  </r>
  <r>
    <s v="T001720"/>
    <d v="2027-09-16T00:00:00"/>
    <x v="1"/>
    <x v="1"/>
    <x v="2"/>
    <x v="0"/>
    <s v="India"/>
    <x v="2"/>
    <x v="0"/>
    <s v="C01720"/>
    <n v="18"/>
    <s v="Other"/>
    <x v="4"/>
    <x v="0"/>
    <x v="2"/>
    <s v="No Meals"/>
    <n v="24212.95"/>
    <n v="354.69"/>
    <x v="3"/>
    <s v="Confirmed"/>
    <x v="0"/>
    <x v="13"/>
    <x v="0"/>
    <x v="4"/>
    <x v="0"/>
  </r>
  <r>
    <s v="T001721"/>
    <d v="2027-09-17T00:00:00"/>
    <x v="0"/>
    <x v="0"/>
    <x v="1"/>
    <x v="1"/>
    <s v="India"/>
    <x v="1"/>
    <x v="9"/>
    <s v="C01721"/>
    <n v="34"/>
    <s v="Other"/>
    <x v="1"/>
    <x v="3"/>
    <x v="0"/>
    <s v="No Meals"/>
    <n v="6780.69"/>
    <n v="2976.79"/>
    <x v="1"/>
    <s v="Confirmed"/>
    <x v="0"/>
    <x v="22"/>
    <x v="4"/>
    <x v="0"/>
    <x v="1"/>
  </r>
  <r>
    <s v="T001722"/>
    <d v="2027-09-18T00:00:00"/>
    <x v="2"/>
    <x v="2"/>
    <x v="1"/>
    <x v="1"/>
    <s v="India"/>
    <x v="1"/>
    <x v="2"/>
    <s v="C01722"/>
    <n v="26"/>
    <s v="Male"/>
    <x v="5"/>
    <x v="3"/>
    <x v="2"/>
    <s v="Breakfast Only"/>
    <n v="48424.91"/>
    <n v="1100.06"/>
    <x v="3"/>
    <s v="Cancelled"/>
    <x v="1"/>
    <x v="33"/>
    <x v="4"/>
    <x v="4"/>
    <x v="1"/>
  </r>
  <r>
    <s v="T001723"/>
    <d v="2027-09-19T00:00:00"/>
    <x v="1"/>
    <x v="1"/>
    <x v="3"/>
    <x v="1"/>
    <s v="India"/>
    <x v="5"/>
    <x v="7"/>
    <s v="C01723"/>
    <n v="37"/>
    <s v="Other"/>
    <x v="1"/>
    <x v="2"/>
    <x v="2"/>
    <s v="Breakfast Only"/>
    <n v="33228.18"/>
    <n v="1520.42"/>
    <x v="0"/>
    <s v="Cancelled"/>
    <x v="1"/>
    <x v="28"/>
    <x v="3"/>
    <x v="3"/>
    <x v="1"/>
  </r>
  <r>
    <s v="T001724"/>
    <d v="2027-09-20T00:00:00"/>
    <x v="3"/>
    <x v="1"/>
    <x v="2"/>
    <x v="0"/>
    <s v="India"/>
    <x v="2"/>
    <x v="4"/>
    <s v="C01724"/>
    <n v="62"/>
    <s v="Male"/>
    <x v="0"/>
    <x v="2"/>
    <x v="3"/>
    <s v="Breakfast Only"/>
    <n v="11871.36"/>
    <n v="648.17999999999995"/>
    <x v="0"/>
    <s v="Cancelled"/>
    <x v="0"/>
    <x v="27"/>
    <x v="0"/>
    <x v="0"/>
    <x v="0"/>
  </r>
  <r>
    <s v="T001725"/>
    <d v="2027-09-21T00:00:00"/>
    <x v="1"/>
    <x v="1"/>
    <x v="1"/>
    <x v="1"/>
    <s v="India"/>
    <x v="1"/>
    <x v="8"/>
    <s v="C01725"/>
    <n v="49"/>
    <s v="Other"/>
    <x v="5"/>
    <x v="0"/>
    <x v="2"/>
    <s v="Breakfast Only"/>
    <n v="12760.43"/>
    <n v="1243.3399999999999"/>
    <x v="0"/>
    <s v="Cancelled"/>
    <x v="1"/>
    <x v="40"/>
    <x v="3"/>
    <x v="2"/>
    <x v="1"/>
  </r>
  <r>
    <s v="T001726"/>
    <d v="2027-09-22T00:00:00"/>
    <x v="4"/>
    <x v="3"/>
    <x v="2"/>
    <x v="0"/>
    <s v="India"/>
    <x v="2"/>
    <x v="9"/>
    <s v="C01726"/>
    <n v="19"/>
    <s v="Female"/>
    <x v="1"/>
    <x v="1"/>
    <x v="1"/>
    <s v="Breakfast Only"/>
    <n v="30642.28"/>
    <n v="4106.46"/>
    <x v="1"/>
    <s v="Cancelled"/>
    <x v="3"/>
    <x v="24"/>
    <x v="0"/>
    <x v="1"/>
    <x v="0"/>
  </r>
  <r>
    <s v="T001727"/>
    <d v="2027-09-23T00:00:00"/>
    <x v="2"/>
    <x v="2"/>
    <x v="1"/>
    <x v="1"/>
    <s v="India"/>
    <x v="1"/>
    <x v="4"/>
    <s v="C01727"/>
    <n v="49"/>
    <s v="Male"/>
    <x v="3"/>
    <x v="3"/>
    <x v="0"/>
    <s v="No Meals"/>
    <n v="21045.46"/>
    <n v="3194.39"/>
    <x v="2"/>
    <s v="Confirmed"/>
    <x v="2"/>
    <x v="3"/>
    <x v="3"/>
    <x v="0"/>
    <x v="1"/>
  </r>
  <r>
    <s v="T001728"/>
    <d v="2027-09-24T00:00:00"/>
    <x v="3"/>
    <x v="1"/>
    <x v="4"/>
    <x v="1"/>
    <s v="India"/>
    <x v="6"/>
    <x v="8"/>
    <s v="C01728"/>
    <n v="62"/>
    <s v="Female"/>
    <x v="3"/>
    <x v="3"/>
    <x v="0"/>
    <s v="Breakfast Only"/>
    <n v="39842"/>
    <n v="4748.8"/>
    <x v="3"/>
    <s v="Pending"/>
    <x v="1"/>
    <x v="17"/>
    <x v="1"/>
    <x v="0"/>
    <x v="0"/>
  </r>
  <r>
    <s v="T001729"/>
    <d v="2027-09-25T00:00:00"/>
    <x v="0"/>
    <x v="0"/>
    <x v="0"/>
    <x v="0"/>
    <s v="India"/>
    <x v="0"/>
    <x v="4"/>
    <s v="C01729"/>
    <n v="26"/>
    <s v="Male"/>
    <x v="2"/>
    <x v="0"/>
    <x v="3"/>
    <s v="No Meals"/>
    <n v="29561.29"/>
    <n v="243.72"/>
    <x v="2"/>
    <s v="Pending"/>
    <x v="0"/>
    <x v="3"/>
    <x v="3"/>
    <x v="2"/>
    <x v="1"/>
  </r>
  <r>
    <s v="T001730"/>
    <d v="2027-09-26T00:00:00"/>
    <x v="3"/>
    <x v="1"/>
    <x v="4"/>
    <x v="1"/>
    <s v="India"/>
    <x v="6"/>
    <x v="11"/>
    <s v="C01730"/>
    <n v="47"/>
    <s v="Male"/>
    <x v="3"/>
    <x v="0"/>
    <x v="3"/>
    <s v="Breakfast Only"/>
    <n v="24500.02"/>
    <n v="3962.06"/>
    <x v="0"/>
    <s v="Confirmed"/>
    <x v="2"/>
    <x v="33"/>
    <x v="4"/>
    <x v="4"/>
    <x v="1"/>
  </r>
  <r>
    <s v="T001731"/>
    <d v="2027-09-27T00:00:00"/>
    <x v="0"/>
    <x v="0"/>
    <x v="1"/>
    <x v="1"/>
    <s v="India"/>
    <x v="1"/>
    <x v="9"/>
    <s v="C01731"/>
    <n v="37"/>
    <s v="Female"/>
    <x v="5"/>
    <x v="3"/>
    <x v="1"/>
    <s v="No Meals"/>
    <n v="48334.11"/>
    <n v="3495.39"/>
    <x v="2"/>
    <s v="Confirmed"/>
    <x v="3"/>
    <x v="29"/>
    <x v="1"/>
    <x v="4"/>
    <x v="1"/>
  </r>
  <r>
    <s v="T001732"/>
    <d v="2027-09-28T00:00:00"/>
    <x v="3"/>
    <x v="1"/>
    <x v="0"/>
    <x v="0"/>
    <s v="India"/>
    <x v="4"/>
    <x v="2"/>
    <s v="C01732"/>
    <n v="55"/>
    <s v="Female"/>
    <x v="3"/>
    <x v="3"/>
    <x v="3"/>
    <s v="Half Board"/>
    <n v="22582.81"/>
    <n v="1304.46"/>
    <x v="1"/>
    <s v="Pending"/>
    <x v="2"/>
    <x v="6"/>
    <x v="2"/>
    <x v="0"/>
    <x v="1"/>
  </r>
  <r>
    <s v="T001733"/>
    <d v="2027-09-29T00:00:00"/>
    <x v="1"/>
    <x v="1"/>
    <x v="0"/>
    <x v="0"/>
    <s v="India"/>
    <x v="0"/>
    <x v="2"/>
    <s v="C01733"/>
    <n v="18"/>
    <s v="Female"/>
    <x v="3"/>
    <x v="2"/>
    <x v="2"/>
    <s v="Half Board"/>
    <n v="23027.49"/>
    <n v="3645.83"/>
    <x v="0"/>
    <s v="Confirmed"/>
    <x v="0"/>
    <x v="20"/>
    <x v="0"/>
    <x v="4"/>
    <x v="0"/>
  </r>
  <r>
    <s v="T001734"/>
    <d v="2027-09-30T00:00:00"/>
    <x v="1"/>
    <x v="1"/>
    <x v="1"/>
    <x v="1"/>
    <s v="India"/>
    <x v="1"/>
    <x v="7"/>
    <s v="C01734"/>
    <n v="22"/>
    <s v="Male"/>
    <x v="0"/>
    <x v="1"/>
    <x v="2"/>
    <s v="No Meals"/>
    <n v="34959.760000000002"/>
    <n v="3582.74"/>
    <x v="2"/>
    <s v="Cancelled"/>
    <x v="2"/>
    <x v="35"/>
    <x v="2"/>
    <x v="0"/>
    <x v="0"/>
  </r>
  <r>
    <s v="T001735"/>
    <d v="2027-10-01T00:00:00"/>
    <x v="1"/>
    <x v="1"/>
    <x v="1"/>
    <x v="1"/>
    <s v="India"/>
    <x v="1"/>
    <x v="8"/>
    <s v="C01735"/>
    <n v="52"/>
    <s v="Female"/>
    <x v="2"/>
    <x v="3"/>
    <x v="1"/>
    <s v="Half Board"/>
    <n v="41426.54"/>
    <n v="2296.73"/>
    <x v="3"/>
    <s v="Confirmed"/>
    <x v="0"/>
    <x v="35"/>
    <x v="3"/>
    <x v="1"/>
    <x v="0"/>
  </r>
  <r>
    <s v="T001736"/>
    <d v="2027-10-02T00:00:00"/>
    <x v="4"/>
    <x v="3"/>
    <x v="2"/>
    <x v="0"/>
    <s v="India"/>
    <x v="2"/>
    <x v="0"/>
    <s v="C01736"/>
    <n v="53"/>
    <s v="Female"/>
    <x v="4"/>
    <x v="0"/>
    <x v="0"/>
    <s v="Half Board"/>
    <n v="33179.67"/>
    <n v="3443.2"/>
    <x v="0"/>
    <s v="Confirmed"/>
    <x v="1"/>
    <x v="10"/>
    <x v="1"/>
    <x v="1"/>
    <x v="0"/>
  </r>
  <r>
    <s v="T001737"/>
    <d v="2027-10-03T00:00:00"/>
    <x v="0"/>
    <x v="0"/>
    <x v="1"/>
    <x v="1"/>
    <s v="India"/>
    <x v="1"/>
    <x v="9"/>
    <s v="C01737"/>
    <n v="18"/>
    <s v="Other"/>
    <x v="2"/>
    <x v="2"/>
    <x v="1"/>
    <s v="No Meals"/>
    <n v="36437.46"/>
    <n v="2222.9"/>
    <x v="0"/>
    <s v="Confirmed"/>
    <x v="1"/>
    <x v="15"/>
    <x v="0"/>
    <x v="2"/>
    <x v="1"/>
  </r>
  <r>
    <s v="T001738"/>
    <d v="2027-10-04T00:00:00"/>
    <x v="1"/>
    <x v="1"/>
    <x v="3"/>
    <x v="1"/>
    <s v="India"/>
    <x v="5"/>
    <x v="8"/>
    <s v="C01738"/>
    <n v="31"/>
    <s v="Other"/>
    <x v="2"/>
    <x v="2"/>
    <x v="3"/>
    <s v="Breakfast Only"/>
    <n v="21781.919999999998"/>
    <n v="1677.73"/>
    <x v="1"/>
    <s v="Confirmed"/>
    <x v="0"/>
    <x v="7"/>
    <x v="3"/>
    <x v="3"/>
    <x v="1"/>
  </r>
  <r>
    <s v="T001739"/>
    <d v="2027-10-05T00:00:00"/>
    <x v="4"/>
    <x v="3"/>
    <x v="1"/>
    <x v="1"/>
    <s v="India"/>
    <x v="1"/>
    <x v="8"/>
    <s v="C01739"/>
    <n v="26"/>
    <s v="Female"/>
    <x v="2"/>
    <x v="0"/>
    <x v="0"/>
    <s v="Breakfast Only"/>
    <n v="26577.360000000001"/>
    <n v="2332.4499999999998"/>
    <x v="1"/>
    <s v="Pending"/>
    <x v="1"/>
    <x v="39"/>
    <x v="0"/>
    <x v="3"/>
    <x v="0"/>
  </r>
  <r>
    <s v="T001740"/>
    <d v="2027-10-06T00:00:00"/>
    <x v="0"/>
    <x v="0"/>
    <x v="3"/>
    <x v="1"/>
    <s v="India"/>
    <x v="5"/>
    <x v="2"/>
    <s v="C01740"/>
    <n v="47"/>
    <s v="Female"/>
    <x v="1"/>
    <x v="0"/>
    <x v="0"/>
    <s v="No Meals"/>
    <n v="13866.58"/>
    <n v="4475.6499999999996"/>
    <x v="3"/>
    <s v="Pending"/>
    <x v="3"/>
    <x v="35"/>
    <x v="3"/>
    <x v="4"/>
    <x v="0"/>
  </r>
  <r>
    <s v="T001741"/>
    <d v="2027-10-07T00:00:00"/>
    <x v="3"/>
    <x v="1"/>
    <x v="1"/>
    <x v="1"/>
    <s v="India"/>
    <x v="1"/>
    <x v="4"/>
    <s v="C01741"/>
    <n v="41"/>
    <s v="Female"/>
    <x v="4"/>
    <x v="2"/>
    <x v="0"/>
    <s v="Full Board"/>
    <n v="35611.089999999997"/>
    <n v="1922.92"/>
    <x v="2"/>
    <s v="Pending"/>
    <x v="2"/>
    <x v="2"/>
    <x v="3"/>
    <x v="3"/>
    <x v="0"/>
  </r>
  <r>
    <s v="T001742"/>
    <d v="2027-10-08T00:00:00"/>
    <x v="4"/>
    <x v="3"/>
    <x v="2"/>
    <x v="0"/>
    <s v="India"/>
    <x v="2"/>
    <x v="6"/>
    <s v="C01742"/>
    <n v="21"/>
    <s v="Female"/>
    <x v="1"/>
    <x v="0"/>
    <x v="3"/>
    <s v="Full Board"/>
    <n v="14965.34"/>
    <n v="2018.44"/>
    <x v="2"/>
    <s v="Pending"/>
    <x v="0"/>
    <x v="0"/>
    <x v="0"/>
    <x v="1"/>
    <x v="0"/>
  </r>
  <r>
    <s v="T001743"/>
    <d v="2027-10-09T00:00:00"/>
    <x v="2"/>
    <x v="2"/>
    <x v="3"/>
    <x v="1"/>
    <s v="India"/>
    <x v="5"/>
    <x v="4"/>
    <s v="C01743"/>
    <n v="67"/>
    <s v="Other"/>
    <x v="0"/>
    <x v="2"/>
    <x v="2"/>
    <s v="Half Board"/>
    <n v="5056.5600000000004"/>
    <n v="3042.02"/>
    <x v="0"/>
    <s v="Cancelled"/>
    <x v="0"/>
    <x v="9"/>
    <x v="4"/>
    <x v="2"/>
    <x v="0"/>
  </r>
  <r>
    <s v="T001744"/>
    <d v="2027-10-10T00:00:00"/>
    <x v="4"/>
    <x v="3"/>
    <x v="4"/>
    <x v="1"/>
    <s v="India"/>
    <x v="6"/>
    <x v="1"/>
    <s v="C01744"/>
    <n v="31"/>
    <s v="Male"/>
    <x v="0"/>
    <x v="0"/>
    <x v="2"/>
    <s v="Full Board"/>
    <n v="47019.3"/>
    <n v="3765"/>
    <x v="0"/>
    <s v="Cancelled"/>
    <x v="0"/>
    <x v="8"/>
    <x v="0"/>
    <x v="1"/>
    <x v="1"/>
  </r>
  <r>
    <s v="T001745"/>
    <d v="2027-10-11T00:00:00"/>
    <x v="4"/>
    <x v="3"/>
    <x v="3"/>
    <x v="1"/>
    <s v="India"/>
    <x v="5"/>
    <x v="9"/>
    <s v="C01745"/>
    <n v="42"/>
    <s v="Female"/>
    <x v="6"/>
    <x v="2"/>
    <x v="3"/>
    <s v="Half Board"/>
    <n v="18770.689999999999"/>
    <n v="3673.1"/>
    <x v="2"/>
    <s v="Pending"/>
    <x v="3"/>
    <x v="13"/>
    <x v="0"/>
    <x v="0"/>
    <x v="1"/>
  </r>
  <r>
    <s v="T001746"/>
    <d v="2027-10-12T00:00:00"/>
    <x v="0"/>
    <x v="0"/>
    <x v="2"/>
    <x v="0"/>
    <s v="India"/>
    <x v="2"/>
    <x v="5"/>
    <s v="C01746"/>
    <n v="21"/>
    <s v="Female"/>
    <x v="6"/>
    <x v="3"/>
    <x v="3"/>
    <s v="Breakfast Only"/>
    <n v="13848.44"/>
    <n v="98.99"/>
    <x v="2"/>
    <s v="Pending"/>
    <x v="3"/>
    <x v="10"/>
    <x v="1"/>
    <x v="4"/>
    <x v="0"/>
  </r>
  <r>
    <s v="T001747"/>
    <d v="2027-10-13T00:00:00"/>
    <x v="3"/>
    <x v="1"/>
    <x v="3"/>
    <x v="1"/>
    <s v="India"/>
    <x v="5"/>
    <x v="10"/>
    <s v="C01747"/>
    <n v="42"/>
    <s v="Other"/>
    <x v="0"/>
    <x v="3"/>
    <x v="1"/>
    <s v="No Meals"/>
    <n v="17066.599999999999"/>
    <n v="3437.08"/>
    <x v="2"/>
    <s v="Pending"/>
    <x v="3"/>
    <x v="18"/>
    <x v="0"/>
    <x v="4"/>
    <x v="0"/>
  </r>
  <r>
    <s v="T001748"/>
    <d v="2027-10-14T00:00:00"/>
    <x v="2"/>
    <x v="2"/>
    <x v="1"/>
    <x v="1"/>
    <s v="India"/>
    <x v="1"/>
    <x v="5"/>
    <s v="C01748"/>
    <n v="27"/>
    <s v="Female"/>
    <x v="0"/>
    <x v="0"/>
    <x v="1"/>
    <s v="Breakfast Only"/>
    <n v="19870.150000000001"/>
    <n v="2252.77"/>
    <x v="0"/>
    <s v="Confirmed"/>
    <x v="0"/>
    <x v="37"/>
    <x v="3"/>
    <x v="3"/>
    <x v="1"/>
  </r>
  <r>
    <s v="T001749"/>
    <d v="2027-10-15T00:00:00"/>
    <x v="1"/>
    <x v="1"/>
    <x v="1"/>
    <x v="1"/>
    <s v="India"/>
    <x v="1"/>
    <x v="8"/>
    <s v="C01749"/>
    <n v="52"/>
    <s v="Female"/>
    <x v="1"/>
    <x v="1"/>
    <x v="2"/>
    <s v="No Meals"/>
    <n v="26354.59"/>
    <n v="2620.4499999999998"/>
    <x v="1"/>
    <s v="Cancelled"/>
    <x v="3"/>
    <x v="3"/>
    <x v="3"/>
    <x v="0"/>
    <x v="0"/>
  </r>
  <r>
    <s v="T001750"/>
    <d v="2027-10-16T00:00:00"/>
    <x v="1"/>
    <x v="1"/>
    <x v="2"/>
    <x v="0"/>
    <s v="India"/>
    <x v="3"/>
    <x v="1"/>
    <s v="C01750"/>
    <n v="24"/>
    <s v="Other"/>
    <x v="0"/>
    <x v="3"/>
    <x v="3"/>
    <s v="Full Board"/>
    <n v="8120.83"/>
    <n v="2808.32"/>
    <x v="1"/>
    <s v="Cancelled"/>
    <x v="1"/>
    <x v="37"/>
    <x v="3"/>
    <x v="3"/>
    <x v="0"/>
  </r>
  <r>
    <s v="T001751"/>
    <d v="2027-10-17T00:00:00"/>
    <x v="4"/>
    <x v="3"/>
    <x v="0"/>
    <x v="0"/>
    <s v="India"/>
    <x v="0"/>
    <x v="2"/>
    <s v="C01751"/>
    <n v="59"/>
    <s v="Female"/>
    <x v="5"/>
    <x v="2"/>
    <x v="1"/>
    <s v="Breakfast Only"/>
    <n v="7370.29"/>
    <n v="3658.6"/>
    <x v="3"/>
    <s v="Confirmed"/>
    <x v="2"/>
    <x v="19"/>
    <x v="3"/>
    <x v="3"/>
    <x v="1"/>
  </r>
  <r>
    <s v="T001752"/>
    <d v="2027-10-18T00:00:00"/>
    <x v="0"/>
    <x v="0"/>
    <x v="1"/>
    <x v="1"/>
    <s v="India"/>
    <x v="1"/>
    <x v="8"/>
    <s v="C01752"/>
    <n v="30"/>
    <s v="Female"/>
    <x v="4"/>
    <x v="1"/>
    <x v="3"/>
    <s v="Breakfast Only"/>
    <n v="18180.98"/>
    <n v="4156.66"/>
    <x v="2"/>
    <s v="Confirmed"/>
    <x v="1"/>
    <x v="4"/>
    <x v="0"/>
    <x v="3"/>
    <x v="1"/>
  </r>
  <r>
    <s v="T001753"/>
    <d v="2027-10-19T00:00:00"/>
    <x v="0"/>
    <x v="0"/>
    <x v="4"/>
    <x v="1"/>
    <s v="India"/>
    <x v="6"/>
    <x v="5"/>
    <s v="C01753"/>
    <n v="21"/>
    <s v="Other"/>
    <x v="1"/>
    <x v="2"/>
    <x v="3"/>
    <s v="Half Board"/>
    <n v="18309.48"/>
    <n v="3231.3"/>
    <x v="2"/>
    <s v="Confirmed"/>
    <x v="1"/>
    <x v="21"/>
    <x v="0"/>
    <x v="0"/>
    <x v="1"/>
  </r>
  <r>
    <s v="T001754"/>
    <d v="2027-10-20T00:00:00"/>
    <x v="1"/>
    <x v="1"/>
    <x v="2"/>
    <x v="0"/>
    <s v="India"/>
    <x v="3"/>
    <x v="6"/>
    <s v="C01754"/>
    <n v="67"/>
    <s v="Male"/>
    <x v="0"/>
    <x v="2"/>
    <x v="2"/>
    <s v="No Meals"/>
    <n v="10294.08"/>
    <n v="2819.54"/>
    <x v="2"/>
    <s v="Cancelled"/>
    <x v="3"/>
    <x v="36"/>
    <x v="4"/>
    <x v="3"/>
    <x v="0"/>
  </r>
  <r>
    <s v="T001755"/>
    <d v="2027-10-21T00:00:00"/>
    <x v="2"/>
    <x v="2"/>
    <x v="3"/>
    <x v="1"/>
    <s v="India"/>
    <x v="5"/>
    <x v="8"/>
    <s v="C01755"/>
    <n v="60"/>
    <s v="Female"/>
    <x v="1"/>
    <x v="3"/>
    <x v="2"/>
    <s v="Full Board"/>
    <n v="23215.62"/>
    <n v="1868.85"/>
    <x v="3"/>
    <s v="Confirmed"/>
    <x v="0"/>
    <x v="36"/>
    <x v="4"/>
    <x v="4"/>
    <x v="0"/>
  </r>
  <r>
    <s v="T001756"/>
    <d v="2027-10-22T00:00:00"/>
    <x v="3"/>
    <x v="1"/>
    <x v="3"/>
    <x v="1"/>
    <s v="India"/>
    <x v="5"/>
    <x v="4"/>
    <s v="C01756"/>
    <n v="53"/>
    <s v="Female"/>
    <x v="1"/>
    <x v="0"/>
    <x v="3"/>
    <s v="Breakfast Only"/>
    <n v="17781.29"/>
    <n v="689.39"/>
    <x v="2"/>
    <s v="Confirmed"/>
    <x v="1"/>
    <x v="30"/>
    <x v="0"/>
    <x v="3"/>
    <x v="1"/>
  </r>
  <r>
    <s v="T001757"/>
    <d v="2027-10-23T00:00:00"/>
    <x v="2"/>
    <x v="2"/>
    <x v="4"/>
    <x v="1"/>
    <s v="India"/>
    <x v="6"/>
    <x v="9"/>
    <s v="C01757"/>
    <n v="31"/>
    <s v="Male"/>
    <x v="3"/>
    <x v="0"/>
    <x v="0"/>
    <s v="No Meals"/>
    <n v="6172.5"/>
    <n v="4792.8900000000003"/>
    <x v="1"/>
    <s v="Confirmed"/>
    <x v="2"/>
    <x v="2"/>
    <x v="2"/>
    <x v="0"/>
    <x v="0"/>
  </r>
  <r>
    <s v="T001758"/>
    <d v="2027-10-24T00:00:00"/>
    <x v="3"/>
    <x v="1"/>
    <x v="1"/>
    <x v="1"/>
    <s v="India"/>
    <x v="1"/>
    <x v="6"/>
    <s v="C01758"/>
    <n v="35"/>
    <s v="Other"/>
    <x v="6"/>
    <x v="2"/>
    <x v="0"/>
    <s v="Full Board"/>
    <n v="44857.440000000002"/>
    <n v="2309.21"/>
    <x v="2"/>
    <s v="Pending"/>
    <x v="3"/>
    <x v="24"/>
    <x v="0"/>
    <x v="0"/>
    <x v="0"/>
  </r>
  <r>
    <s v="T001759"/>
    <d v="2027-10-25T00:00:00"/>
    <x v="1"/>
    <x v="1"/>
    <x v="2"/>
    <x v="0"/>
    <s v="India"/>
    <x v="2"/>
    <x v="0"/>
    <s v="C01759"/>
    <n v="25"/>
    <s v="Male"/>
    <x v="1"/>
    <x v="3"/>
    <x v="3"/>
    <s v="Breakfast Only"/>
    <n v="44870.86"/>
    <n v="2831.06"/>
    <x v="3"/>
    <s v="Confirmed"/>
    <x v="1"/>
    <x v="14"/>
    <x v="1"/>
    <x v="1"/>
    <x v="0"/>
  </r>
  <r>
    <s v="T001760"/>
    <d v="2027-10-26T00:00:00"/>
    <x v="3"/>
    <x v="1"/>
    <x v="4"/>
    <x v="1"/>
    <s v="India"/>
    <x v="6"/>
    <x v="5"/>
    <s v="C01760"/>
    <n v="49"/>
    <s v="Female"/>
    <x v="2"/>
    <x v="2"/>
    <x v="2"/>
    <s v="No Meals"/>
    <n v="14413.2"/>
    <n v="3755.37"/>
    <x v="0"/>
    <s v="Pending"/>
    <x v="3"/>
    <x v="6"/>
    <x v="3"/>
    <x v="3"/>
    <x v="0"/>
  </r>
  <r>
    <s v="T001761"/>
    <d v="2027-10-27T00:00:00"/>
    <x v="0"/>
    <x v="0"/>
    <x v="1"/>
    <x v="1"/>
    <s v="India"/>
    <x v="1"/>
    <x v="10"/>
    <s v="C01761"/>
    <n v="44"/>
    <s v="Male"/>
    <x v="5"/>
    <x v="1"/>
    <x v="0"/>
    <s v="Half Board"/>
    <n v="12329.25"/>
    <n v="342.05"/>
    <x v="0"/>
    <s v="Cancelled"/>
    <x v="2"/>
    <x v="30"/>
    <x v="0"/>
    <x v="0"/>
    <x v="0"/>
  </r>
  <r>
    <s v="T001762"/>
    <d v="2027-10-28T00:00:00"/>
    <x v="4"/>
    <x v="3"/>
    <x v="2"/>
    <x v="0"/>
    <s v="India"/>
    <x v="3"/>
    <x v="10"/>
    <s v="C01762"/>
    <n v="59"/>
    <s v="Other"/>
    <x v="5"/>
    <x v="2"/>
    <x v="2"/>
    <s v="Breakfast Only"/>
    <n v="29628.17"/>
    <n v="4275.0600000000004"/>
    <x v="1"/>
    <s v="Cancelled"/>
    <x v="3"/>
    <x v="10"/>
    <x v="1"/>
    <x v="3"/>
    <x v="1"/>
  </r>
  <r>
    <s v="T001763"/>
    <d v="2027-10-29T00:00:00"/>
    <x v="4"/>
    <x v="3"/>
    <x v="3"/>
    <x v="1"/>
    <s v="India"/>
    <x v="5"/>
    <x v="4"/>
    <s v="C01763"/>
    <n v="54"/>
    <s v="Female"/>
    <x v="1"/>
    <x v="3"/>
    <x v="0"/>
    <s v="No Meals"/>
    <n v="33383.910000000003"/>
    <n v="3985.13"/>
    <x v="1"/>
    <s v="Cancelled"/>
    <x v="0"/>
    <x v="40"/>
    <x v="3"/>
    <x v="2"/>
    <x v="0"/>
  </r>
  <r>
    <s v="T001764"/>
    <d v="2027-10-30T00:00:00"/>
    <x v="1"/>
    <x v="1"/>
    <x v="2"/>
    <x v="0"/>
    <s v="India"/>
    <x v="2"/>
    <x v="9"/>
    <s v="C01764"/>
    <n v="40"/>
    <s v="Other"/>
    <x v="2"/>
    <x v="2"/>
    <x v="3"/>
    <s v="Full Board"/>
    <n v="48089.42"/>
    <n v="3872.14"/>
    <x v="1"/>
    <s v="Pending"/>
    <x v="1"/>
    <x v="9"/>
    <x v="4"/>
    <x v="4"/>
    <x v="1"/>
  </r>
  <r>
    <s v="T001765"/>
    <d v="2027-10-31T00:00:00"/>
    <x v="0"/>
    <x v="0"/>
    <x v="0"/>
    <x v="0"/>
    <s v="India"/>
    <x v="4"/>
    <x v="3"/>
    <s v="C01765"/>
    <n v="24"/>
    <s v="Other"/>
    <x v="5"/>
    <x v="3"/>
    <x v="1"/>
    <s v="Full Board"/>
    <n v="21980.68"/>
    <n v="109.91"/>
    <x v="0"/>
    <s v="Confirmed"/>
    <x v="1"/>
    <x v="9"/>
    <x v="4"/>
    <x v="4"/>
    <x v="1"/>
  </r>
  <r>
    <s v="T001766"/>
    <d v="2027-11-01T00:00:00"/>
    <x v="2"/>
    <x v="2"/>
    <x v="2"/>
    <x v="0"/>
    <s v="India"/>
    <x v="2"/>
    <x v="3"/>
    <s v="C01766"/>
    <n v="29"/>
    <s v="Male"/>
    <x v="3"/>
    <x v="0"/>
    <x v="1"/>
    <s v="Half Board"/>
    <n v="32819.019999999997"/>
    <n v="2632.59"/>
    <x v="2"/>
    <s v="Cancelled"/>
    <x v="0"/>
    <x v="15"/>
    <x v="0"/>
    <x v="3"/>
    <x v="0"/>
  </r>
  <r>
    <s v="T001767"/>
    <d v="2027-11-02T00:00:00"/>
    <x v="0"/>
    <x v="0"/>
    <x v="0"/>
    <x v="0"/>
    <s v="India"/>
    <x v="4"/>
    <x v="7"/>
    <s v="C01767"/>
    <n v="42"/>
    <s v="Male"/>
    <x v="0"/>
    <x v="3"/>
    <x v="2"/>
    <s v="Breakfast Only"/>
    <n v="44518.15"/>
    <n v="271.33999999999997"/>
    <x v="3"/>
    <s v="Confirmed"/>
    <x v="2"/>
    <x v="18"/>
    <x v="0"/>
    <x v="4"/>
    <x v="1"/>
  </r>
  <r>
    <s v="T001768"/>
    <d v="2027-11-03T00:00:00"/>
    <x v="4"/>
    <x v="3"/>
    <x v="2"/>
    <x v="0"/>
    <s v="India"/>
    <x v="3"/>
    <x v="7"/>
    <s v="C01768"/>
    <n v="20"/>
    <s v="Other"/>
    <x v="1"/>
    <x v="1"/>
    <x v="2"/>
    <s v="Half Board"/>
    <n v="25247.919999999998"/>
    <n v="2754.36"/>
    <x v="3"/>
    <s v="Pending"/>
    <x v="2"/>
    <x v="14"/>
    <x v="1"/>
    <x v="4"/>
    <x v="1"/>
  </r>
  <r>
    <s v="T001769"/>
    <d v="2027-11-04T00:00:00"/>
    <x v="4"/>
    <x v="3"/>
    <x v="0"/>
    <x v="0"/>
    <s v="India"/>
    <x v="4"/>
    <x v="5"/>
    <s v="C01769"/>
    <n v="43"/>
    <s v="Other"/>
    <x v="3"/>
    <x v="3"/>
    <x v="0"/>
    <s v="No Meals"/>
    <n v="10505.56"/>
    <n v="3592.24"/>
    <x v="2"/>
    <s v="Cancelled"/>
    <x v="3"/>
    <x v="19"/>
    <x v="3"/>
    <x v="2"/>
    <x v="0"/>
  </r>
  <r>
    <s v="T001770"/>
    <d v="2027-11-05T00:00:00"/>
    <x v="0"/>
    <x v="0"/>
    <x v="3"/>
    <x v="1"/>
    <s v="India"/>
    <x v="5"/>
    <x v="4"/>
    <s v="C01770"/>
    <n v="21"/>
    <s v="Female"/>
    <x v="4"/>
    <x v="1"/>
    <x v="3"/>
    <s v="Full Board"/>
    <n v="21985.13"/>
    <n v="609.25"/>
    <x v="0"/>
    <s v="Confirmed"/>
    <x v="1"/>
    <x v="33"/>
    <x v="4"/>
    <x v="4"/>
    <x v="1"/>
  </r>
  <r>
    <s v="T001771"/>
    <d v="2027-11-06T00:00:00"/>
    <x v="0"/>
    <x v="0"/>
    <x v="1"/>
    <x v="1"/>
    <s v="India"/>
    <x v="1"/>
    <x v="4"/>
    <s v="C01771"/>
    <n v="59"/>
    <s v="Other"/>
    <x v="3"/>
    <x v="1"/>
    <x v="0"/>
    <s v="Half Board"/>
    <n v="11145.51"/>
    <n v="3474.42"/>
    <x v="0"/>
    <s v="Confirmed"/>
    <x v="2"/>
    <x v="16"/>
    <x v="4"/>
    <x v="4"/>
    <x v="0"/>
  </r>
  <r>
    <s v="T001772"/>
    <d v="2027-11-07T00:00:00"/>
    <x v="4"/>
    <x v="3"/>
    <x v="0"/>
    <x v="0"/>
    <s v="India"/>
    <x v="0"/>
    <x v="8"/>
    <s v="C01772"/>
    <n v="53"/>
    <s v="Other"/>
    <x v="6"/>
    <x v="2"/>
    <x v="3"/>
    <s v="Breakfast Only"/>
    <n v="5748.78"/>
    <n v="2247.66"/>
    <x v="3"/>
    <s v="Cancelled"/>
    <x v="0"/>
    <x v="40"/>
    <x v="3"/>
    <x v="0"/>
    <x v="0"/>
  </r>
  <r>
    <s v="T001773"/>
    <d v="2027-11-08T00:00:00"/>
    <x v="2"/>
    <x v="2"/>
    <x v="0"/>
    <x v="0"/>
    <s v="India"/>
    <x v="4"/>
    <x v="10"/>
    <s v="C01773"/>
    <n v="32"/>
    <s v="Male"/>
    <x v="6"/>
    <x v="1"/>
    <x v="3"/>
    <s v="No Meals"/>
    <n v="38819.89"/>
    <n v="4057.76"/>
    <x v="1"/>
    <s v="Confirmed"/>
    <x v="0"/>
    <x v="31"/>
    <x v="1"/>
    <x v="4"/>
    <x v="1"/>
  </r>
  <r>
    <s v="T001774"/>
    <d v="2027-11-09T00:00:00"/>
    <x v="1"/>
    <x v="1"/>
    <x v="3"/>
    <x v="1"/>
    <s v="India"/>
    <x v="5"/>
    <x v="10"/>
    <s v="C01774"/>
    <n v="49"/>
    <s v="Other"/>
    <x v="0"/>
    <x v="3"/>
    <x v="2"/>
    <s v="Breakfast Only"/>
    <n v="15729.07"/>
    <n v="2667.94"/>
    <x v="1"/>
    <s v="Pending"/>
    <x v="0"/>
    <x v="38"/>
    <x v="0"/>
    <x v="3"/>
    <x v="0"/>
  </r>
  <r>
    <s v="T001775"/>
    <d v="2027-11-10T00:00:00"/>
    <x v="1"/>
    <x v="1"/>
    <x v="0"/>
    <x v="0"/>
    <s v="India"/>
    <x v="4"/>
    <x v="6"/>
    <s v="C01775"/>
    <n v="46"/>
    <s v="Other"/>
    <x v="2"/>
    <x v="0"/>
    <x v="1"/>
    <s v="Half Board"/>
    <n v="5090.32"/>
    <n v="1680.61"/>
    <x v="3"/>
    <s v="Cancelled"/>
    <x v="2"/>
    <x v="38"/>
    <x v="0"/>
    <x v="4"/>
    <x v="1"/>
  </r>
  <r>
    <s v="T001776"/>
    <d v="2027-11-11T00:00:00"/>
    <x v="0"/>
    <x v="0"/>
    <x v="4"/>
    <x v="1"/>
    <s v="India"/>
    <x v="6"/>
    <x v="10"/>
    <s v="C01776"/>
    <n v="27"/>
    <s v="Male"/>
    <x v="0"/>
    <x v="3"/>
    <x v="1"/>
    <s v="Full Board"/>
    <n v="44259.46"/>
    <n v="1659.96"/>
    <x v="3"/>
    <s v="Cancelled"/>
    <x v="0"/>
    <x v="16"/>
    <x v="4"/>
    <x v="3"/>
    <x v="1"/>
  </r>
  <r>
    <s v="T001777"/>
    <d v="2027-11-12T00:00:00"/>
    <x v="1"/>
    <x v="1"/>
    <x v="3"/>
    <x v="1"/>
    <s v="India"/>
    <x v="5"/>
    <x v="1"/>
    <s v="C01777"/>
    <n v="38"/>
    <s v="Female"/>
    <x v="5"/>
    <x v="0"/>
    <x v="2"/>
    <s v="Full Board"/>
    <n v="24970.5"/>
    <n v="4487.43"/>
    <x v="2"/>
    <s v="Cancelled"/>
    <x v="1"/>
    <x v="23"/>
    <x v="1"/>
    <x v="4"/>
    <x v="0"/>
  </r>
  <r>
    <s v="T001778"/>
    <d v="2027-11-13T00:00:00"/>
    <x v="4"/>
    <x v="3"/>
    <x v="4"/>
    <x v="1"/>
    <s v="India"/>
    <x v="6"/>
    <x v="9"/>
    <s v="C01778"/>
    <n v="33"/>
    <s v="Male"/>
    <x v="2"/>
    <x v="1"/>
    <x v="1"/>
    <s v="Half Board"/>
    <n v="15748.69"/>
    <n v="2264.36"/>
    <x v="2"/>
    <s v="Cancelled"/>
    <x v="2"/>
    <x v="21"/>
    <x v="0"/>
    <x v="3"/>
    <x v="0"/>
  </r>
  <r>
    <s v="T001779"/>
    <d v="2027-11-14T00:00:00"/>
    <x v="4"/>
    <x v="3"/>
    <x v="3"/>
    <x v="1"/>
    <s v="India"/>
    <x v="5"/>
    <x v="11"/>
    <s v="C01779"/>
    <n v="64"/>
    <s v="Male"/>
    <x v="2"/>
    <x v="2"/>
    <x v="2"/>
    <s v="Breakfast Only"/>
    <n v="16825.55"/>
    <n v="2028.77"/>
    <x v="2"/>
    <s v="Pending"/>
    <x v="2"/>
    <x v="34"/>
    <x v="1"/>
    <x v="4"/>
    <x v="0"/>
  </r>
  <r>
    <s v="T001780"/>
    <d v="2027-11-15T00:00:00"/>
    <x v="0"/>
    <x v="0"/>
    <x v="0"/>
    <x v="0"/>
    <s v="India"/>
    <x v="0"/>
    <x v="2"/>
    <s v="C01780"/>
    <n v="36"/>
    <s v="Other"/>
    <x v="2"/>
    <x v="1"/>
    <x v="0"/>
    <s v="Breakfast Only"/>
    <n v="15824.21"/>
    <n v="199.37"/>
    <x v="2"/>
    <s v="Pending"/>
    <x v="1"/>
    <x v="28"/>
    <x v="3"/>
    <x v="3"/>
    <x v="0"/>
  </r>
  <r>
    <s v="T001781"/>
    <d v="2027-11-16T00:00:00"/>
    <x v="0"/>
    <x v="0"/>
    <x v="4"/>
    <x v="1"/>
    <s v="India"/>
    <x v="6"/>
    <x v="2"/>
    <s v="C01781"/>
    <n v="46"/>
    <s v="Other"/>
    <x v="2"/>
    <x v="1"/>
    <x v="3"/>
    <s v="Breakfast Only"/>
    <n v="13755.03"/>
    <n v="1821.62"/>
    <x v="2"/>
    <s v="Confirmed"/>
    <x v="0"/>
    <x v="19"/>
    <x v="3"/>
    <x v="4"/>
    <x v="0"/>
  </r>
  <r>
    <s v="T001782"/>
    <d v="2027-11-17T00:00:00"/>
    <x v="0"/>
    <x v="0"/>
    <x v="0"/>
    <x v="0"/>
    <s v="India"/>
    <x v="4"/>
    <x v="2"/>
    <s v="C01782"/>
    <n v="69"/>
    <s v="Female"/>
    <x v="6"/>
    <x v="0"/>
    <x v="1"/>
    <s v="Breakfast Only"/>
    <n v="42855.18"/>
    <n v="4248.1400000000003"/>
    <x v="2"/>
    <s v="Pending"/>
    <x v="2"/>
    <x v="28"/>
    <x v="3"/>
    <x v="2"/>
    <x v="0"/>
  </r>
  <r>
    <s v="T001783"/>
    <d v="2027-11-18T00:00:00"/>
    <x v="2"/>
    <x v="2"/>
    <x v="3"/>
    <x v="1"/>
    <s v="India"/>
    <x v="5"/>
    <x v="8"/>
    <s v="C01783"/>
    <n v="68"/>
    <s v="Other"/>
    <x v="5"/>
    <x v="3"/>
    <x v="1"/>
    <s v="Full Board"/>
    <n v="12664.92"/>
    <n v="3804.94"/>
    <x v="1"/>
    <s v="Confirmed"/>
    <x v="1"/>
    <x v="19"/>
    <x v="3"/>
    <x v="0"/>
    <x v="0"/>
  </r>
  <r>
    <s v="T001784"/>
    <d v="2027-11-19T00:00:00"/>
    <x v="1"/>
    <x v="1"/>
    <x v="0"/>
    <x v="0"/>
    <s v="India"/>
    <x v="0"/>
    <x v="3"/>
    <s v="C01784"/>
    <n v="35"/>
    <s v="Female"/>
    <x v="6"/>
    <x v="2"/>
    <x v="0"/>
    <s v="Breakfast Only"/>
    <n v="30283.46"/>
    <n v="1104.57"/>
    <x v="3"/>
    <s v="Confirmed"/>
    <x v="1"/>
    <x v="15"/>
    <x v="0"/>
    <x v="0"/>
    <x v="0"/>
  </r>
  <r>
    <s v="T001785"/>
    <d v="2027-11-20T00:00:00"/>
    <x v="0"/>
    <x v="0"/>
    <x v="4"/>
    <x v="1"/>
    <s v="India"/>
    <x v="6"/>
    <x v="4"/>
    <s v="C01785"/>
    <n v="61"/>
    <s v="Female"/>
    <x v="1"/>
    <x v="2"/>
    <x v="0"/>
    <s v="Half Board"/>
    <n v="8479.41"/>
    <n v="2065.2800000000002"/>
    <x v="0"/>
    <s v="Cancelled"/>
    <x v="3"/>
    <x v="1"/>
    <x v="1"/>
    <x v="0"/>
    <x v="0"/>
  </r>
  <r>
    <s v="T001786"/>
    <d v="2027-11-21T00:00:00"/>
    <x v="3"/>
    <x v="1"/>
    <x v="4"/>
    <x v="1"/>
    <s v="India"/>
    <x v="6"/>
    <x v="3"/>
    <s v="C01786"/>
    <n v="33"/>
    <s v="Female"/>
    <x v="5"/>
    <x v="2"/>
    <x v="1"/>
    <s v="Half Board"/>
    <n v="47728.46"/>
    <n v="982.9"/>
    <x v="2"/>
    <s v="Confirmed"/>
    <x v="0"/>
    <x v="39"/>
    <x v="0"/>
    <x v="0"/>
    <x v="0"/>
  </r>
  <r>
    <s v="T001787"/>
    <d v="2027-11-22T00:00:00"/>
    <x v="3"/>
    <x v="1"/>
    <x v="0"/>
    <x v="0"/>
    <s v="India"/>
    <x v="4"/>
    <x v="1"/>
    <s v="C01787"/>
    <n v="18"/>
    <s v="Female"/>
    <x v="6"/>
    <x v="2"/>
    <x v="1"/>
    <s v="Half Board"/>
    <n v="32149.13"/>
    <n v="4771.08"/>
    <x v="1"/>
    <s v="Cancelled"/>
    <x v="0"/>
    <x v="33"/>
    <x v="4"/>
    <x v="2"/>
    <x v="1"/>
  </r>
  <r>
    <s v="T001788"/>
    <d v="2027-11-23T00:00:00"/>
    <x v="4"/>
    <x v="3"/>
    <x v="2"/>
    <x v="0"/>
    <s v="India"/>
    <x v="2"/>
    <x v="3"/>
    <s v="C01788"/>
    <n v="65"/>
    <s v="Other"/>
    <x v="0"/>
    <x v="3"/>
    <x v="2"/>
    <s v="Half Board"/>
    <n v="45641.86"/>
    <n v="2990.59"/>
    <x v="3"/>
    <s v="Confirmed"/>
    <x v="1"/>
    <x v="20"/>
    <x v="0"/>
    <x v="2"/>
    <x v="1"/>
  </r>
  <r>
    <s v="T001789"/>
    <d v="2027-11-24T00:00:00"/>
    <x v="1"/>
    <x v="1"/>
    <x v="3"/>
    <x v="1"/>
    <s v="India"/>
    <x v="5"/>
    <x v="10"/>
    <s v="C01789"/>
    <n v="19"/>
    <s v="Male"/>
    <x v="6"/>
    <x v="2"/>
    <x v="2"/>
    <s v="Breakfast Only"/>
    <n v="22904.5"/>
    <n v="3771.77"/>
    <x v="3"/>
    <s v="Pending"/>
    <x v="2"/>
    <x v="23"/>
    <x v="1"/>
    <x v="4"/>
    <x v="0"/>
  </r>
  <r>
    <s v="T001790"/>
    <d v="2027-11-25T00:00:00"/>
    <x v="0"/>
    <x v="0"/>
    <x v="3"/>
    <x v="1"/>
    <s v="India"/>
    <x v="5"/>
    <x v="0"/>
    <s v="C01790"/>
    <n v="32"/>
    <s v="Male"/>
    <x v="5"/>
    <x v="0"/>
    <x v="1"/>
    <s v="Full Board"/>
    <n v="41480.239999999998"/>
    <n v="3569.04"/>
    <x v="3"/>
    <s v="Cancelled"/>
    <x v="3"/>
    <x v="39"/>
    <x v="0"/>
    <x v="2"/>
    <x v="0"/>
  </r>
  <r>
    <s v="T001791"/>
    <d v="2027-11-26T00:00:00"/>
    <x v="3"/>
    <x v="1"/>
    <x v="0"/>
    <x v="0"/>
    <s v="India"/>
    <x v="0"/>
    <x v="8"/>
    <s v="C01791"/>
    <n v="56"/>
    <s v="Other"/>
    <x v="5"/>
    <x v="0"/>
    <x v="2"/>
    <s v="No Meals"/>
    <n v="43414.45"/>
    <n v="4368.45"/>
    <x v="2"/>
    <s v="Confirmed"/>
    <x v="3"/>
    <x v="39"/>
    <x v="0"/>
    <x v="0"/>
    <x v="0"/>
  </r>
  <r>
    <s v="T001792"/>
    <d v="2027-11-27T00:00:00"/>
    <x v="1"/>
    <x v="1"/>
    <x v="2"/>
    <x v="0"/>
    <s v="India"/>
    <x v="2"/>
    <x v="0"/>
    <s v="C01792"/>
    <n v="45"/>
    <s v="Other"/>
    <x v="0"/>
    <x v="2"/>
    <x v="0"/>
    <s v="Breakfast Only"/>
    <n v="36632.720000000001"/>
    <n v="4746.6400000000003"/>
    <x v="2"/>
    <s v="Pending"/>
    <x v="2"/>
    <x v="18"/>
    <x v="0"/>
    <x v="1"/>
    <x v="0"/>
  </r>
  <r>
    <s v="T001793"/>
    <d v="2027-11-28T00:00:00"/>
    <x v="4"/>
    <x v="3"/>
    <x v="4"/>
    <x v="1"/>
    <s v="India"/>
    <x v="6"/>
    <x v="7"/>
    <s v="C01793"/>
    <n v="18"/>
    <s v="Female"/>
    <x v="4"/>
    <x v="2"/>
    <x v="3"/>
    <s v="No Meals"/>
    <n v="9182.64"/>
    <n v="162.22999999999999"/>
    <x v="0"/>
    <s v="Pending"/>
    <x v="3"/>
    <x v="11"/>
    <x v="0"/>
    <x v="4"/>
    <x v="0"/>
  </r>
  <r>
    <s v="T001794"/>
    <d v="2027-11-29T00:00:00"/>
    <x v="2"/>
    <x v="2"/>
    <x v="1"/>
    <x v="1"/>
    <s v="India"/>
    <x v="1"/>
    <x v="0"/>
    <s v="C01794"/>
    <n v="22"/>
    <s v="Other"/>
    <x v="5"/>
    <x v="3"/>
    <x v="2"/>
    <s v="Full Board"/>
    <n v="5723.6"/>
    <n v="4876.51"/>
    <x v="2"/>
    <s v="Cancelled"/>
    <x v="2"/>
    <x v="22"/>
    <x v="4"/>
    <x v="3"/>
    <x v="1"/>
  </r>
  <r>
    <s v="T001795"/>
    <d v="2027-11-30T00:00:00"/>
    <x v="1"/>
    <x v="1"/>
    <x v="1"/>
    <x v="1"/>
    <s v="India"/>
    <x v="1"/>
    <x v="11"/>
    <s v="C01795"/>
    <n v="59"/>
    <s v="Male"/>
    <x v="6"/>
    <x v="3"/>
    <x v="3"/>
    <s v="Breakfast Only"/>
    <n v="12585.19"/>
    <n v="4352.71"/>
    <x v="3"/>
    <s v="Cancelled"/>
    <x v="3"/>
    <x v="40"/>
    <x v="2"/>
    <x v="0"/>
    <x v="0"/>
  </r>
  <r>
    <s v="T001796"/>
    <d v="2027-12-01T00:00:00"/>
    <x v="1"/>
    <x v="1"/>
    <x v="0"/>
    <x v="0"/>
    <s v="India"/>
    <x v="4"/>
    <x v="6"/>
    <s v="C01796"/>
    <n v="39"/>
    <s v="Other"/>
    <x v="0"/>
    <x v="2"/>
    <x v="2"/>
    <s v="No Meals"/>
    <n v="10314.35"/>
    <n v="1914.74"/>
    <x v="3"/>
    <s v="Cancelled"/>
    <x v="2"/>
    <x v="17"/>
    <x v="1"/>
    <x v="0"/>
    <x v="0"/>
  </r>
  <r>
    <s v="T001797"/>
    <d v="2027-12-02T00:00:00"/>
    <x v="2"/>
    <x v="2"/>
    <x v="2"/>
    <x v="0"/>
    <s v="India"/>
    <x v="3"/>
    <x v="4"/>
    <s v="C01797"/>
    <n v="53"/>
    <s v="Other"/>
    <x v="2"/>
    <x v="3"/>
    <x v="1"/>
    <s v="Full Board"/>
    <n v="37631.19"/>
    <n v="4185.3500000000004"/>
    <x v="1"/>
    <s v="Confirmed"/>
    <x v="1"/>
    <x v="37"/>
    <x v="3"/>
    <x v="0"/>
    <x v="1"/>
  </r>
  <r>
    <s v="T001798"/>
    <d v="2027-12-03T00:00:00"/>
    <x v="1"/>
    <x v="1"/>
    <x v="2"/>
    <x v="0"/>
    <s v="India"/>
    <x v="2"/>
    <x v="1"/>
    <s v="C01798"/>
    <n v="63"/>
    <s v="Female"/>
    <x v="5"/>
    <x v="1"/>
    <x v="2"/>
    <s v="No Meals"/>
    <n v="30065.31"/>
    <n v="3682.79"/>
    <x v="1"/>
    <s v="Cancelled"/>
    <x v="1"/>
    <x v="25"/>
    <x v="3"/>
    <x v="2"/>
    <x v="0"/>
  </r>
  <r>
    <s v="T001799"/>
    <d v="2027-12-04T00:00:00"/>
    <x v="4"/>
    <x v="3"/>
    <x v="3"/>
    <x v="1"/>
    <s v="India"/>
    <x v="5"/>
    <x v="2"/>
    <s v="C01799"/>
    <n v="30"/>
    <s v="Female"/>
    <x v="3"/>
    <x v="2"/>
    <x v="3"/>
    <s v="Half Board"/>
    <n v="28667.79"/>
    <n v="3965.57"/>
    <x v="0"/>
    <s v="Pending"/>
    <x v="3"/>
    <x v="16"/>
    <x v="4"/>
    <x v="3"/>
    <x v="0"/>
  </r>
  <r>
    <s v="T001800"/>
    <d v="2027-12-05T00:00:00"/>
    <x v="4"/>
    <x v="3"/>
    <x v="4"/>
    <x v="1"/>
    <s v="India"/>
    <x v="6"/>
    <x v="4"/>
    <s v="C01800"/>
    <n v="18"/>
    <s v="Female"/>
    <x v="2"/>
    <x v="3"/>
    <x v="3"/>
    <s v="Half Board"/>
    <n v="16379.03"/>
    <n v="1103.46"/>
    <x v="1"/>
    <s v="Pending"/>
    <x v="3"/>
    <x v="30"/>
    <x v="0"/>
    <x v="4"/>
    <x v="1"/>
  </r>
  <r>
    <s v="T001801"/>
    <d v="2027-12-06T00:00:00"/>
    <x v="2"/>
    <x v="2"/>
    <x v="2"/>
    <x v="0"/>
    <s v="India"/>
    <x v="3"/>
    <x v="11"/>
    <s v="C01801"/>
    <n v="33"/>
    <s v="Female"/>
    <x v="1"/>
    <x v="0"/>
    <x v="1"/>
    <s v="Full Board"/>
    <n v="11957.34"/>
    <n v="3242.82"/>
    <x v="0"/>
    <s v="Cancelled"/>
    <x v="1"/>
    <x v="27"/>
    <x v="0"/>
    <x v="0"/>
    <x v="0"/>
  </r>
  <r>
    <s v="T001802"/>
    <d v="2027-12-07T00:00:00"/>
    <x v="0"/>
    <x v="0"/>
    <x v="1"/>
    <x v="1"/>
    <s v="India"/>
    <x v="1"/>
    <x v="4"/>
    <s v="C01802"/>
    <n v="58"/>
    <s v="Male"/>
    <x v="5"/>
    <x v="2"/>
    <x v="3"/>
    <s v="Full Board"/>
    <n v="14294.66"/>
    <n v="129.63"/>
    <x v="1"/>
    <s v="Cancelled"/>
    <x v="0"/>
    <x v="7"/>
    <x v="3"/>
    <x v="3"/>
    <x v="0"/>
  </r>
  <r>
    <s v="T001803"/>
    <d v="2027-12-08T00:00:00"/>
    <x v="3"/>
    <x v="1"/>
    <x v="4"/>
    <x v="1"/>
    <s v="India"/>
    <x v="6"/>
    <x v="0"/>
    <s v="C01803"/>
    <n v="39"/>
    <s v="Other"/>
    <x v="0"/>
    <x v="2"/>
    <x v="1"/>
    <s v="No Meals"/>
    <n v="23012.47"/>
    <n v="4241.1499999999996"/>
    <x v="3"/>
    <s v="Pending"/>
    <x v="2"/>
    <x v="6"/>
    <x v="3"/>
    <x v="1"/>
    <x v="1"/>
  </r>
  <r>
    <s v="T001804"/>
    <d v="2027-12-09T00:00:00"/>
    <x v="0"/>
    <x v="0"/>
    <x v="4"/>
    <x v="1"/>
    <s v="India"/>
    <x v="6"/>
    <x v="9"/>
    <s v="C01804"/>
    <n v="49"/>
    <s v="Other"/>
    <x v="2"/>
    <x v="0"/>
    <x v="1"/>
    <s v="Full Board"/>
    <n v="38306.44"/>
    <n v="4755.21"/>
    <x v="2"/>
    <s v="Confirmed"/>
    <x v="0"/>
    <x v="21"/>
    <x v="0"/>
    <x v="2"/>
    <x v="0"/>
  </r>
  <r>
    <s v="T001805"/>
    <d v="2027-12-10T00:00:00"/>
    <x v="1"/>
    <x v="1"/>
    <x v="0"/>
    <x v="0"/>
    <s v="India"/>
    <x v="0"/>
    <x v="4"/>
    <s v="C01805"/>
    <n v="33"/>
    <s v="Female"/>
    <x v="6"/>
    <x v="0"/>
    <x v="3"/>
    <s v="Half Board"/>
    <n v="16453.25"/>
    <n v="3310.62"/>
    <x v="2"/>
    <s v="Pending"/>
    <x v="3"/>
    <x v="34"/>
    <x v="1"/>
    <x v="0"/>
    <x v="1"/>
  </r>
  <r>
    <s v="T001806"/>
    <d v="2027-12-11T00:00:00"/>
    <x v="3"/>
    <x v="1"/>
    <x v="2"/>
    <x v="0"/>
    <s v="India"/>
    <x v="2"/>
    <x v="7"/>
    <s v="C01806"/>
    <n v="68"/>
    <s v="Male"/>
    <x v="6"/>
    <x v="3"/>
    <x v="0"/>
    <s v="Half Board"/>
    <n v="36437.589999999997"/>
    <n v="2563.35"/>
    <x v="0"/>
    <s v="Pending"/>
    <x v="1"/>
    <x v="28"/>
    <x v="3"/>
    <x v="3"/>
    <x v="0"/>
  </r>
  <r>
    <s v="T001807"/>
    <d v="2027-12-12T00:00:00"/>
    <x v="2"/>
    <x v="2"/>
    <x v="0"/>
    <x v="0"/>
    <s v="India"/>
    <x v="0"/>
    <x v="8"/>
    <s v="C01807"/>
    <n v="32"/>
    <s v="Male"/>
    <x v="5"/>
    <x v="0"/>
    <x v="3"/>
    <s v="Breakfast Only"/>
    <n v="27118.03"/>
    <n v="3628.66"/>
    <x v="2"/>
    <s v="Pending"/>
    <x v="3"/>
    <x v="23"/>
    <x v="1"/>
    <x v="3"/>
    <x v="1"/>
  </r>
  <r>
    <s v="T001808"/>
    <d v="2027-12-13T00:00:00"/>
    <x v="2"/>
    <x v="2"/>
    <x v="2"/>
    <x v="0"/>
    <s v="India"/>
    <x v="3"/>
    <x v="8"/>
    <s v="C01808"/>
    <n v="63"/>
    <s v="Other"/>
    <x v="4"/>
    <x v="1"/>
    <x v="3"/>
    <s v="No Meals"/>
    <n v="44844.84"/>
    <n v="1631.81"/>
    <x v="2"/>
    <s v="Cancelled"/>
    <x v="0"/>
    <x v="5"/>
    <x v="1"/>
    <x v="0"/>
    <x v="1"/>
  </r>
  <r>
    <s v="T001809"/>
    <d v="2027-12-14T00:00:00"/>
    <x v="3"/>
    <x v="1"/>
    <x v="3"/>
    <x v="1"/>
    <s v="India"/>
    <x v="5"/>
    <x v="3"/>
    <s v="C01809"/>
    <n v="69"/>
    <s v="Female"/>
    <x v="3"/>
    <x v="2"/>
    <x v="2"/>
    <s v="Full Board"/>
    <n v="15481.16"/>
    <n v="3131.94"/>
    <x v="1"/>
    <s v="Confirmed"/>
    <x v="1"/>
    <x v="27"/>
    <x v="0"/>
    <x v="3"/>
    <x v="0"/>
  </r>
  <r>
    <s v="T001810"/>
    <d v="2027-12-15T00:00:00"/>
    <x v="4"/>
    <x v="3"/>
    <x v="0"/>
    <x v="0"/>
    <s v="India"/>
    <x v="4"/>
    <x v="5"/>
    <s v="C01810"/>
    <n v="59"/>
    <s v="Other"/>
    <x v="5"/>
    <x v="1"/>
    <x v="3"/>
    <s v="Full Board"/>
    <n v="25288.55"/>
    <n v="3594.86"/>
    <x v="3"/>
    <s v="Confirmed"/>
    <x v="1"/>
    <x v="39"/>
    <x v="0"/>
    <x v="3"/>
    <x v="1"/>
  </r>
  <r>
    <s v="T001811"/>
    <d v="2027-12-16T00:00:00"/>
    <x v="3"/>
    <x v="1"/>
    <x v="0"/>
    <x v="0"/>
    <s v="India"/>
    <x v="4"/>
    <x v="0"/>
    <s v="C01811"/>
    <n v="29"/>
    <s v="Other"/>
    <x v="0"/>
    <x v="3"/>
    <x v="2"/>
    <s v="Full Board"/>
    <n v="9349.91"/>
    <n v="713.4"/>
    <x v="2"/>
    <s v="Cancelled"/>
    <x v="1"/>
    <x v="4"/>
    <x v="0"/>
    <x v="4"/>
    <x v="1"/>
  </r>
  <r>
    <s v="T001812"/>
    <d v="2027-12-17T00:00:00"/>
    <x v="1"/>
    <x v="1"/>
    <x v="1"/>
    <x v="1"/>
    <s v="India"/>
    <x v="1"/>
    <x v="10"/>
    <s v="C01812"/>
    <n v="18"/>
    <s v="Male"/>
    <x v="2"/>
    <x v="0"/>
    <x v="2"/>
    <s v="No Meals"/>
    <n v="20081.89"/>
    <n v="700.34"/>
    <x v="3"/>
    <s v="Pending"/>
    <x v="2"/>
    <x v="13"/>
    <x v="0"/>
    <x v="2"/>
    <x v="0"/>
  </r>
  <r>
    <s v="T001813"/>
    <d v="2027-12-18T00:00:00"/>
    <x v="4"/>
    <x v="3"/>
    <x v="0"/>
    <x v="0"/>
    <s v="India"/>
    <x v="4"/>
    <x v="11"/>
    <s v="C01813"/>
    <n v="34"/>
    <s v="Male"/>
    <x v="3"/>
    <x v="2"/>
    <x v="3"/>
    <s v="Half Board"/>
    <n v="27809.62"/>
    <n v="3580.69"/>
    <x v="1"/>
    <s v="Cancelled"/>
    <x v="3"/>
    <x v="17"/>
    <x v="1"/>
    <x v="4"/>
    <x v="1"/>
  </r>
  <r>
    <s v="T001814"/>
    <d v="2027-12-19T00:00:00"/>
    <x v="2"/>
    <x v="2"/>
    <x v="2"/>
    <x v="0"/>
    <s v="India"/>
    <x v="2"/>
    <x v="1"/>
    <s v="C01814"/>
    <n v="58"/>
    <s v="Other"/>
    <x v="4"/>
    <x v="0"/>
    <x v="1"/>
    <s v="Full Board"/>
    <n v="37973.31"/>
    <n v="2158.91"/>
    <x v="1"/>
    <s v="Cancelled"/>
    <x v="0"/>
    <x v="14"/>
    <x v="1"/>
    <x v="2"/>
    <x v="1"/>
  </r>
  <r>
    <s v="T001815"/>
    <d v="2027-12-20T00:00:00"/>
    <x v="3"/>
    <x v="1"/>
    <x v="1"/>
    <x v="1"/>
    <s v="India"/>
    <x v="1"/>
    <x v="6"/>
    <s v="C01815"/>
    <n v="68"/>
    <s v="Female"/>
    <x v="5"/>
    <x v="0"/>
    <x v="0"/>
    <s v="Full Board"/>
    <n v="13913.47"/>
    <n v="4446.01"/>
    <x v="2"/>
    <s v="Confirmed"/>
    <x v="2"/>
    <x v="34"/>
    <x v="1"/>
    <x v="2"/>
    <x v="0"/>
  </r>
  <r>
    <s v="T001816"/>
    <d v="2027-12-21T00:00:00"/>
    <x v="0"/>
    <x v="0"/>
    <x v="0"/>
    <x v="0"/>
    <s v="India"/>
    <x v="0"/>
    <x v="0"/>
    <s v="C01816"/>
    <n v="67"/>
    <s v="Female"/>
    <x v="1"/>
    <x v="3"/>
    <x v="3"/>
    <s v="Half Board"/>
    <n v="14814.15"/>
    <n v="1559.69"/>
    <x v="2"/>
    <s v="Confirmed"/>
    <x v="0"/>
    <x v="30"/>
    <x v="0"/>
    <x v="4"/>
    <x v="1"/>
  </r>
  <r>
    <s v="T001817"/>
    <d v="2027-12-22T00:00:00"/>
    <x v="0"/>
    <x v="0"/>
    <x v="0"/>
    <x v="0"/>
    <s v="India"/>
    <x v="4"/>
    <x v="2"/>
    <s v="C01817"/>
    <n v="45"/>
    <s v="Other"/>
    <x v="3"/>
    <x v="3"/>
    <x v="3"/>
    <s v="Full Board"/>
    <n v="33421"/>
    <n v="212.15"/>
    <x v="1"/>
    <s v="Cancelled"/>
    <x v="2"/>
    <x v="1"/>
    <x v="1"/>
    <x v="0"/>
    <x v="0"/>
  </r>
  <r>
    <s v="T001818"/>
    <d v="2027-12-23T00:00:00"/>
    <x v="1"/>
    <x v="1"/>
    <x v="3"/>
    <x v="1"/>
    <s v="India"/>
    <x v="5"/>
    <x v="8"/>
    <s v="C01818"/>
    <n v="24"/>
    <s v="Other"/>
    <x v="4"/>
    <x v="3"/>
    <x v="1"/>
    <s v="Breakfast Only"/>
    <n v="22210.6"/>
    <n v="3249.38"/>
    <x v="1"/>
    <s v="Cancelled"/>
    <x v="1"/>
    <x v="20"/>
    <x v="0"/>
    <x v="3"/>
    <x v="1"/>
  </r>
  <r>
    <s v="T001819"/>
    <d v="2027-12-24T00:00:00"/>
    <x v="0"/>
    <x v="0"/>
    <x v="0"/>
    <x v="0"/>
    <s v="India"/>
    <x v="4"/>
    <x v="3"/>
    <s v="C01819"/>
    <n v="26"/>
    <s v="Female"/>
    <x v="5"/>
    <x v="3"/>
    <x v="2"/>
    <s v="Half Board"/>
    <n v="26694.27"/>
    <n v="3421.2"/>
    <x v="0"/>
    <s v="Confirmed"/>
    <x v="2"/>
    <x v="18"/>
    <x v="0"/>
    <x v="1"/>
    <x v="1"/>
  </r>
  <r>
    <s v="T001820"/>
    <d v="2027-12-25T00:00:00"/>
    <x v="3"/>
    <x v="1"/>
    <x v="4"/>
    <x v="1"/>
    <s v="India"/>
    <x v="6"/>
    <x v="6"/>
    <s v="C01820"/>
    <n v="39"/>
    <s v="Female"/>
    <x v="5"/>
    <x v="2"/>
    <x v="1"/>
    <s v="Half Board"/>
    <n v="42626.07"/>
    <n v="2767.96"/>
    <x v="0"/>
    <s v="Confirmed"/>
    <x v="3"/>
    <x v="29"/>
    <x v="1"/>
    <x v="4"/>
    <x v="1"/>
  </r>
  <r>
    <s v="T001821"/>
    <d v="2027-12-26T00:00:00"/>
    <x v="3"/>
    <x v="1"/>
    <x v="1"/>
    <x v="1"/>
    <s v="India"/>
    <x v="1"/>
    <x v="2"/>
    <s v="C01821"/>
    <n v="43"/>
    <s v="Female"/>
    <x v="0"/>
    <x v="1"/>
    <x v="1"/>
    <s v="Half Board"/>
    <n v="27458.75"/>
    <n v="3416.66"/>
    <x v="3"/>
    <s v="Pending"/>
    <x v="3"/>
    <x v="0"/>
    <x v="0"/>
    <x v="4"/>
    <x v="1"/>
  </r>
  <r>
    <s v="T001822"/>
    <d v="2027-12-27T00:00:00"/>
    <x v="0"/>
    <x v="0"/>
    <x v="4"/>
    <x v="1"/>
    <s v="India"/>
    <x v="6"/>
    <x v="6"/>
    <s v="C01822"/>
    <n v="29"/>
    <s v="Other"/>
    <x v="5"/>
    <x v="1"/>
    <x v="2"/>
    <s v="Breakfast Only"/>
    <n v="34362.47"/>
    <n v="2618.77"/>
    <x v="1"/>
    <s v="Cancelled"/>
    <x v="0"/>
    <x v="25"/>
    <x v="3"/>
    <x v="0"/>
    <x v="0"/>
  </r>
  <r>
    <s v="T001823"/>
    <d v="2027-12-28T00:00:00"/>
    <x v="3"/>
    <x v="1"/>
    <x v="1"/>
    <x v="1"/>
    <s v="India"/>
    <x v="1"/>
    <x v="4"/>
    <s v="C01823"/>
    <n v="24"/>
    <s v="Male"/>
    <x v="1"/>
    <x v="2"/>
    <x v="3"/>
    <s v="Half Board"/>
    <n v="34554.879999999997"/>
    <n v="3463.16"/>
    <x v="3"/>
    <s v="Pending"/>
    <x v="1"/>
    <x v="11"/>
    <x v="0"/>
    <x v="3"/>
    <x v="1"/>
  </r>
  <r>
    <s v="T001824"/>
    <d v="2027-12-29T00:00:00"/>
    <x v="1"/>
    <x v="1"/>
    <x v="3"/>
    <x v="1"/>
    <s v="India"/>
    <x v="5"/>
    <x v="10"/>
    <s v="C01824"/>
    <n v="63"/>
    <s v="Female"/>
    <x v="5"/>
    <x v="0"/>
    <x v="1"/>
    <s v="No Meals"/>
    <n v="41162.54"/>
    <n v="219.69"/>
    <x v="1"/>
    <s v="Pending"/>
    <x v="1"/>
    <x v="7"/>
    <x v="2"/>
    <x v="4"/>
    <x v="0"/>
  </r>
  <r>
    <s v="T001825"/>
    <d v="2027-12-30T00:00:00"/>
    <x v="4"/>
    <x v="3"/>
    <x v="0"/>
    <x v="0"/>
    <s v="India"/>
    <x v="4"/>
    <x v="10"/>
    <s v="C01825"/>
    <n v="64"/>
    <s v="Female"/>
    <x v="6"/>
    <x v="2"/>
    <x v="1"/>
    <s v="No Meals"/>
    <n v="33716.28"/>
    <n v="1841.99"/>
    <x v="3"/>
    <s v="Pending"/>
    <x v="0"/>
    <x v="21"/>
    <x v="0"/>
    <x v="1"/>
    <x v="0"/>
  </r>
  <r>
    <s v="T001826"/>
    <d v="2027-12-31T00:00:00"/>
    <x v="1"/>
    <x v="1"/>
    <x v="0"/>
    <x v="0"/>
    <s v="India"/>
    <x v="4"/>
    <x v="5"/>
    <s v="C01826"/>
    <n v="32"/>
    <s v="Female"/>
    <x v="4"/>
    <x v="1"/>
    <x v="3"/>
    <s v="No Meals"/>
    <n v="7916.44"/>
    <n v="1054.08"/>
    <x v="0"/>
    <s v="Confirmed"/>
    <x v="3"/>
    <x v="16"/>
    <x v="4"/>
    <x v="3"/>
    <x v="1"/>
  </r>
  <r>
    <s v="T001827"/>
    <d v="2028-01-01T00:00:00"/>
    <x v="1"/>
    <x v="1"/>
    <x v="0"/>
    <x v="0"/>
    <s v="India"/>
    <x v="0"/>
    <x v="9"/>
    <s v="C01827"/>
    <n v="55"/>
    <s v="Other"/>
    <x v="6"/>
    <x v="1"/>
    <x v="3"/>
    <s v="Half Board"/>
    <n v="20397.78"/>
    <n v="496.63"/>
    <x v="1"/>
    <s v="Pending"/>
    <x v="3"/>
    <x v="0"/>
    <x v="0"/>
    <x v="4"/>
    <x v="0"/>
  </r>
  <r>
    <s v="T001828"/>
    <d v="2028-01-02T00:00:00"/>
    <x v="3"/>
    <x v="1"/>
    <x v="1"/>
    <x v="1"/>
    <s v="India"/>
    <x v="1"/>
    <x v="6"/>
    <s v="C01828"/>
    <n v="38"/>
    <s v="Male"/>
    <x v="5"/>
    <x v="2"/>
    <x v="0"/>
    <s v="Half Board"/>
    <n v="49519.23"/>
    <n v="1170.46"/>
    <x v="1"/>
    <s v="Confirmed"/>
    <x v="0"/>
    <x v="3"/>
    <x v="3"/>
    <x v="4"/>
    <x v="1"/>
  </r>
  <r>
    <s v="T001829"/>
    <d v="2028-01-03T00:00:00"/>
    <x v="4"/>
    <x v="3"/>
    <x v="0"/>
    <x v="0"/>
    <s v="India"/>
    <x v="4"/>
    <x v="5"/>
    <s v="C01829"/>
    <n v="31"/>
    <s v="Male"/>
    <x v="1"/>
    <x v="3"/>
    <x v="1"/>
    <s v="Half Board"/>
    <n v="13842.96"/>
    <n v="956.55"/>
    <x v="3"/>
    <s v="Confirmed"/>
    <x v="1"/>
    <x v="26"/>
    <x v="0"/>
    <x v="2"/>
    <x v="0"/>
  </r>
  <r>
    <s v="T001830"/>
    <d v="2028-01-04T00:00:00"/>
    <x v="3"/>
    <x v="1"/>
    <x v="4"/>
    <x v="1"/>
    <s v="India"/>
    <x v="6"/>
    <x v="4"/>
    <s v="C01830"/>
    <n v="19"/>
    <s v="Female"/>
    <x v="4"/>
    <x v="0"/>
    <x v="0"/>
    <s v="Breakfast Only"/>
    <n v="31402.81"/>
    <n v="4865.66"/>
    <x v="3"/>
    <s v="Confirmed"/>
    <x v="0"/>
    <x v="9"/>
    <x v="4"/>
    <x v="2"/>
    <x v="1"/>
  </r>
  <r>
    <s v="T001831"/>
    <d v="2028-01-05T00:00:00"/>
    <x v="2"/>
    <x v="2"/>
    <x v="0"/>
    <x v="0"/>
    <s v="India"/>
    <x v="4"/>
    <x v="6"/>
    <s v="C01831"/>
    <n v="25"/>
    <s v="Other"/>
    <x v="4"/>
    <x v="2"/>
    <x v="2"/>
    <s v="No Meals"/>
    <n v="42932.33"/>
    <n v="1432.73"/>
    <x v="2"/>
    <s v="Cancelled"/>
    <x v="0"/>
    <x v="30"/>
    <x v="0"/>
    <x v="4"/>
    <x v="0"/>
  </r>
  <r>
    <s v="T001832"/>
    <d v="2028-01-06T00:00:00"/>
    <x v="3"/>
    <x v="1"/>
    <x v="3"/>
    <x v="1"/>
    <s v="India"/>
    <x v="5"/>
    <x v="0"/>
    <s v="C01832"/>
    <n v="62"/>
    <s v="Male"/>
    <x v="5"/>
    <x v="1"/>
    <x v="3"/>
    <s v="Full Board"/>
    <n v="31395.14"/>
    <n v="1154.79"/>
    <x v="2"/>
    <s v="Pending"/>
    <x v="2"/>
    <x v="7"/>
    <x v="3"/>
    <x v="0"/>
    <x v="0"/>
  </r>
  <r>
    <s v="T001833"/>
    <d v="2028-01-07T00:00:00"/>
    <x v="3"/>
    <x v="1"/>
    <x v="4"/>
    <x v="1"/>
    <s v="India"/>
    <x v="6"/>
    <x v="7"/>
    <s v="C01833"/>
    <n v="23"/>
    <s v="Other"/>
    <x v="1"/>
    <x v="3"/>
    <x v="3"/>
    <s v="Full Board"/>
    <n v="21752.16"/>
    <n v="4174.37"/>
    <x v="0"/>
    <s v="Confirmed"/>
    <x v="0"/>
    <x v="8"/>
    <x v="0"/>
    <x v="2"/>
    <x v="1"/>
  </r>
  <r>
    <s v="T001834"/>
    <d v="2028-01-08T00:00:00"/>
    <x v="3"/>
    <x v="1"/>
    <x v="0"/>
    <x v="0"/>
    <s v="India"/>
    <x v="0"/>
    <x v="11"/>
    <s v="C01834"/>
    <n v="54"/>
    <s v="Male"/>
    <x v="0"/>
    <x v="0"/>
    <x v="0"/>
    <s v="Half Board"/>
    <n v="8610.2900000000009"/>
    <n v="2095.58"/>
    <x v="1"/>
    <s v="Cancelled"/>
    <x v="3"/>
    <x v="35"/>
    <x v="2"/>
    <x v="4"/>
    <x v="1"/>
  </r>
  <r>
    <s v="T001835"/>
    <d v="2028-01-09T00:00:00"/>
    <x v="4"/>
    <x v="3"/>
    <x v="0"/>
    <x v="0"/>
    <s v="India"/>
    <x v="4"/>
    <x v="10"/>
    <s v="C01835"/>
    <n v="54"/>
    <s v="Female"/>
    <x v="4"/>
    <x v="1"/>
    <x v="1"/>
    <s v="Breakfast Only"/>
    <n v="21274.92"/>
    <n v="2107.33"/>
    <x v="1"/>
    <s v="Cancelled"/>
    <x v="0"/>
    <x v="32"/>
    <x v="4"/>
    <x v="3"/>
    <x v="0"/>
  </r>
  <r>
    <s v="T001836"/>
    <d v="2028-01-10T00:00:00"/>
    <x v="3"/>
    <x v="1"/>
    <x v="2"/>
    <x v="0"/>
    <s v="India"/>
    <x v="3"/>
    <x v="1"/>
    <s v="C01836"/>
    <n v="50"/>
    <s v="Other"/>
    <x v="1"/>
    <x v="0"/>
    <x v="2"/>
    <s v="Half Board"/>
    <n v="13193.04"/>
    <n v="2217.9499999999998"/>
    <x v="3"/>
    <s v="Cancelled"/>
    <x v="1"/>
    <x v="22"/>
    <x v="4"/>
    <x v="1"/>
    <x v="0"/>
  </r>
  <r>
    <s v="T001837"/>
    <d v="2028-01-11T00:00:00"/>
    <x v="4"/>
    <x v="3"/>
    <x v="1"/>
    <x v="1"/>
    <s v="India"/>
    <x v="1"/>
    <x v="0"/>
    <s v="C01837"/>
    <n v="58"/>
    <s v="Female"/>
    <x v="3"/>
    <x v="3"/>
    <x v="1"/>
    <s v="Full Board"/>
    <n v="48238.83"/>
    <n v="2082.67"/>
    <x v="0"/>
    <s v="Confirmed"/>
    <x v="1"/>
    <x v="37"/>
    <x v="3"/>
    <x v="2"/>
    <x v="0"/>
  </r>
  <r>
    <s v="T001838"/>
    <d v="2028-01-12T00:00:00"/>
    <x v="0"/>
    <x v="0"/>
    <x v="4"/>
    <x v="1"/>
    <s v="India"/>
    <x v="6"/>
    <x v="1"/>
    <s v="C01838"/>
    <n v="23"/>
    <s v="Male"/>
    <x v="6"/>
    <x v="1"/>
    <x v="1"/>
    <s v="No Meals"/>
    <n v="37176.43"/>
    <n v="1632.83"/>
    <x v="1"/>
    <s v="Confirmed"/>
    <x v="3"/>
    <x v="27"/>
    <x v="0"/>
    <x v="4"/>
    <x v="0"/>
  </r>
  <r>
    <s v="T001839"/>
    <d v="2028-01-13T00:00:00"/>
    <x v="2"/>
    <x v="2"/>
    <x v="2"/>
    <x v="0"/>
    <s v="India"/>
    <x v="2"/>
    <x v="3"/>
    <s v="C01839"/>
    <n v="69"/>
    <s v="Male"/>
    <x v="4"/>
    <x v="3"/>
    <x v="0"/>
    <s v="Full Board"/>
    <n v="38722.239999999998"/>
    <n v="1431.7"/>
    <x v="0"/>
    <s v="Confirmed"/>
    <x v="1"/>
    <x v="20"/>
    <x v="0"/>
    <x v="2"/>
    <x v="0"/>
  </r>
  <r>
    <s v="T001840"/>
    <d v="2028-01-14T00:00:00"/>
    <x v="4"/>
    <x v="3"/>
    <x v="3"/>
    <x v="1"/>
    <s v="India"/>
    <x v="5"/>
    <x v="1"/>
    <s v="C01840"/>
    <n v="43"/>
    <s v="Female"/>
    <x v="3"/>
    <x v="2"/>
    <x v="1"/>
    <s v="No Meals"/>
    <n v="24618.62"/>
    <n v="4409.8"/>
    <x v="2"/>
    <s v="Cancelled"/>
    <x v="0"/>
    <x v="20"/>
    <x v="0"/>
    <x v="3"/>
    <x v="0"/>
  </r>
  <r>
    <s v="T001841"/>
    <d v="2028-01-15T00:00:00"/>
    <x v="0"/>
    <x v="0"/>
    <x v="1"/>
    <x v="1"/>
    <s v="India"/>
    <x v="1"/>
    <x v="10"/>
    <s v="C01841"/>
    <n v="56"/>
    <s v="Male"/>
    <x v="4"/>
    <x v="2"/>
    <x v="0"/>
    <s v="No Meals"/>
    <n v="9948.42"/>
    <n v="808.54"/>
    <x v="3"/>
    <s v="Confirmed"/>
    <x v="3"/>
    <x v="5"/>
    <x v="1"/>
    <x v="0"/>
    <x v="1"/>
  </r>
  <r>
    <s v="T001842"/>
    <d v="2028-01-16T00:00:00"/>
    <x v="4"/>
    <x v="3"/>
    <x v="4"/>
    <x v="1"/>
    <s v="India"/>
    <x v="6"/>
    <x v="2"/>
    <s v="C01842"/>
    <n v="58"/>
    <s v="Female"/>
    <x v="0"/>
    <x v="0"/>
    <x v="3"/>
    <s v="Breakfast Only"/>
    <n v="17002.240000000002"/>
    <n v="905.31"/>
    <x v="1"/>
    <s v="Pending"/>
    <x v="1"/>
    <x v="12"/>
    <x v="1"/>
    <x v="4"/>
    <x v="1"/>
  </r>
  <r>
    <s v="T001843"/>
    <d v="2028-01-17T00:00:00"/>
    <x v="4"/>
    <x v="3"/>
    <x v="0"/>
    <x v="0"/>
    <s v="India"/>
    <x v="4"/>
    <x v="10"/>
    <s v="C01843"/>
    <n v="54"/>
    <s v="Female"/>
    <x v="5"/>
    <x v="3"/>
    <x v="3"/>
    <s v="Full Board"/>
    <n v="16687"/>
    <n v="2858.6"/>
    <x v="3"/>
    <s v="Confirmed"/>
    <x v="0"/>
    <x v="8"/>
    <x v="2"/>
    <x v="3"/>
    <x v="1"/>
  </r>
  <r>
    <s v="T001844"/>
    <d v="2028-01-18T00:00:00"/>
    <x v="2"/>
    <x v="2"/>
    <x v="4"/>
    <x v="1"/>
    <s v="India"/>
    <x v="6"/>
    <x v="10"/>
    <s v="C01844"/>
    <n v="31"/>
    <s v="Female"/>
    <x v="1"/>
    <x v="3"/>
    <x v="3"/>
    <s v="Half Board"/>
    <n v="26905.07"/>
    <n v="1718.29"/>
    <x v="2"/>
    <s v="Confirmed"/>
    <x v="1"/>
    <x v="19"/>
    <x v="3"/>
    <x v="1"/>
    <x v="0"/>
  </r>
  <r>
    <s v="T001845"/>
    <d v="2028-01-19T00:00:00"/>
    <x v="1"/>
    <x v="1"/>
    <x v="0"/>
    <x v="0"/>
    <s v="India"/>
    <x v="0"/>
    <x v="0"/>
    <s v="C01845"/>
    <n v="54"/>
    <s v="Male"/>
    <x v="4"/>
    <x v="0"/>
    <x v="2"/>
    <s v="Breakfast Only"/>
    <n v="25744.09"/>
    <n v="2107.65"/>
    <x v="0"/>
    <s v="Pending"/>
    <x v="2"/>
    <x v="17"/>
    <x v="1"/>
    <x v="4"/>
    <x v="0"/>
  </r>
  <r>
    <s v="T001846"/>
    <d v="2028-01-20T00:00:00"/>
    <x v="1"/>
    <x v="1"/>
    <x v="1"/>
    <x v="1"/>
    <s v="India"/>
    <x v="1"/>
    <x v="2"/>
    <s v="C01846"/>
    <n v="25"/>
    <s v="Other"/>
    <x v="1"/>
    <x v="0"/>
    <x v="2"/>
    <s v="No Meals"/>
    <n v="24503.37"/>
    <n v="4032.73"/>
    <x v="0"/>
    <s v="Confirmed"/>
    <x v="1"/>
    <x v="8"/>
    <x v="2"/>
    <x v="1"/>
    <x v="1"/>
  </r>
  <r>
    <s v="T001847"/>
    <d v="2028-01-21T00:00:00"/>
    <x v="4"/>
    <x v="3"/>
    <x v="0"/>
    <x v="0"/>
    <s v="India"/>
    <x v="4"/>
    <x v="2"/>
    <s v="C01847"/>
    <n v="56"/>
    <s v="Female"/>
    <x v="2"/>
    <x v="0"/>
    <x v="1"/>
    <s v="Full Board"/>
    <n v="27318.99"/>
    <n v="4518.16"/>
    <x v="2"/>
    <s v="Confirmed"/>
    <x v="3"/>
    <x v="39"/>
    <x v="0"/>
    <x v="0"/>
    <x v="1"/>
  </r>
  <r>
    <s v="T001848"/>
    <d v="2028-01-22T00:00:00"/>
    <x v="3"/>
    <x v="1"/>
    <x v="3"/>
    <x v="1"/>
    <s v="India"/>
    <x v="5"/>
    <x v="0"/>
    <s v="C01848"/>
    <n v="30"/>
    <s v="Other"/>
    <x v="4"/>
    <x v="2"/>
    <x v="0"/>
    <s v="Half Board"/>
    <n v="49416.04"/>
    <n v="3952.77"/>
    <x v="2"/>
    <s v="Confirmed"/>
    <x v="0"/>
    <x v="16"/>
    <x v="4"/>
    <x v="4"/>
    <x v="1"/>
  </r>
  <r>
    <s v="T001849"/>
    <d v="2028-01-23T00:00:00"/>
    <x v="0"/>
    <x v="0"/>
    <x v="0"/>
    <x v="0"/>
    <s v="India"/>
    <x v="4"/>
    <x v="2"/>
    <s v="C01849"/>
    <n v="30"/>
    <s v="Male"/>
    <x v="0"/>
    <x v="0"/>
    <x v="1"/>
    <s v="Breakfast Only"/>
    <n v="18425.91"/>
    <n v="1174.6400000000001"/>
    <x v="1"/>
    <s v="Confirmed"/>
    <x v="0"/>
    <x v="14"/>
    <x v="1"/>
    <x v="4"/>
    <x v="1"/>
  </r>
  <r>
    <s v="T001850"/>
    <d v="2028-01-24T00:00:00"/>
    <x v="3"/>
    <x v="1"/>
    <x v="3"/>
    <x v="1"/>
    <s v="India"/>
    <x v="5"/>
    <x v="11"/>
    <s v="C01850"/>
    <n v="57"/>
    <s v="Male"/>
    <x v="0"/>
    <x v="2"/>
    <x v="3"/>
    <s v="Half Board"/>
    <n v="32687.11"/>
    <n v="4899.8599999999997"/>
    <x v="1"/>
    <s v="Cancelled"/>
    <x v="3"/>
    <x v="8"/>
    <x v="2"/>
    <x v="3"/>
    <x v="1"/>
  </r>
  <r>
    <s v="T001851"/>
    <d v="2028-01-25T00:00:00"/>
    <x v="3"/>
    <x v="1"/>
    <x v="1"/>
    <x v="1"/>
    <s v="India"/>
    <x v="1"/>
    <x v="8"/>
    <s v="C01851"/>
    <n v="60"/>
    <s v="Other"/>
    <x v="5"/>
    <x v="0"/>
    <x v="1"/>
    <s v="Full Board"/>
    <n v="15777.85"/>
    <n v="1815.88"/>
    <x v="1"/>
    <s v="Confirmed"/>
    <x v="2"/>
    <x v="36"/>
    <x v="4"/>
    <x v="2"/>
    <x v="1"/>
  </r>
  <r>
    <s v="T001852"/>
    <d v="2028-01-26T00:00:00"/>
    <x v="4"/>
    <x v="3"/>
    <x v="1"/>
    <x v="1"/>
    <s v="India"/>
    <x v="1"/>
    <x v="9"/>
    <s v="C01852"/>
    <n v="45"/>
    <s v="Female"/>
    <x v="5"/>
    <x v="3"/>
    <x v="1"/>
    <s v="Half Board"/>
    <n v="25997.279999999999"/>
    <n v="845.34"/>
    <x v="1"/>
    <s v="Pending"/>
    <x v="0"/>
    <x v="13"/>
    <x v="0"/>
    <x v="4"/>
    <x v="1"/>
  </r>
  <r>
    <s v="T001853"/>
    <d v="2028-01-27T00:00:00"/>
    <x v="4"/>
    <x v="3"/>
    <x v="4"/>
    <x v="1"/>
    <s v="India"/>
    <x v="6"/>
    <x v="4"/>
    <s v="C01853"/>
    <n v="35"/>
    <s v="Male"/>
    <x v="3"/>
    <x v="3"/>
    <x v="1"/>
    <s v="Breakfast Only"/>
    <n v="14002.22"/>
    <n v="2497.48"/>
    <x v="1"/>
    <s v="Pending"/>
    <x v="3"/>
    <x v="40"/>
    <x v="3"/>
    <x v="0"/>
    <x v="1"/>
  </r>
  <r>
    <s v="T001854"/>
    <d v="2028-01-28T00:00:00"/>
    <x v="4"/>
    <x v="3"/>
    <x v="3"/>
    <x v="1"/>
    <s v="India"/>
    <x v="5"/>
    <x v="4"/>
    <s v="C01854"/>
    <n v="36"/>
    <s v="Female"/>
    <x v="0"/>
    <x v="0"/>
    <x v="3"/>
    <s v="Half Board"/>
    <n v="30118.65"/>
    <n v="3626.43"/>
    <x v="0"/>
    <s v="Cancelled"/>
    <x v="1"/>
    <x v="32"/>
    <x v="4"/>
    <x v="4"/>
    <x v="0"/>
  </r>
  <r>
    <s v="T001855"/>
    <d v="2028-01-29T00:00:00"/>
    <x v="4"/>
    <x v="3"/>
    <x v="3"/>
    <x v="1"/>
    <s v="India"/>
    <x v="5"/>
    <x v="3"/>
    <s v="C01855"/>
    <n v="55"/>
    <s v="Female"/>
    <x v="1"/>
    <x v="0"/>
    <x v="0"/>
    <s v="Full Board"/>
    <n v="16925.53"/>
    <n v="416.35"/>
    <x v="1"/>
    <s v="Confirmed"/>
    <x v="2"/>
    <x v="10"/>
    <x v="1"/>
    <x v="4"/>
    <x v="1"/>
  </r>
  <r>
    <s v="T001856"/>
    <d v="2028-01-30T00:00:00"/>
    <x v="1"/>
    <x v="1"/>
    <x v="2"/>
    <x v="0"/>
    <s v="India"/>
    <x v="3"/>
    <x v="5"/>
    <s v="C01856"/>
    <n v="49"/>
    <s v="Other"/>
    <x v="2"/>
    <x v="2"/>
    <x v="1"/>
    <s v="Breakfast Only"/>
    <n v="6655.5"/>
    <n v="3171.43"/>
    <x v="2"/>
    <s v="Pending"/>
    <x v="3"/>
    <x v="22"/>
    <x v="4"/>
    <x v="4"/>
    <x v="1"/>
  </r>
  <r>
    <s v="T001857"/>
    <d v="2028-01-31T00:00:00"/>
    <x v="4"/>
    <x v="3"/>
    <x v="2"/>
    <x v="0"/>
    <s v="India"/>
    <x v="2"/>
    <x v="11"/>
    <s v="C01857"/>
    <n v="39"/>
    <s v="Male"/>
    <x v="0"/>
    <x v="1"/>
    <x v="3"/>
    <s v="No Meals"/>
    <n v="41687.199999999997"/>
    <n v="4290.3900000000003"/>
    <x v="2"/>
    <s v="Cancelled"/>
    <x v="1"/>
    <x v="19"/>
    <x v="3"/>
    <x v="4"/>
    <x v="1"/>
  </r>
  <r>
    <s v="T001858"/>
    <d v="2028-02-01T00:00:00"/>
    <x v="1"/>
    <x v="1"/>
    <x v="2"/>
    <x v="0"/>
    <s v="India"/>
    <x v="2"/>
    <x v="8"/>
    <s v="C01858"/>
    <n v="19"/>
    <s v="Other"/>
    <x v="4"/>
    <x v="2"/>
    <x v="2"/>
    <s v="Breakfast Only"/>
    <n v="10771.48"/>
    <n v="1308.9100000000001"/>
    <x v="1"/>
    <s v="Confirmed"/>
    <x v="0"/>
    <x v="14"/>
    <x v="1"/>
    <x v="0"/>
    <x v="0"/>
  </r>
  <r>
    <s v="T001859"/>
    <d v="2028-02-02T00:00:00"/>
    <x v="1"/>
    <x v="1"/>
    <x v="0"/>
    <x v="0"/>
    <s v="India"/>
    <x v="4"/>
    <x v="7"/>
    <s v="C01859"/>
    <n v="30"/>
    <s v="Male"/>
    <x v="0"/>
    <x v="3"/>
    <x v="0"/>
    <s v="Full Board"/>
    <n v="21561.75"/>
    <n v="3465.62"/>
    <x v="2"/>
    <s v="Cancelled"/>
    <x v="0"/>
    <x v="20"/>
    <x v="0"/>
    <x v="3"/>
    <x v="1"/>
  </r>
  <r>
    <s v="T001860"/>
    <d v="2028-02-03T00:00:00"/>
    <x v="4"/>
    <x v="3"/>
    <x v="2"/>
    <x v="0"/>
    <s v="India"/>
    <x v="2"/>
    <x v="3"/>
    <s v="C01860"/>
    <n v="40"/>
    <s v="Other"/>
    <x v="2"/>
    <x v="0"/>
    <x v="3"/>
    <s v="Half Board"/>
    <n v="26472.99"/>
    <n v="1999.54"/>
    <x v="3"/>
    <s v="Confirmed"/>
    <x v="2"/>
    <x v="3"/>
    <x v="2"/>
    <x v="2"/>
    <x v="0"/>
  </r>
  <r>
    <s v="T001861"/>
    <d v="2028-02-04T00:00:00"/>
    <x v="2"/>
    <x v="2"/>
    <x v="3"/>
    <x v="1"/>
    <s v="India"/>
    <x v="5"/>
    <x v="6"/>
    <s v="C01861"/>
    <n v="42"/>
    <s v="Male"/>
    <x v="1"/>
    <x v="3"/>
    <x v="1"/>
    <s v="No Meals"/>
    <n v="24461.599999999999"/>
    <n v="2070.6799999999998"/>
    <x v="0"/>
    <s v="Cancelled"/>
    <x v="1"/>
    <x v="32"/>
    <x v="4"/>
    <x v="0"/>
    <x v="0"/>
  </r>
  <r>
    <s v="T001862"/>
    <d v="2028-02-05T00:00:00"/>
    <x v="0"/>
    <x v="0"/>
    <x v="0"/>
    <x v="0"/>
    <s v="India"/>
    <x v="0"/>
    <x v="0"/>
    <s v="C01862"/>
    <n v="45"/>
    <s v="Male"/>
    <x v="4"/>
    <x v="1"/>
    <x v="3"/>
    <s v="No Meals"/>
    <n v="37654.959999999999"/>
    <n v="1404.07"/>
    <x v="0"/>
    <s v="Cancelled"/>
    <x v="3"/>
    <x v="1"/>
    <x v="1"/>
    <x v="0"/>
    <x v="0"/>
  </r>
  <r>
    <s v="T001863"/>
    <d v="2028-02-06T00:00:00"/>
    <x v="3"/>
    <x v="1"/>
    <x v="1"/>
    <x v="1"/>
    <s v="India"/>
    <x v="1"/>
    <x v="6"/>
    <s v="C01863"/>
    <n v="28"/>
    <s v="Male"/>
    <x v="3"/>
    <x v="2"/>
    <x v="0"/>
    <s v="Half Board"/>
    <n v="31854.95"/>
    <n v="3121.97"/>
    <x v="1"/>
    <s v="Pending"/>
    <x v="0"/>
    <x v="37"/>
    <x v="3"/>
    <x v="1"/>
    <x v="0"/>
  </r>
  <r>
    <s v="T001864"/>
    <d v="2028-02-07T00:00:00"/>
    <x v="1"/>
    <x v="1"/>
    <x v="4"/>
    <x v="1"/>
    <s v="India"/>
    <x v="6"/>
    <x v="8"/>
    <s v="C01864"/>
    <n v="50"/>
    <s v="Female"/>
    <x v="3"/>
    <x v="3"/>
    <x v="1"/>
    <s v="Full Board"/>
    <n v="18291.7"/>
    <n v="1805"/>
    <x v="3"/>
    <s v="Pending"/>
    <x v="3"/>
    <x v="24"/>
    <x v="0"/>
    <x v="2"/>
    <x v="0"/>
  </r>
  <r>
    <s v="T001865"/>
    <d v="2028-02-08T00:00:00"/>
    <x v="0"/>
    <x v="0"/>
    <x v="2"/>
    <x v="0"/>
    <s v="India"/>
    <x v="2"/>
    <x v="2"/>
    <s v="C01865"/>
    <n v="41"/>
    <s v="Female"/>
    <x v="3"/>
    <x v="2"/>
    <x v="2"/>
    <s v="Breakfast Only"/>
    <n v="7326.63"/>
    <n v="4154.5200000000004"/>
    <x v="1"/>
    <s v="Cancelled"/>
    <x v="3"/>
    <x v="19"/>
    <x v="2"/>
    <x v="3"/>
    <x v="1"/>
  </r>
  <r>
    <s v="T001866"/>
    <d v="2028-02-09T00:00:00"/>
    <x v="2"/>
    <x v="2"/>
    <x v="1"/>
    <x v="1"/>
    <s v="India"/>
    <x v="1"/>
    <x v="6"/>
    <s v="C01866"/>
    <n v="19"/>
    <s v="Other"/>
    <x v="5"/>
    <x v="0"/>
    <x v="2"/>
    <s v="Full Board"/>
    <n v="39541.78"/>
    <n v="4814.53"/>
    <x v="1"/>
    <s v="Confirmed"/>
    <x v="3"/>
    <x v="2"/>
    <x v="3"/>
    <x v="3"/>
    <x v="1"/>
  </r>
  <r>
    <s v="T001867"/>
    <d v="2028-02-10T00:00:00"/>
    <x v="3"/>
    <x v="1"/>
    <x v="3"/>
    <x v="1"/>
    <s v="India"/>
    <x v="5"/>
    <x v="10"/>
    <s v="C01867"/>
    <n v="47"/>
    <s v="Other"/>
    <x v="4"/>
    <x v="3"/>
    <x v="2"/>
    <s v="No Meals"/>
    <n v="20863.72"/>
    <n v="4675.4399999999996"/>
    <x v="2"/>
    <s v="Confirmed"/>
    <x v="2"/>
    <x v="21"/>
    <x v="0"/>
    <x v="1"/>
    <x v="0"/>
  </r>
  <r>
    <s v="T001868"/>
    <d v="2028-02-11T00:00:00"/>
    <x v="3"/>
    <x v="1"/>
    <x v="4"/>
    <x v="1"/>
    <s v="India"/>
    <x v="6"/>
    <x v="0"/>
    <s v="C01868"/>
    <n v="34"/>
    <s v="Male"/>
    <x v="3"/>
    <x v="1"/>
    <x v="3"/>
    <s v="Breakfast Only"/>
    <n v="45037.61"/>
    <n v="815.64"/>
    <x v="0"/>
    <s v="Confirmed"/>
    <x v="3"/>
    <x v="28"/>
    <x v="3"/>
    <x v="1"/>
    <x v="0"/>
  </r>
  <r>
    <s v="T001869"/>
    <d v="2028-02-12T00:00:00"/>
    <x v="1"/>
    <x v="1"/>
    <x v="1"/>
    <x v="1"/>
    <s v="India"/>
    <x v="1"/>
    <x v="6"/>
    <s v="C01869"/>
    <n v="57"/>
    <s v="Male"/>
    <x v="5"/>
    <x v="2"/>
    <x v="0"/>
    <s v="Breakfast Only"/>
    <n v="22777.55"/>
    <n v="70.95"/>
    <x v="3"/>
    <s v="Confirmed"/>
    <x v="2"/>
    <x v="32"/>
    <x v="4"/>
    <x v="0"/>
    <x v="0"/>
  </r>
  <r>
    <s v="T001870"/>
    <d v="2028-02-13T00:00:00"/>
    <x v="4"/>
    <x v="3"/>
    <x v="4"/>
    <x v="1"/>
    <s v="India"/>
    <x v="6"/>
    <x v="6"/>
    <s v="C01870"/>
    <n v="51"/>
    <s v="Female"/>
    <x v="0"/>
    <x v="2"/>
    <x v="2"/>
    <s v="Half Board"/>
    <n v="37294.639999999999"/>
    <n v="2192.34"/>
    <x v="2"/>
    <s v="Confirmed"/>
    <x v="2"/>
    <x v="39"/>
    <x v="0"/>
    <x v="3"/>
    <x v="0"/>
  </r>
  <r>
    <s v="T001871"/>
    <d v="2028-02-14T00:00:00"/>
    <x v="2"/>
    <x v="2"/>
    <x v="2"/>
    <x v="0"/>
    <s v="India"/>
    <x v="2"/>
    <x v="5"/>
    <s v="C01871"/>
    <n v="55"/>
    <s v="Female"/>
    <x v="4"/>
    <x v="1"/>
    <x v="1"/>
    <s v="Full Board"/>
    <n v="47280.41"/>
    <n v="3644.42"/>
    <x v="0"/>
    <s v="Pending"/>
    <x v="1"/>
    <x v="6"/>
    <x v="2"/>
    <x v="3"/>
    <x v="0"/>
  </r>
  <r>
    <s v="T001872"/>
    <d v="2028-02-15T00:00:00"/>
    <x v="1"/>
    <x v="1"/>
    <x v="3"/>
    <x v="1"/>
    <s v="India"/>
    <x v="5"/>
    <x v="5"/>
    <s v="C01872"/>
    <n v="39"/>
    <s v="Female"/>
    <x v="4"/>
    <x v="3"/>
    <x v="1"/>
    <s v="Breakfast Only"/>
    <n v="34301.86"/>
    <n v="4887.28"/>
    <x v="0"/>
    <s v="Cancelled"/>
    <x v="0"/>
    <x v="14"/>
    <x v="1"/>
    <x v="3"/>
    <x v="1"/>
  </r>
  <r>
    <s v="T001873"/>
    <d v="2028-02-16T00:00:00"/>
    <x v="2"/>
    <x v="2"/>
    <x v="4"/>
    <x v="1"/>
    <s v="India"/>
    <x v="6"/>
    <x v="4"/>
    <s v="C01873"/>
    <n v="22"/>
    <s v="Other"/>
    <x v="4"/>
    <x v="3"/>
    <x v="1"/>
    <s v="Half Board"/>
    <n v="23607"/>
    <n v="3917.11"/>
    <x v="1"/>
    <s v="Pending"/>
    <x v="3"/>
    <x v="35"/>
    <x v="3"/>
    <x v="0"/>
    <x v="0"/>
  </r>
  <r>
    <s v="T001874"/>
    <d v="2028-02-17T00:00:00"/>
    <x v="4"/>
    <x v="3"/>
    <x v="1"/>
    <x v="1"/>
    <s v="India"/>
    <x v="1"/>
    <x v="9"/>
    <s v="C01874"/>
    <n v="65"/>
    <s v="Female"/>
    <x v="6"/>
    <x v="2"/>
    <x v="3"/>
    <s v="Full Board"/>
    <n v="30532.97"/>
    <n v="2902.75"/>
    <x v="3"/>
    <s v="Confirmed"/>
    <x v="1"/>
    <x v="40"/>
    <x v="3"/>
    <x v="3"/>
    <x v="0"/>
  </r>
  <r>
    <s v="T001875"/>
    <d v="2028-02-18T00:00:00"/>
    <x v="4"/>
    <x v="3"/>
    <x v="2"/>
    <x v="0"/>
    <s v="India"/>
    <x v="3"/>
    <x v="9"/>
    <s v="C01875"/>
    <n v="57"/>
    <s v="Other"/>
    <x v="5"/>
    <x v="1"/>
    <x v="0"/>
    <s v="No Meals"/>
    <n v="29455.03"/>
    <n v="131.76"/>
    <x v="1"/>
    <s v="Cancelled"/>
    <x v="1"/>
    <x v="4"/>
    <x v="0"/>
    <x v="4"/>
    <x v="0"/>
  </r>
  <r>
    <s v="T001876"/>
    <d v="2028-02-19T00:00:00"/>
    <x v="1"/>
    <x v="1"/>
    <x v="2"/>
    <x v="0"/>
    <s v="India"/>
    <x v="2"/>
    <x v="7"/>
    <s v="C01876"/>
    <n v="68"/>
    <s v="Female"/>
    <x v="1"/>
    <x v="2"/>
    <x v="0"/>
    <s v="No Meals"/>
    <n v="31316.9"/>
    <n v="4127.7"/>
    <x v="2"/>
    <s v="Confirmed"/>
    <x v="1"/>
    <x v="19"/>
    <x v="3"/>
    <x v="1"/>
    <x v="1"/>
  </r>
  <r>
    <s v="T001877"/>
    <d v="2028-02-20T00:00:00"/>
    <x v="4"/>
    <x v="3"/>
    <x v="1"/>
    <x v="1"/>
    <s v="India"/>
    <x v="1"/>
    <x v="0"/>
    <s v="C01877"/>
    <n v="33"/>
    <s v="Female"/>
    <x v="6"/>
    <x v="2"/>
    <x v="2"/>
    <s v="Full Board"/>
    <n v="11606.9"/>
    <n v="885.73"/>
    <x v="1"/>
    <s v="Confirmed"/>
    <x v="1"/>
    <x v="11"/>
    <x v="2"/>
    <x v="1"/>
    <x v="1"/>
  </r>
  <r>
    <s v="T001878"/>
    <d v="2028-02-21T00:00:00"/>
    <x v="0"/>
    <x v="0"/>
    <x v="1"/>
    <x v="1"/>
    <s v="India"/>
    <x v="1"/>
    <x v="0"/>
    <s v="C01878"/>
    <n v="30"/>
    <s v="Male"/>
    <x v="6"/>
    <x v="0"/>
    <x v="0"/>
    <s v="Breakfast Only"/>
    <n v="36432.94"/>
    <n v="278.02999999999997"/>
    <x v="1"/>
    <s v="Cancelled"/>
    <x v="1"/>
    <x v="9"/>
    <x v="4"/>
    <x v="1"/>
    <x v="1"/>
  </r>
  <r>
    <s v="T001879"/>
    <d v="2028-02-22T00:00:00"/>
    <x v="3"/>
    <x v="1"/>
    <x v="4"/>
    <x v="1"/>
    <s v="India"/>
    <x v="6"/>
    <x v="5"/>
    <s v="C01879"/>
    <n v="43"/>
    <s v="Other"/>
    <x v="6"/>
    <x v="3"/>
    <x v="1"/>
    <s v="Breakfast Only"/>
    <n v="11526.95"/>
    <n v="4251.79"/>
    <x v="0"/>
    <s v="Confirmed"/>
    <x v="3"/>
    <x v="5"/>
    <x v="1"/>
    <x v="1"/>
    <x v="0"/>
  </r>
  <r>
    <s v="T001880"/>
    <d v="2028-02-23T00:00:00"/>
    <x v="1"/>
    <x v="1"/>
    <x v="0"/>
    <x v="0"/>
    <s v="India"/>
    <x v="0"/>
    <x v="10"/>
    <s v="C01880"/>
    <n v="48"/>
    <s v="Female"/>
    <x v="1"/>
    <x v="3"/>
    <x v="1"/>
    <s v="No Meals"/>
    <n v="5657.76"/>
    <n v="2831.25"/>
    <x v="0"/>
    <s v="Pending"/>
    <x v="1"/>
    <x v="34"/>
    <x v="1"/>
    <x v="4"/>
    <x v="0"/>
  </r>
  <r>
    <s v="T001881"/>
    <d v="2028-02-24T00:00:00"/>
    <x v="2"/>
    <x v="2"/>
    <x v="2"/>
    <x v="0"/>
    <s v="India"/>
    <x v="2"/>
    <x v="10"/>
    <s v="C01881"/>
    <n v="69"/>
    <s v="Male"/>
    <x v="6"/>
    <x v="0"/>
    <x v="3"/>
    <s v="No Meals"/>
    <n v="33115.1"/>
    <n v="642.76"/>
    <x v="2"/>
    <s v="Pending"/>
    <x v="0"/>
    <x v="7"/>
    <x v="3"/>
    <x v="2"/>
    <x v="1"/>
  </r>
  <r>
    <s v="T001882"/>
    <d v="2028-02-25T00:00:00"/>
    <x v="0"/>
    <x v="0"/>
    <x v="4"/>
    <x v="1"/>
    <s v="India"/>
    <x v="6"/>
    <x v="1"/>
    <s v="C01882"/>
    <n v="56"/>
    <s v="Other"/>
    <x v="3"/>
    <x v="3"/>
    <x v="1"/>
    <s v="Breakfast Only"/>
    <n v="10261.11"/>
    <n v="1932.71"/>
    <x v="0"/>
    <s v="Pending"/>
    <x v="2"/>
    <x v="7"/>
    <x v="3"/>
    <x v="3"/>
    <x v="1"/>
  </r>
  <r>
    <s v="T001883"/>
    <d v="2028-02-26T00:00:00"/>
    <x v="1"/>
    <x v="1"/>
    <x v="1"/>
    <x v="1"/>
    <s v="India"/>
    <x v="1"/>
    <x v="10"/>
    <s v="C01883"/>
    <n v="65"/>
    <s v="Other"/>
    <x v="4"/>
    <x v="3"/>
    <x v="0"/>
    <s v="Full Board"/>
    <n v="39668.519999999997"/>
    <n v="427.71"/>
    <x v="0"/>
    <s v="Confirmed"/>
    <x v="2"/>
    <x v="18"/>
    <x v="0"/>
    <x v="1"/>
    <x v="1"/>
  </r>
  <r>
    <s v="T001884"/>
    <d v="2028-02-27T00:00:00"/>
    <x v="4"/>
    <x v="3"/>
    <x v="4"/>
    <x v="1"/>
    <s v="India"/>
    <x v="6"/>
    <x v="2"/>
    <s v="C01884"/>
    <n v="40"/>
    <s v="Female"/>
    <x v="4"/>
    <x v="3"/>
    <x v="1"/>
    <s v="No Meals"/>
    <n v="43968.47"/>
    <n v="3190.05"/>
    <x v="0"/>
    <s v="Pending"/>
    <x v="0"/>
    <x v="36"/>
    <x v="4"/>
    <x v="3"/>
    <x v="0"/>
  </r>
  <r>
    <s v="T001885"/>
    <d v="2028-02-28T00:00:00"/>
    <x v="4"/>
    <x v="3"/>
    <x v="1"/>
    <x v="1"/>
    <s v="India"/>
    <x v="1"/>
    <x v="8"/>
    <s v="C01885"/>
    <n v="65"/>
    <s v="Other"/>
    <x v="5"/>
    <x v="1"/>
    <x v="2"/>
    <s v="Breakfast Only"/>
    <n v="47513.16"/>
    <n v="1412.14"/>
    <x v="1"/>
    <s v="Confirmed"/>
    <x v="3"/>
    <x v="2"/>
    <x v="3"/>
    <x v="3"/>
    <x v="0"/>
  </r>
  <r>
    <s v="T001886"/>
    <d v="2028-02-29T00:00:00"/>
    <x v="4"/>
    <x v="3"/>
    <x v="3"/>
    <x v="1"/>
    <s v="India"/>
    <x v="5"/>
    <x v="9"/>
    <s v="C01886"/>
    <n v="29"/>
    <s v="Male"/>
    <x v="0"/>
    <x v="0"/>
    <x v="3"/>
    <s v="Full Board"/>
    <n v="34901.46"/>
    <n v="4330.47"/>
    <x v="3"/>
    <s v="Confirmed"/>
    <x v="2"/>
    <x v="36"/>
    <x v="4"/>
    <x v="4"/>
    <x v="1"/>
  </r>
  <r>
    <s v="T001887"/>
    <d v="2028-03-01T00:00:00"/>
    <x v="4"/>
    <x v="3"/>
    <x v="1"/>
    <x v="1"/>
    <s v="India"/>
    <x v="1"/>
    <x v="10"/>
    <s v="C01887"/>
    <n v="31"/>
    <s v="Male"/>
    <x v="2"/>
    <x v="2"/>
    <x v="3"/>
    <s v="Half Board"/>
    <n v="26690.67"/>
    <n v="1788.98"/>
    <x v="2"/>
    <s v="Pending"/>
    <x v="0"/>
    <x v="21"/>
    <x v="0"/>
    <x v="3"/>
    <x v="1"/>
  </r>
  <r>
    <s v="T001888"/>
    <d v="2028-03-02T00:00:00"/>
    <x v="2"/>
    <x v="2"/>
    <x v="1"/>
    <x v="1"/>
    <s v="India"/>
    <x v="1"/>
    <x v="11"/>
    <s v="C01888"/>
    <n v="35"/>
    <s v="Other"/>
    <x v="3"/>
    <x v="1"/>
    <x v="0"/>
    <s v="Full Board"/>
    <n v="20852.650000000001"/>
    <n v="2473.17"/>
    <x v="1"/>
    <s v="Pending"/>
    <x v="0"/>
    <x v="1"/>
    <x v="1"/>
    <x v="1"/>
    <x v="0"/>
  </r>
  <r>
    <s v="T001889"/>
    <d v="2028-03-03T00:00:00"/>
    <x v="0"/>
    <x v="0"/>
    <x v="1"/>
    <x v="1"/>
    <s v="India"/>
    <x v="1"/>
    <x v="0"/>
    <s v="C01889"/>
    <n v="44"/>
    <s v="Male"/>
    <x v="1"/>
    <x v="2"/>
    <x v="1"/>
    <s v="Breakfast Only"/>
    <n v="27091.63"/>
    <n v="317.62"/>
    <x v="2"/>
    <s v="Confirmed"/>
    <x v="1"/>
    <x v="4"/>
    <x v="0"/>
    <x v="3"/>
    <x v="1"/>
  </r>
  <r>
    <s v="T001890"/>
    <d v="2028-03-04T00:00:00"/>
    <x v="3"/>
    <x v="1"/>
    <x v="0"/>
    <x v="0"/>
    <s v="India"/>
    <x v="0"/>
    <x v="10"/>
    <s v="C01890"/>
    <n v="45"/>
    <s v="Other"/>
    <x v="2"/>
    <x v="0"/>
    <x v="1"/>
    <s v="Full Board"/>
    <n v="13565.85"/>
    <n v="1377.96"/>
    <x v="1"/>
    <s v="Confirmed"/>
    <x v="2"/>
    <x v="36"/>
    <x v="4"/>
    <x v="4"/>
    <x v="0"/>
  </r>
  <r>
    <s v="T001891"/>
    <d v="2028-03-05T00:00:00"/>
    <x v="2"/>
    <x v="2"/>
    <x v="1"/>
    <x v="1"/>
    <s v="India"/>
    <x v="1"/>
    <x v="1"/>
    <s v="C01891"/>
    <n v="35"/>
    <s v="Male"/>
    <x v="4"/>
    <x v="0"/>
    <x v="0"/>
    <s v="Breakfast Only"/>
    <n v="20679.02"/>
    <n v="3383.84"/>
    <x v="2"/>
    <s v="Confirmed"/>
    <x v="1"/>
    <x v="39"/>
    <x v="0"/>
    <x v="1"/>
    <x v="1"/>
  </r>
  <r>
    <s v="T001892"/>
    <d v="2028-03-06T00:00:00"/>
    <x v="2"/>
    <x v="2"/>
    <x v="2"/>
    <x v="0"/>
    <s v="India"/>
    <x v="2"/>
    <x v="7"/>
    <s v="C01892"/>
    <n v="33"/>
    <s v="Other"/>
    <x v="6"/>
    <x v="0"/>
    <x v="0"/>
    <s v="No Meals"/>
    <n v="37306.870000000003"/>
    <n v="3681.31"/>
    <x v="0"/>
    <s v="Confirmed"/>
    <x v="3"/>
    <x v="33"/>
    <x v="4"/>
    <x v="4"/>
    <x v="0"/>
  </r>
  <r>
    <s v="T001893"/>
    <d v="2028-03-07T00:00:00"/>
    <x v="3"/>
    <x v="1"/>
    <x v="2"/>
    <x v="0"/>
    <s v="India"/>
    <x v="2"/>
    <x v="7"/>
    <s v="C01893"/>
    <n v="69"/>
    <s v="Other"/>
    <x v="5"/>
    <x v="3"/>
    <x v="2"/>
    <s v="Half Board"/>
    <n v="14784.03"/>
    <n v="1214.1099999999999"/>
    <x v="2"/>
    <s v="Pending"/>
    <x v="2"/>
    <x v="19"/>
    <x v="3"/>
    <x v="0"/>
    <x v="0"/>
  </r>
  <r>
    <s v="T001894"/>
    <d v="2028-03-08T00:00:00"/>
    <x v="3"/>
    <x v="1"/>
    <x v="4"/>
    <x v="1"/>
    <s v="India"/>
    <x v="6"/>
    <x v="5"/>
    <s v="C01894"/>
    <n v="33"/>
    <s v="Other"/>
    <x v="5"/>
    <x v="1"/>
    <x v="0"/>
    <s v="No Meals"/>
    <n v="16883.02"/>
    <n v="2519.1"/>
    <x v="3"/>
    <s v="Confirmed"/>
    <x v="2"/>
    <x v="4"/>
    <x v="0"/>
    <x v="2"/>
    <x v="1"/>
  </r>
  <r>
    <s v="T001895"/>
    <d v="2028-03-09T00:00:00"/>
    <x v="4"/>
    <x v="3"/>
    <x v="0"/>
    <x v="0"/>
    <s v="India"/>
    <x v="4"/>
    <x v="10"/>
    <s v="C01895"/>
    <n v="30"/>
    <s v="Male"/>
    <x v="0"/>
    <x v="0"/>
    <x v="1"/>
    <s v="No Meals"/>
    <n v="38719.769999999997"/>
    <n v="4087.66"/>
    <x v="2"/>
    <s v="Confirmed"/>
    <x v="0"/>
    <x v="11"/>
    <x v="0"/>
    <x v="3"/>
    <x v="0"/>
  </r>
  <r>
    <s v="T001896"/>
    <d v="2028-03-10T00:00:00"/>
    <x v="2"/>
    <x v="2"/>
    <x v="4"/>
    <x v="1"/>
    <s v="India"/>
    <x v="6"/>
    <x v="6"/>
    <s v="C01896"/>
    <n v="46"/>
    <s v="Other"/>
    <x v="0"/>
    <x v="2"/>
    <x v="2"/>
    <s v="Breakfast Only"/>
    <n v="13002.62"/>
    <n v="1899.55"/>
    <x v="3"/>
    <s v="Confirmed"/>
    <x v="2"/>
    <x v="15"/>
    <x v="0"/>
    <x v="3"/>
    <x v="0"/>
  </r>
  <r>
    <s v="T001897"/>
    <d v="2028-03-11T00:00:00"/>
    <x v="1"/>
    <x v="1"/>
    <x v="2"/>
    <x v="0"/>
    <s v="India"/>
    <x v="2"/>
    <x v="0"/>
    <s v="C01897"/>
    <n v="26"/>
    <s v="Other"/>
    <x v="4"/>
    <x v="3"/>
    <x v="3"/>
    <s v="Breakfast Only"/>
    <n v="16064.94"/>
    <n v="668.86"/>
    <x v="2"/>
    <s v="Confirmed"/>
    <x v="3"/>
    <x v="2"/>
    <x v="3"/>
    <x v="3"/>
    <x v="1"/>
  </r>
  <r>
    <s v="T001898"/>
    <d v="2028-03-12T00:00:00"/>
    <x v="3"/>
    <x v="1"/>
    <x v="2"/>
    <x v="0"/>
    <s v="India"/>
    <x v="2"/>
    <x v="0"/>
    <s v="C01898"/>
    <n v="43"/>
    <s v="Female"/>
    <x v="3"/>
    <x v="3"/>
    <x v="1"/>
    <s v="Breakfast Only"/>
    <n v="5789.64"/>
    <n v="2159.35"/>
    <x v="0"/>
    <s v="Confirmed"/>
    <x v="3"/>
    <x v="23"/>
    <x v="1"/>
    <x v="0"/>
    <x v="0"/>
  </r>
  <r>
    <s v="T001899"/>
    <d v="2028-03-13T00:00:00"/>
    <x v="3"/>
    <x v="1"/>
    <x v="3"/>
    <x v="1"/>
    <s v="India"/>
    <x v="5"/>
    <x v="9"/>
    <s v="C01899"/>
    <n v="45"/>
    <s v="Female"/>
    <x v="5"/>
    <x v="1"/>
    <x v="3"/>
    <s v="Breakfast Only"/>
    <n v="37402.32"/>
    <n v="3003.14"/>
    <x v="2"/>
    <s v="Cancelled"/>
    <x v="2"/>
    <x v="9"/>
    <x v="4"/>
    <x v="2"/>
    <x v="1"/>
  </r>
  <r>
    <s v="T001900"/>
    <d v="2028-03-14T00:00:00"/>
    <x v="0"/>
    <x v="0"/>
    <x v="1"/>
    <x v="1"/>
    <s v="India"/>
    <x v="1"/>
    <x v="7"/>
    <s v="C01900"/>
    <n v="58"/>
    <s v="Other"/>
    <x v="2"/>
    <x v="1"/>
    <x v="3"/>
    <s v="No Meals"/>
    <n v="32805.660000000003"/>
    <n v="36.99"/>
    <x v="1"/>
    <s v="Cancelled"/>
    <x v="0"/>
    <x v="15"/>
    <x v="2"/>
    <x v="4"/>
    <x v="0"/>
  </r>
  <r>
    <s v="T001901"/>
    <d v="2028-03-15T00:00:00"/>
    <x v="1"/>
    <x v="1"/>
    <x v="2"/>
    <x v="0"/>
    <s v="India"/>
    <x v="3"/>
    <x v="5"/>
    <s v="C01901"/>
    <n v="30"/>
    <s v="Female"/>
    <x v="0"/>
    <x v="1"/>
    <x v="3"/>
    <s v="Breakfast Only"/>
    <n v="36247.35"/>
    <n v="1742.84"/>
    <x v="0"/>
    <s v="Cancelled"/>
    <x v="3"/>
    <x v="9"/>
    <x v="4"/>
    <x v="0"/>
    <x v="1"/>
  </r>
  <r>
    <s v="T001902"/>
    <d v="2028-03-16T00:00:00"/>
    <x v="1"/>
    <x v="1"/>
    <x v="4"/>
    <x v="1"/>
    <s v="India"/>
    <x v="6"/>
    <x v="10"/>
    <s v="C01902"/>
    <n v="53"/>
    <s v="Other"/>
    <x v="4"/>
    <x v="3"/>
    <x v="1"/>
    <s v="Breakfast Only"/>
    <n v="14644.75"/>
    <n v="3037.18"/>
    <x v="0"/>
    <s v="Pending"/>
    <x v="1"/>
    <x v="3"/>
    <x v="2"/>
    <x v="0"/>
    <x v="0"/>
  </r>
  <r>
    <s v="T001903"/>
    <d v="2028-03-17T00:00:00"/>
    <x v="3"/>
    <x v="1"/>
    <x v="4"/>
    <x v="1"/>
    <s v="India"/>
    <x v="6"/>
    <x v="7"/>
    <s v="C01903"/>
    <n v="26"/>
    <s v="Female"/>
    <x v="3"/>
    <x v="0"/>
    <x v="3"/>
    <s v="No Meals"/>
    <n v="35931.94"/>
    <n v="4759.5600000000004"/>
    <x v="1"/>
    <s v="Confirmed"/>
    <x v="3"/>
    <x v="30"/>
    <x v="0"/>
    <x v="1"/>
    <x v="0"/>
  </r>
  <r>
    <s v="T001904"/>
    <d v="2028-03-18T00:00:00"/>
    <x v="4"/>
    <x v="3"/>
    <x v="1"/>
    <x v="1"/>
    <s v="India"/>
    <x v="1"/>
    <x v="7"/>
    <s v="C01904"/>
    <n v="64"/>
    <s v="Male"/>
    <x v="4"/>
    <x v="2"/>
    <x v="1"/>
    <s v="Half Board"/>
    <n v="31836.95"/>
    <n v="2042.74"/>
    <x v="0"/>
    <s v="Pending"/>
    <x v="2"/>
    <x v="8"/>
    <x v="0"/>
    <x v="0"/>
    <x v="1"/>
  </r>
  <r>
    <s v="T001905"/>
    <d v="2028-03-19T00:00:00"/>
    <x v="0"/>
    <x v="0"/>
    <x v="1"/>
    <x v="1"/>
    <s v="India"/>
    <x v="1"/>
    <x v="0"/>
    <s v="C01905"/>
    <n v="31"/>
    <s v="Male"/>
    <x v="4"/>
    <x v="0"/>
    <x v="3"/>
    <s v="Half Board"/>
    <n v="21475.53"/>
    <n v="814.86"/>
    <x v="0"/>
    <s v="Confirmed"/>
    <x v="1"/>
    <x v="25"/>
    <x v="3"/>
    <x v="0"/>
    <x v="1"/>
  </r>
  <r>
    <s v="T001906"/>
    <d v="2028-03-20T00:00:00"/>
    <x v="1"/>
    <x v="1"/>
    <x v="3"/>
    <x v="1"/>
    <s v="India"/>
    <x v="5"/>
    <x v="10"/>
    <s v="C01906"/>
    <n v="68"/>
    <s v="Other"/>
    <x v="3"/>
    <x v="2"/>
    <x v="0"/>
    <s v="Full Board"/>
    <n v="24702.16"/>
    <n v="2671.1"/>
    <x v="1"/>
    <s v="Cancelled"/>
    <x v="2"/>
    <x v="27"/>
    <x v="0"/>
    <x v="3"/>
    <x v="0"/>
  </r>
  <r>
    <s v="T001907"/>
    <d v="2028-03-21T00:00:00"/>
    <x v="3"/>
    <x v="1"/>
    <x v="0"/>
    <x v="0"/>
    <s v="India"/>
    <x v="4"/>
    <x v="6"/>
    <s v="C01907"/>
    <n v="29"/>
    <s v="Other"/>
    <x v="3"/>
    <x v="0"/>
    <x v="0"/>
    <s v="No Meals"/>
    <n v="30556.42"/>
    <n v="1428.76"/>
    <x v="0"/>
    <s v="Confirmed"/>
    <x v="2"/>
    <x v="33"/>
    <x v="4"/>
    <x v="1"/>
    <x v="1"/>
  </r>
  <r>
    <s v="T001908"/>
    <d v="2028-03-22T00:00:00"/>
    <x v="1"/>
    <x v="1"/>
    <x v="4"/>
    <x v="1"/>
    <s v="India"/>
    <x v="6"/>
    <x v="3"/>
    <s v="C01908"/>
    <n v="49"/>
    <s v="Male"/>
    <x v="3"/>
    <x v="1"/>
    <x v="1"/>
    <s v="Breakfast Only"/>
    <n v="27198.15"/>
    <n v="1073.9000000000001"/>
    <x v="0"/>
    <s v="Pending"/>
    <x v="2"/>
    <x v="18"/>
    <x v="0"/>
    <x v="4"/>
    <x v="1"/>
  </r>
  <r>
    <s v="T001909"/>
    <d v="2028-03-23T00:00:00"/>
    <x v="0"/>
    <x v="0"/>
    <x v="1"/>
    <x v="1"/>
    <s v="India"/>
    <x v="1"/>
    <x v="6"/>
    <s v="C01909"/>
    <n v="55"/>
    <s v="Male"/>
    <x v="4"/>
    <x v="2"/>
    <x v="3"/>
    <s v="Full Board"/>
    <n v="33882.26"/>
    <n v="2952.02"/>
    <x v="0"/>
    <s v="Pending"/>
    <x v="0"/>
    <x v="33"/>
    <x v="4"/>
    <x v="2"/>
    <x v="0"/>
  </r>
  <r>
    <s v="T001910"/>
    <d v="2028-03-24T00:00:00"/>
    <x v="0"/>
    <x v="0"/>
    <x v="4"/>
    <x v="1"/>
    <s v="India"/>
    <x v="6"/>
    <x v="10"/>
    <s v="C01910"/>
    <n v="20"/>
    <s v="Female"/>
    <x v="0"/>
    <x v="3"/>
    <x v="3"/>
    <s v="Half Board"/>
    <n v="13144.08"/>
    <n v="4579.42"/>
    <x v="0"/>
    <s v="Confirmed"/>
    <x v="0"/>
    <x v="32"/>
    <x v="4"/>
    <x v="4"/>
    <x v="1"/>
  </r>
  <r>
    <s v="T001911"/>
    <d v="2028-03-25T00:00:00"/>
    <x v="2"/>
    <x v="2"/>
    <x v="1"/>
    <x v="1"/>
    <s v="India"/>
    <x v="1"/>
    <x v="8"/>
    <s v="C01911"/>
    <n v="69"/>
    <s v="Other"/>
    <x v="1"/>
    <x v="2"/>
    <x v="3"/>
    <s v="Half Board"/>
    <n v="29331.95"/>
    <n v="4176.12"/>
    <x v="2"/>
    <s v="Pending"/>
    <x v="3"/>
    <x v="6"/>
    <x v="3"/>
    <x v="1"/>
    <x v="0"/>
  </r>
  <r>
    <s v="T001912"/>
    <d v="2028-03-26T00:00:00"/>
    <x v="3"/>
    <x v="1"/>
    <x v="2"/>
    <x v="0"/>
    <s v="India"/>
    <x v="2"/>
    <x v="7"/>
    <s v="C01912"/>
    <n v="33"/>
    <s v="Male"/>
    <x v="1"/>
    <x v="3"/>
    <x v="0"/>
    <s v="No Meals"/>
    <n v="25262.58"/>
    <n v="911.46"/>
    <x v="0"/>
    <s v="Cancelled"/>
    <x v="2"/>
    <x v="18"/>
    <x v="0"/>
    <x v="3"/>
    <x v="1"/>
  </r>
  <r>
    <s v="T001913"/>
    <d v="2028-03-27T00:00:00"/>
    <x v="0"/>
    <x v="0"/>
    <x v="4"/>
    <x v="1"/>
    <s v="India"/>
    <x v="6"/>
    <x v="9"/>
    <s v="C01913"/>
    <n v="37"/>
    <s v="Male"/>
    <x v="4"/>
    <x v="0"/>
    <x v="3"/>
    <s v="Breakfast Only"/>
    <n v="25745.919999999998"/>
    <n v="3829.4"/>
    <x v="0"/>
    <s v="Confirmed"/>
    <x v="1"/>
    <x v="8"/>
    <x v="0"/>
    <x v="2"/>
    <x v="0"/>
  </r>
  <r>
    <s v="T001914"/>
    <d v="2028-03-28T00:00:00"/>
    <x v="2"/>
    <x v="2"/>
    <x v="2"/>
    <x v="0"/>
    <s v="India"/>
    <x v="2"/>
    <x v="2"/>
    <s v="C01914"/>
    <n v="49"/>
    <s v="Other"/>
    <x v="4"/>
    <x v="1"/>
    <x v="3"/>
    <s v="Breakfast Only"/>
    <n v="26122.19"/>
    <n v="1149.3399999999999"/>
    <x v="0"/>
    <s v="Cancelled"/>
    <x v="1"/>
    <x v="7"/>
    <x v="2"/>
    <x v="4"/>
    <x v="1"/>
  </r>
  <r>
    <s v="T001915"/>
    <d v="2028-03-29T00:00:00"/>
    <x v="2"/>
    <x v="2"/>
    <x v="4"/>
    <x v="1"/>
    <s v="India"/>
    <x v="6"/>
    <x v="2"/>
    <s v="C01915"/>
    <n v="40"/>
    <s v="Female"/>
    <x v="0"/>
    <x v="2"/>
    <x v="1"/>
    <s v="Full Board"/>
    <n v="44666.239999999998"/>
    <n v="1453.51"/>
    <x v="2"/>
    <s v="Cancelled"/>
    <x v="1"/>
    <x v="11"/>
    <x v="2"/>
    <x v="2"/>
    <x v="0"/>
  </r>
  <r>
    <s v="T001916"/>
    <d v="2028-03-30T00:00:00"/>
    <x v="1"/>
    <x v="1"/>
    <x v="0"/>
    <x v="0"/>
    <s v="India"/>
    <x v="0"/>
    <x v="3"/>
    <s v="C01916"/>
    <n v="34"/>
    <s v="Female"/>
    <x v="3"/>
    <x v="3"/>
    <x v="3"/>
    <s v="Half Board"/>
    <n v="41838.230000000003"/>
    <n v="4600.26"/>
    <x v="3"/>
    <s v="Pending"/>
    <x v="0"/>
    <x v="40"/>
    <x v="2"/>
    <x v="2"/>
    <x v="0"/>
  </r>
  <r>
    <s v="T001917"/>
    <d v="2028-03-31T00:00:00"/>
    <x v="1"/>
    <x v="1"/>
    <x v="3"/>
    <x v="1"/>
    <s v="India"/>
    <x v="5"/>
    <x v="1"/>
    <s v="C01917"/>
    <n v="33"/>
    <s v="Female"/>
    <x v="4"/>
    <x v="0"/>
    <x v="0"/>
    <s v="Full Board"/>
    <n v="33330.65"/>
    <n v="4555.25"/>
    <x v="0"/>
    <s v="Confirmed"/>
    <x v="0"/>
    <x v="19"/>
    <x v="2"/>
    <x v="2"/>
    <x v="1"/>
  </r>
  <r>
    <s v="T001918"/>
    <d v="2028-04-01T00:00:00"/>
    <x v="2"/>
    <x v="2"/>
    <x v="2"/>
    <x v="0"/>
    <s v="India"/>
    <x v="3"/>
    <x v="5"/>
    <s v="C01918"/>
    <n v="55"/>
    <s v="Female"/>
    <x v="5"/>
    <x v="1"/>
    <x v="3"/>
    <s v="Full Board"/>
    <n v="37241.910000000003"/>
    <n v="843.15"/>
    <x v="3"/>
    <s v="Cancelled"/>
    <x v="2"/>
    <x v="21"/>
    <x v="0"/>
    <x v="0"/>
    <x v="1"/>
  </r>
  <r>
    <s v="T001919"/>
    <d v="2028-04-02T00:00:00"/>
    <x v="1"/>
    <x v="1"/>
    <x v="1"/>
    <x v="1"/>
    <s v="India"/>
    <x v="1"/>
    <x v="6"/>
    <s v="C01919"/>
    <n v="25"/>
    <s v="Male"/>
    <x v="6"/>
    <x v="1"/>
    <x v="0"/>
    <s v="Full Board"/>
    <n v="6926.12"/>
    <n v="320.95999999999998"/>
    <x v="3"/>
    <s v="Cancelled"/>
    <x v="1"/>
    <x v="21"/>
    <x v="0"/>
    <x v="1"/>
    <x v="0"/>
  </r>
  <r>
    <s v="T001920"/>
    <d v="2028-04-03T00:00:00"/>
    <x v="0"/>
    <x v="0"/>
    <x v="0"/>
    <x v="0"/>
    <s v="India"/>
    <x v="0"/>
    <x v="10"/>
    <s v="C01920"/>
    <n v="36"/>
    <s v="Other"/>
    <x v="3"/>
    <x v="1"/>
    <x v="0"/>
    <s v="Breakfast Only"/>
    <n v="38479.629999999997"/>
    <n v="1465.59"/>
    <x v="1"/>
    <s v="Confirmed"/>
    <x v="1"/>
    <x v="1"/>
    <x v="1"/>
    <x v="1"/>
    <x v="1"/>
  </r>
  <r>
    <s v="T001921"/>
    <d v="2028-04-04T00:00:00"/>
    <x v="4"/>
    <x v="3"/>
    <x v="4"/>
    <x v="1"/>
    <s v="India"/>
    <x v="6"/>
    <x v="9"/>
    <s v="C01921"/>
    <n v="47"/>
    <s v="Other"/>
    <x v="5"/>
    <x v="0"/>
    <x v="2"/>
    <s v="Half Board"/>
    <n v="26877.41"/>
    <n v="2908.88"/>
    <x v="1"/>
    <s v="Pending"/>
    <x v="0"/>
    <x v="0"/>
    <x v="0"/>
    <x v="3"/>
    <x v="0"/>
  </r>
  <r>
    <s v="T001922"/>
    <d v="2028-04-05T00:00:00"/>
    <x v="0"/>
    <x v="0"/>
    <x v="2"/>
    <x v="0"/>
    <s v="India"/>
    <x v="3"/>
    <x v="1"/>
    <s v="C01922"/>
    <n v="51"/>
    <s v="Male"/>
    <x v="4"/>
    <x v="0"/>
    <x v="0"/>
    <s v="Full Board"/>
    <n v="19298.64"/>
    <n v="4384.46"/>
    <x v="3"/>
    <s v="Cancelled"/>
    <x v="0"/>
    <x v="16"/>
    <x v="4"/>
    <x v="4"/>
    <x v="0"/>
  </r>
  <r>
    <s v="T001923"/>
    <d v="2028-04-06T00:00:00"/>
    <x v="2"/>
    <x v="2"/>
    <x v="4"/>
    <x v="1"/>
    <s v="India"/>
    <x v="6"/>
    <x v="1"/>
    <s v="C01923"/>
    <n v="31"/>
    <s v="Male"/>
    <x v="6"/>
    <x v="0"/>
    <x v="2"/>
    <s v="Half Board"/>
    <n v="11289.96"/>
    <n v="594.19000000000005"/>
    <x v="2"/>
    <s v="Confirmed"/>
    <x v="1"/>
    <x v="7"/>
    <x v="2"/>
    <x v="3"/>
    <x v="1"/>
  </r>
  <r>
    <s v="T001924"/>
    <d v="2028-04-07T00:00:00"/>
    <x v="2"/>
    <x v="2"/>
    <x v="4"/>
    <x v="1"/>
    <s v="India"/>
    <x v="6"/>
    <x v="7"/>
    <s v="C01924"/>
    <n v="39"/>
    <s v="Male"/>
    <x v="5"/>
    <x v="1"/>
    <x v="2"/>
    <s v="Half Board"/>
    <n v="8384.4"/>
    <n v="2074.79"/>
    <x v="0"/>
    <s v="Confirmed"/>
    <x v="1"/>
    <x v="31"/>
    <x v="1"/>
    <x v="4"/>
    <x v="1"/>
  </r>
  <r>
    <s v="T001925"/>
    <d v="2028-04-08T00:00:00"/>
    <x v="0"/>
    <x v="0"/>
    <x v="4"/>
    <x v="1"/>
    <s v="India"/>
    <x v="6"/>
    <x v="8"/>
    <s v="C01925"/>
    <n v="61"/>
    <s v="Other"/>
    <x v="2"/>
    <x v="2"/>
    <x v="3"/>
    <s v="Full Board"/>
    <n v="7019.86"/>
    <n v="1358.75"/>
    <x v="0"/>
    <s v="Cancelled"/>
    <x v="3"/>
    <x v="32"/>
    <x v="4"/>
    <x v="2"/>
    <x v="1"/>
  </r>
  <r>
    <s v="T001926"/>
    <d v="2028-04-09T00:00:00"/>
    <x v="1"/>
    <x v="1"/>
    <x v="3"/>
    <x v="1"/>
    <s v="India"/>
    <x v="5"/>
    <x v="7"/>
    <s v="C01926"/>
    <n v="34"/>
    <s v="Other"/>
    <x v="0"/>
    <x v="3"/>
    <x v="2"/>
    <s v="Full Board"/>
    <n v="12280.83"/>
    <n v="74.64"/>
    <x v="0"/>
    <s v="Cancelled"/>
    <x v="0"/>
    <x v="17"/>
    <x v="1"/>
    <x v="4"/>
    <x v="0"/>
  </r>
  <r>
    <s v="T001927"/>
    <d v="2028-04-10T00:00:00"/>
    <x v="1"/>
    <x v="1"/>
    <x v="3"/>
    <x v="1"/>
    <s v="India"/>
    <x v="5"/>
    <x v="5"/>
    <s v="C01927"/>
    <n v="32"/>
    <s v="Other"/>
    <x v="6"/>
    <x v="0"/>
    <x v="1"/>
    <s v="No Meals"/>
    <n v="6356.47"/>
    <n v="3942.23"/>
    <x v="1"/>
    <s v="Cancelled"/>
    <x v="2"/>
    <x v="4"/>
    <x v="0"/>
    <x v="4"/>
    <x v="1"/>
  </r>
  <r>
    <s v="T001928"/>
    <d v="2028-04-11T00:00:00"/>
    <x v="2"/>
    <x v="2"/>
    <x v="1"/>
    <x v="1"/>
    <s v="India"/>
    <x v="1"/>
    <x v="3"/>
    <s v="C01928"/>
    <n v="67"/>
    <s v="Female"/>
    <x v="4"/>
    <x v="2"/>
    <x v="0"/>
    <s v="Breakfast Only"/>
    <n v="37968.9"/>
    <n v="4066.42"/>
    <x v="1"/>
    <s v="Pending"/>
    <x v="2"/>
    <x v="23"/>
    <x v="1"/>
    <x v="2"/>
    <x v="1"/>
  </r>
  <r>
    <s v="T001929"/>
    <d v="2028-04-12T00:00:00"/>
    <x v="3"/>
    <x v="1"/>
    <x v="2"/>
    <x v="0"/>
    <s v="India"/>
    <x v="3"/>
    <x v="6"/>
    <s v="C01929"/>
    <n v="65"/>
    <s v="Male"/>
    <x v="1"/>
    <x v="3"/>
    <x v="1"/>
    <s v="Half Board"/>
    <n v="16187.64"/>
    <n v="1106.1500000000001"/>
    <x v="0"/>
    <s v="Pending"/>
    <x v="1"/>
    <x v="36"/>
    <x v="4"/>
    <x v="3"/>
    <x v="1"/>
  </r>
  <r>
    <s v="T001930"/>
    <d v="2028-04-13T00:00:00"/>
    <x v="1"/>
    <x v="1"/>
    <x v="0"/>
    <x v="0"/>
    <s v="India"/>
    <x v="0"/>
    <x v="0"/>
    <s v="C01930"/>
    <n v="49"/>
    <s v="Male"/>
    <x v="5"/>
    <x v="1"/>
    <x v="2"/>
    <s v="Full Board"/>
    <n v="21593.32"/>
    <n v="756.2"/>
    <x v="3"/>
    <s v="Confirmed"/>
    <x v="0"/>
    <x v="36"/>
    <x v="4"/>
    <x v="4"/>
    <x v="0"/>
  </r>
  <r>
    <s v="T001931"/>
    <d v="2028-04-14T00:00:00"/>
    <x v="0"/>
    <x v="0"/>
    <x v="0"/>
    <x v="0"/>
    <s v="India"/>
    <x v="0"/>
    <x v="11"/>
    <s v="C01931"/>
    <n v="30"/>
    <s v="Male"/>
    <x v="4"/>
    <x v="2"/>
    <x v="3"/>
    <s v="Full Board"/>
    <n v="42022.23"/>
    <n v="722.8"/>
    <x v="1"/>
    <s v="Confirmed"/>
    <x v="2"/>
    <x v="15"/>
    <x v="0"/>
    <x v="3"/>
    <x v="1"/>
  </r>
  <r>
    <s v="T001932"/>
    <d v="2028-04-15T00:00:00"/>
    <x v="1"/>
    <x v="1"/>
    <x v="0"/>
    <x v="0"/>
    <s v="India"/>
    <x v="4"/>
    <x v="3"/>
    <s v="C01932"/>
    <n v="38"/>
    <s v="Other"/>
    <x v="1"/>
    <x v="1"/>
    <x v="0"/>
    <s v="Half Board"/>
    <n v="10159.59"/>
    <n v="2319.7399999999998"/>
    <x v="0"/>
    <s v="Cancelled"/>
    <x v="0"/>
    <x v="38"/>
    <x v="0"/>
    <x v="3"/>
    <x v="1"/>
  </r>
  <r>
    <s v="T001933"/>
    <d v="2028-04-16T00:00:00"/>
    <x v="0"/>
    <x v="0"/>
    <x v="4"/>
    <x v="1"/>
    <s v="India"/>
    <x v="6"/>
    <x v="6"/>
    <s v="C01933"/>
    <n v="66"/>
    <s v="Male"/>
    <x v="0"/>
    <x v="3"/>
    <x v="1"/>
    <s v="Full Board"/>
    <n v="42601.73"/>
    <n v="1232.48"/>
    <x v="3"/>
    <s v="Confirmed"/>
    <x v="1"/>
    <x v="26"/>
    <x v="2"/>
    <x v="1"/>
    <x v="0"/>
  </r>
  <r>
    <s v="T001934"/>
    <d v="2028-04-17T00:00:00"/>
    <x v="2"/>
    <x v="2"/>
    <x v="3"/>
    <x v="1"/>
    <s v="India"/>
    <x v="5"/>
    <x v="5"/>
    <s v="C01934"/>
    <n v="57"/>
    <s v="Male"/>
    <x v="0"/>
    <x v="0"/>
    <x v="3"/>
    <s v="No Meals"/>
    <n v="33779.32"/>
    <n v="2556.7800000000002"/>
    <x v="0"/>
    <s v="Pending"/>
    <x v="1"/>
    <x v="40"/>
    <x v="3"/>
    <x v="2"/>
    <x v="1"/>
  </r>
  <r>
    <s v="T001935"/>
    <d v="2028-04-18T00:00:00"/>
    <x v="1"/>
    <x v="1"/>
    <x v="2"/>
    <x v="0"/>
    <s v="India"/>
    <x v="3"/>
    <x v="2"/>
    <s v="C01935"/>
    <n v="50"/>
    <s v="Female"/>
    <x v="3"/>
    <x v="1"/>
    <x v="2"/>
    <s v="Half Board"/>
    <n v="20391.330000000002"/>
    <n v="1924.26"/>
    <x v="1"/>
    <s v="Confirmed"/>
    <x v="1"/>
    <x v="29"/>
    <x v="1"/>
    <x v="2"/>
    <x v="0"/>
  </r>
  <r>
    <s v="T001936"/>
    <d v="2028-04-19T00:00:00"/>
    <x v="0"/>
    <x v="0"/>
    <x v="4"/>
    <x v="1"/>
    <s v="India"/>
    <x v="6"/>
    <x v="6"/>
    <s v="C01936"/>
    <n v="44"/>
    <s v="Other"/>
    <x v="5"/>
    <x v="2"/>
    <x v="3"/>
    <s v="Full Board"/>
    <n v="10301.32"/>
    <n v="1054.45"/>
    <x v="2"/>
    <s v="Confirmed"/>
    <x v="0"/>
    <x v="4"/>
    <x v="0"/>
    <x v="0"/>
    <x v="1"/>
  </r>
  <r>
    <s v="T001937"/>
    <d v="2028-04-20T00:00:00"/>
    <x v="2"/>
    <x v="2"/>
    <x v="3"/>
    <x v="1"/>
    <s v="India"/>
    <x v="5"/>
    <x v="0"/>
    <s v="C01937"/>
    <n v="52"/>
    <s v="Male"/>
    <x v="3"/>
    <x v="0"/>
    <x v="1"/>
    <s v="Half Board"/>
    <n v="9117.17"/>
    <n v="3755.96"/>
    <x v="2"/>
    <s v="Cancelled"/>
    <x v="2"/>
    <x v="37"/>
    <x v="3"/>
    <x v="3"/>
    <x v="0"/>
  </r>
  <r>
    <s v="T001938"/>
    <d v="2028-04-21T00:00:00"/>
    <x v="3"/>
    <x v="1"/>
    <x v="3"/>
    <x v="1"/>
    <s v="India"/>
    <x v="5"/>
    <x v="1"/>
    <s v="C01938"/>
    <n v="33"/>
    <s v="Other"/>
    <x v="1"/>
    <x v="2"/>
    <x v="3"/>
    <s v="Full Board"/>
    <n v="20098.150000000001"/>
    <n v="751.82"/>
    <x v="1"/>
    <s v="Cancelled"/>
    <x v="3"/>
    <x v="38"/>
    <x v="0"/>
    <x v="0"/>
    <x v="0"/>
  </r>
  <r>
    <s v="T001939"/>
    <d v="2028-04-22T00:00:00"/>
    <x v="0"/>
    <x v="0"/>
    <x v="2"/>
    <x v="0"/>
    <s v="India"/>
    <x v="3"/>
    <x v="3"/>
    <s v="C01939"/>
    <n v="45"/>
    <s v="Other"/>
    <x v="1"/>
    <x v="3"/>
    <x v="1"/>
    <s v="Full Board"/>
    <n v="11315.39"/>
    <n v="3994.51"/>
    <x v="3"/>
    <s v="Pending"/>
    <x v="2"/>
    <x v="17"/>
    <x v="1"/>
    <x v="2"/>
    <x v="0"/>
  </r>
  <r>
    <s v="T001940"/>
    <d v="2028-04-23T00:00:00"/>
    <x v="3"/>
    <x v="1"/>
    <x v="2"/>
    <x v="0"/>
    <s v="India"/>
    <x v="3"/>
    <x v="0"/>
    <s v="C01940"/>
    <n v="51"/>
    <s v="Other"/>
    <x v="0"/>
    <x v="3"/>
    <x v="3"/>
    <s v="Breakfast Only"/>
    <n v="17046.96"/>
    <n v="2807.23"/>
    <x v="0"/>
    <s v="Confirmed"/>
    <x v="0"/>
    <x v="26"/>
    <x v="0"/>
    <x v="2"/>
    <x v="1"/>
  </r>
  <r>
    <s v="T001941"/>
    <d v="2028-04-24T00:00:00"/>
    <x v="3"/>
    <x v="1"/>
    <x v="2"/>
    <x v="0"/>
    <s v="India"/>
    <x v="3"/>
    <x v="10"/>
    <s v="C01941"/>
    <n v="64"/>
    <s v="Female"/>
    <x v="6"/>
    <x v="0"/>
    <x v="0"/>
    <s v="Half Board"/>
    <n v="7383.01"/>
    <n v="4160.1899999999996"/>
    <x v="1"/>
    <s v="Confirmed"/>
    <x v="2"/>
    <x v="37"/>
    <x v="2"/>
    <x v="0"/>
    <x v="1"/>
  </r>
  <r>
    <s v="T001942"/>
    <d v="2028-04-25T00:00:00"/>
    <x v="4"/>
    <x v="3"/>
    <x v="4"/>
    <x v="1"/>
    <s v="India"/>
    <x v="6"/>
    <x v="7"/>
    <s v="C01942"/>
    <n v="18"/>
    <s v="Other"/>
    <x v="1"/>
    <x v="2"/>
    <x v="3"/>
    <s v="Breakfast Only"/>
    <n v="31775.38"/>
    <n v="23.8"/>
    <x v="3"/>
    <s v="Confirmed"/>
    <x v="3"/>
    <x v="36"/>
    <x v="4"/>
    <x v="2"/>
    <x v="0"/>
  </r>
  <r>
    <s v="T001943"/>
    <d v="2028-04-26T00:00:00"/>
    <x v="1"/>
    <x v="1"/>
    <x v="1"/>
    <x v="1"/>
    <s v="India"/>
    <x v="1"/>
    <x v="6"/>
    <s v="C01943"/>
    <n v="58"/>
    <s v="Other"/>
    <x v="1"/>
    <x v="2"/>
    <x v="0"/>
    <s v="Full Board"/>
    <n v="11537.43"/>
    <n v="3745.94"/>
    <x v="0"/>
    <s v="Cancelled"/>
    <x v="2"/>
    <x v="17"/>
    <x v="1"/>
    <x v="2"/>
    <x v="1"/>
  </r>
  <r>
    <s v="T001944"/>
    <d v="2028-04-27T00:00:00"/>
    <x v="0"/>
    <x v="0"/>
    <x v="2"/>
    <x v="0"/>
    <s v="India"/>
    <x v="2"/>
    <x v="11"/>
    <s v="C01944"/>
    <n v="65"/>
    <s v="Other"/>
    <x v="5"/>
    <x v="2"/>
    <x v="1"/>
    <s v="Half Board"/>
    <n v="39052.949999999997"/>
    <n v="257.58"/>
    <x v="0"/>
    <s v="Pending"/>
    <x v="3"/>
    <x v="11"/>
    <x v="0"/>
    <x v="1"/>
    <x v="1"/>
  </r>
  <r>
    <s v="T001945"/>
    <d v="2028-04-28T00:00:00"/>
    <x v="3"/>
    <x v="1"/>
    <x v="1"/>
    <x v="1"/>
    <s v="India"/>
    <x v="1"/>
    <x v="9"/>
    <s v="C01945"/>
    <n v="48"/>
    <s v="Male"/>
    <x v="6"/>
    <x v="2"/>
    <x v="0"/>
    <s v="Half Board"/>
    <n v="14817.87"/>
    <n v="4750.49"/>
    <x v="1"/>
    <s v="Confirmed"/>
    <x v="0"/>
    <x v="4"/>
    <x v="0"/>
    <x v="4"/>
    <x v="1"/>
  </r>
  <r>
    <s v="T001946"/>
    <d v="2028-04-29T00:00:00"/>
    <x v="4"/>
    <x v="3"/>
    <x v="4"/>
    <x v="1"/>
    <s v="India"/>
    <x v="6"/>
    <x v="6"/>
    <s v="C01946"/>
    <n v="53"/>
    <s v="Female"/>
    <x v="3"/>
    <x v="3"/>
    <x v="3"/>
    <s v="No Meals"/>
    <n v="40908.949999999997"/>
    <n v="3513.7"/>
    <x v="0"/>
    <s v="Confirmed"/>
    <x v="1"/>
    <x v="0"/>
    <x v="0"/>
    <x v="1"/>
    <x v="0"/>
  </r>
  <r>
    <s v="T001947"/>
    <d v="2028-04-30T00:00:00"/>
    <x v="2"/>
    <x v="2"/>
    <x v="1"/>
    <x v="1"/>
    <s v="India"/>
    <x v="1"/>
    <x v="10"/>
    <s v="C01947"/>
    <n v="61"/>
    <s v="Male"/>
    <x v="3"/>
    <x v="2"/>
    <x v="0"/>
    <s v="No Meals"/>
    <n v="13544.69"/>
    <n v="1600.86"/>
    <x v="2"/>
    <s v="Confirmed"/>
    <x v="3"/>
    <x v="28"/>
    <x v="3"/>
    <x v="4"/>
    <x v="1"/>
  </r>
  <r>
    <s v="T001948"/>
    <d v="2028-05-01T00:00:00"/>
    <x v="0"/>
    <x v="0"/>
    <x v="0"/>
    <x v="0"/>
    <s v="India"/>
    <x v="0"/>
    <x v="3"/>
    <s v="C01948"/>
    <n v="50"/>
    <s v="Female"/>
    <x v="1"/>
    <x v="3"/>
    <x v="1"/>
    <s v="Full Board"/>
    <n v="37461.5"/>
    <n v="1599.25"/>
    <x v="2"/>
    <s v="Confirmed"/>
    <x v="0"/>
    <x v="10"/>
    <x v="1"/>
    <x v="1"/>
    <x v="0"/>
  </r>
  <r>
    <s v="T001949"/>
    <d v="2028-05-02T00:00:00"/>
    <x v="3"/>
    <x v="1"/>
    <x v="1"/>
    <x v="1"/>
    <s v="India"/>
    <x v="1"/>
    <x v="6"/>
    <s v="C01949"/>
    <n v="50"/>
    <s v="Female"/>
    <x v="5"/>
    <x v="2"/>
    <x v="3"/>
    <s v="Full Board"/>
    <n v="19988.36"/>
    <n v="4307.46"/>
    <x v="0"/>
    <s v="Pending"/>
    <x v="1"/>
    <x v="24"/>
    <x v="0"/>
    <x v="1"/>
    <x v="0"/>
  </r>
  <r>
    <s v="T001950"/>
    <d v="2028-05-03T00:00:00"/>
    <x v="1"/>
    <x v="1"/>
    <x v="2"/>
    <x v="0"/>
    <s v="India"/>
    <x v="2"/>
    <x v="4"/>
    <s v="C01950"/>
    <n v="56"/>
    <s v="Other"/>
    <x v="3"/>
    <x v="2"/>
    <x v="0"/>
    <s v="Full Board"/>
    <n v="31240.400000000001"/>
    <n v="4514.2"/>
    <x v="1"/>
    <s v="Pending"/>
    <x v="3"/>
    <x v="6"/>
    <x v="3"/>
    <x v="3"/>
    <x v="1"/>
  </r>
  <r>
    <s v="T001951"/>
    <d v="2028-05-04T00:00:00"/>
    <x v="4"/>
    <x v="3"/>
    <x v="4"/>
    <x v="1"/>
    <s v="India"/>
    <x v="6"/>
    <x v="0"/>
    <s v="C01951"/>
    <n v="35"/>
    <s v="Other"/>
    <x v="3"/>
    <x v="1"/>
    <x v="0"/>
    <s v="Full Board"/>
    <n v="6739.78"/>
    <n v="4457.87"/>
    <x v="0"/>
    <s v="Pending"/>
    <x v="1"/>
    <x v="4"/>
    <x v="0"/>
    <x v="0"/>
    <x v="1"/>
  </r>
  <r>
    <s v="T001952"/>
    <d v="2028-05-05T00:00:00"/>
    <x v="3"/>
    <x v="1"/>
    <x v="2"/>
    <x v="0"/>
    <s v="India"/>
    <x v="3"/>
    <x v="1"/>
    <s v="C01952"/>
    <n v="40"/>
    <s v="Male"/>
    <x v="2"/>
    <x v="1"/>
    <x v="2"/>
    <s v="No Meals"/>
    <n v="27286"/>
    <n v="4043.7"/>
    <x v="1"/>
    <s v="Cancelled"/>
    <x v="2"/>
    <x v="22"/>
    <x v="4"/>
    <x v="1"/>
    <x v="0"/>
  </r>
  <r>
    <s v="T001953"/>
    <d v="2028-05-06T00:00:00"/>
    <x v="1"/>
    <x v="1"/>
    <x v="0"/>
    <x v="0"/>
    <s v="India"/>
    <x v="4"/>
    <x v="1"/>
    <s v="C01953"/>
    <n v="40"/>
    <s v="Female"/>
    <x v="5"/>
    <x v="2"/>
    <x v="0"/>
    <s v="Half Board"/>
    <n v="11690.96"/>
    <n v="4095.16"/>
    <x v="1"/>
    <s v="Confirmed"/>
    <x v="0"/>
    <x v="39"/>
    <x v="0"/>
    <x v="3"/>
    <x v="1"/>
  </r>
  <r>
    <s v="T001954"/>
    <d v="2028-05-07T00:00:00"/>
    <x v="3"/>
    <x v="1"/>
    <x v="2"/>
    <x v="0"/>
    <s v="India"/>
    <x v="2"/>
    <x v="4"/>
    <s v="C01954"/>
    <n v="32"/>
    <s v="Other"/>
    <x v="3"/>
    <x v="3"/>
    <x v="2"/>
    <s v="Breakfast Only"/>
    <n v="26884.41"/>
    <n v="2863.84"/>
    <x v="2"/>
    <s v="Confirmed"/>
    <x v="0"/>
    <x v="18"/>
    <x v="0"/>
    <x v="1"/>
    <x v="1"/>
  </r>
  <r>
    <s v="T001955"/>
    <d v="2028-05-08T00:00:00"/>
    <x v="0"/>
    <x v="0"/>
    <x v="2"/>
    <x v="0"/>
    <s v="India"/>
    <x v="2"/>
    <x v="3"/>
    <s v="C01955"/>
    <n v="43"/>
    <s v="Other"/>
    <x v="0"/>
    <x v="2"/>
    <x v="1"/>
    <s v="Half Board"/>
    <n v="11361.16"/>
    <n v="141.16"/>
    <x v="2"/>
    <s v="Confirmed"/>
    <x v="0"/>
    <x v="20"/>
    <x v="0"/>
    <x v="0"/>
    <x v="0"/>
  </r>
  <r>
    <s v="T001956"/>
    <d v="2028-05-09T00:00:00"/>
    <x v="0"/>
    <x v="0"/>
    <x v="2"/>
    <x v="0"/>
    <s v="India"/>
    <x v="2"/>
    <x v="1"/>
    <s v="C01956"/>
    <n v="47"/>
    <s v="Other"/>
    <x v="4"/>
    <x v="1"/>
    <x v="2"/>
    <s v="Half Board"/>
    <n v="24669.01"/>
    <n v="433.87"/>
    <x v="3"/>
    <s v="Confirmed"/>
    <x v="0"/>
    <x v="29"/>
    <x v="1"/>
    <x v="3"/>
    <x v="1"/>
  </r>
  <r>
    <s v="T001957"/>
    <d v="2028-05-10T00:00:00"/>
    <x v="0"/>
    <x v="0"/>
    <x v="3"/>
    <x v="1"/>
    <s v="India"/>
    <x v="5"/>
    <x v="6"/>
    <s v="C01957"/>
    <n v="42"/>
    <s v="Other"/>
    <x v="1"/>
    <x v="2"/>
    <x v="1"/>
    <s v="No Meals"/>
    <n v="9977.94"/>
    <n v="3247.77"/>
    <x v="1"/>
    <s v="Pending"/>
    <x v="3"/>
    <x v="9"/>
    <x v="4"/>
    <x v="4"/>
    <x v="0"/>
  </r>
  <r>
    <s v="T001958"/>
    <d v="2028-05-11T00:00:00"/>
    <x v="4"/>
    <x v="3"/>
    <x v="0"/>
    <x v="0"/>
    <s v="India"/>
    <x v="0"/>
    <x v="8"/>
    <s v="C01958"/>
    <n v="62"/>
    <s v="Male"/>
    <x v="1"/>
    <x v="1"/>
    <x v="0"/>
    <s v="Half Board"/>
    <n v="14897.82"/>
    <n v="2005.83"/>
    <x v="0"/>
    <s v="Cancelled"/>
    <x v="2"/>
    <x v="40"/>
    <x v="2"/>
    <x v="0"/>
    <x v="0"/>
  </r>
  <r>
    <s v="T001959"/>
    <d v="2028-05-12T00:00:00"/>
    <x v="0"/>
    <x v="0"/>
    <x v="2"/>
    <x v="0"/>
    <s v="India"/>
    <x v="3"/>
    <x v="2"/>
    <s v="C01959"/>
    <n v="33"/>
    <s v="Male"/>
    <x v="0"/>
    <x v="2"/>
    <x v="0"/>
    <s v="Half Board"/>
    <n v="31778.55"/>
    <n v="2836.55"/>
    <x v="1"/>
    <s v="Cancelled"/>
    <x v="1"/>
    <x v="27"/>
    <x v="0"/>
    <x v="2"/>
    <x v="1"/>
  </r>
  <r>
    <s v="T001960"/>
    <d v="2028-05-13T00:00:00"/>
    <x v="1"/>
    <x v="1"/>
    <x v="2"/>
    <x v="0"/>
    <s v="India"/>
    <x v="3"/>
    <x v="1"/>
    <s v="C01960"/>
    <n v="56"/>
    <s v="Other"/>
    <x v="4"/>
    <x v="0"/>
    <x v="2"/>
    <s v="Full Board"/>
    <n v="48949.73"/>
    <n v="1155.3900000000001"/>
    <x v="2"/>
    <s v="Confirmed"/>
    <x v="0"/>
    <x v="35"/>
    <x v="3"/>
    <x v="3"/>
    <x v="0"/>
  </r>
  <r>
    <s v="T001961"/>
    <d v="2028-05-14T00:00:00"/>
    <x v="3"/>
    <x v="1"/>
    <x v="2"/>
    <x v="0"/>
    <s v="India"/>
    <x v="2"/>
    <x v="2"/>
    <s v="C01961"/>
    <n v="65"/>
    <s v="Other"/>
    <x v="4"/>
    <x v="2"/>
    <x v="1"/>
    <s v="Breakfast Only"/>
    <n v="25213.31"/>
    <n v="3247.09"/>
    <x v="1"/>
    <s v="Pending"/>
    <x v="0"/>
    <x v="36"/>
    <x v="4"/>
    <x v="2"/>
    <x v="1"/>
  </r>
  <r>
    <s v="T001962"/>
    <d v="2028-05-15T00:00:00"/>
    <x v="2"/>
    <x v="2"/>
    <x v="4"/>
    <x v="1"/>
    <s v="India"/>
    <x v="6"/>
    <x v="11"/>
    <s v="C01962"/>
    <n v="62"/>
    <s v="Other"/>
    <x v="0"/>
    <x v="3"/>
    <x v="0"/>
    <s v="Half Board"/>
    <n v="35922.82"/>
    <n v="1214.1500000000001"/>
    <x v="3"/>
    <s v="Cancelled"/>
    <x v="3"/>
    <x v="23"/>
    <x v="1"/>
    <x v="3"/>
    <x v="1"/>
  </r>
  <r>
    <s v="T001963"/>
    <d v="2028-05-16T00:00:00"/>
    <x v="1"/>
    <x v="1"/>
    <x v="3"/>
    <x v="1"/>
    <s v="India"/>
    <x v="5"/>
    <x v="8"/>
    <s v="C01963"/>
    <n v="31"/>
    <s v="Other"/>
    <x v="6"/>
    <x v="1"/>
    <x v="2"/>
    <s v="Half Board"/>
    <n v="29274.11"/>
    <n v="2304.06"/>
    <x v="0"/>
    <s v="Cancelled"/>
    <x v="3"/>
    <x v="24"/>
    <x v="0"/>
    <x v="4"/>
    <x v="1"/>
  </r>
  <r>
    <s v="T001964"/>
    <d v="2028-05-17T00:00:00"/>
    <x v="1"/>
    <x v="1"/>
    <x v="4"/>
    <x v="1"/>
    <s v="India"/>
    <x v="6"/>
    <x v="5"/>
    <s v="C01964"/>
    <n v="34"/>
    <s v="Other"/>
    <x v="6"/>
    <x v="0"/>
    <x v="2"/>
    <s v="Breakfast Only"/>
    <n v="27426.11"/>
    <n v="2393.6"/>
    <x v="1"/>
    <s v="Confirmed"/>
    <x v="3"/>
    <x v="1"/>
    <x v="1"/>
    <x v="3"/>
    <x v="0"/>
  </r>
  <r>
    <s v="T001965"/>
    <d v="2028-05-18T00:00:00"/>
    <x v="0"/>
    <x v="0"/>
    <x v="3"/>
    <x v="1"/>
    <s v="India"/>
    <x v="5"/>
    <x v="6"/>
    <s v="C01965"/>
    <n v="29"/>
    <s v="Female"/>
    <x v="4"/>
    <x v="1"/>
    <x v="2"/>
    <s v="Full Board"/>
    <n v="7911.69"/>
    <n v="888.34"/>
    <x v="0"/>
    <s v="Cancelled"/>
    <x v="2"/>
    <x v="32"/>
    <x v="4"/>
    <x v="1"/>
    <x v="0"/>
  </r>
  <r>
    <s v="T001966"/>
    <d v="2028-05-19T00:00:00"/>
    <x v="4"/>
    <x v="3"/>
    <x v="2"/>
    <x v="0"/>
    <s v="India"/>
    <x v="3"/>
    <x v="6"/>
    <s v="C01966"/>
    <n v="46"/>
    <s v="Female"/>
    <x v="6"/>
    <x v="1"/>
    <x v="0"/>
    <s v="No Meals"/>
    <n v="11493.38"/>
    <n v="4381.04"/>
    <x v="0"/>
    <s v="Confirmed"/>
    <x v="1"/>
    <x v="10"/>
    <x v="1"/>
    <x v="2"/>
    <x v="0"/>
  </r>
  <r>
    <s v="T001967"/>
    <d v="2028-05-20T00:00:00"/>
    <x v="3"/>
    <x v="1"/>
    <x v="0"/>
    <x v="0"/>
    <s v="India"/>
    <x v="0"/>
    <x v="5"/>
    <s v="C01967"/>
    <n v="49"/>
    <s v="Female"/>
    <x v="6"/>
    <x v="3"/>
    <x v="1"/>
    <s v="No Meals"/>
    <n v="44737.599999999999"/>
    <n v="2629.11"/>
    <x v="2"/>
    <s v="Pending"/>
    <x v="2"/>
    <x v="20"/>
    <x v="0"/>
    <x v="2"/>
    <x v="1"/>
  </r>
  <r>
    <s v="T001968"/>
    <d v="2028-05-21T00:00:00"/>
    <x v="4"/>
    <x v="3"/>
    <x v="1"/>
    <x v="1"/>
    <s v="India"/>
    <x v="1"/>
    <x v="0"/>
    <s v="C01968"/>
    <n v="41"/>
    <s v="Female"/>
    <x v="6"/>
    <x v="2"/>
    <x v="0"/>
    <s v="Half Board"/>
    <n v="23457.39"/>
    <n v="4333.92"/>
    <x v="1"/>
    <s v="Confirmed"/>
    <x v="0"/>
    <x v="11"/>
    <x v="0"/>
    <x v="3"/>
    <x v="1"/>
  </r>
  <r>
    <s v="T001969"/>
    <d v="2028-05-22T00:00:00"/>
    <x v="3"/>
    <x v="1"/>
    <x v="1"/>
    <x v="1"/>
    <s v="India"/>
    <x v="1"/>
    <x v="8"/>
    <s v="C01969"/>
    <n v="69"/>
    <s v="Other"/>
    <x v="4"/>
    <x v="3"/>
    <x v="3"/>
    <s v="Full Board"/>
    <n v="32644.959999999999"/>
    <n v="1312.68"/>
    <x v="0"/>
    <s v="Cancelled"/>
    <x v="3"/>
    <x v="3"/>
    <x v="3"/>
    <x v="1"/>
    <x v="0"/>
  </r>
  <r>
    <s v="T001970"/>
    <d v="2028-05-23T00:00:00"/>
    <x v="3"/>
    <x v="1"/>
    <x v="2"/>
    <x v="0"/>
    <s v="India"/>
    <x v="2"/>
    <x v="10"/>
    <s v="C01970"/>
    <n v="30"/>
    <s v="Female"/>
    <x v="6"/>
    <x v="2"/>
    <x v="3"/>
    <s v="No Meals"/>
    <n v="28770.5"/>
    <n v="861.68"/>
    <x v="2"/>
    <s v="Confirmed"/>
    <x v="0"/>
    <x v="19"/>
    <x v="3"/>
    <x v="1"/>
    <x v="1"/>
  </r>
  <r>
    <s v="T001971"/>
    <d v="2028-05-24T00:00:00"/>
    <x v="4"/>
    <x v="3"/>
    <x v="4"/>
    <x v="1"/>
    <s v="India"/>
    <x v="6"/>
    <x v="0"/>
    <s v="C01971"/>
    <n v="37"/>
    <s v="Female"/>
    <x v="1"/>
    <x v="0"/>
    <x v="0"/>
    <s v="No Meals"/>
    <n v="22049.71"/>
    <n v="90.08"/>
    <x v="3"/>
    <s v="Confirmed"/>
    <x v="1"/>
    <x v="38"/>
    <x v="0"/>
    <x v="3"/>
    <x v="1"/>
  </r>
  <r>
    <s v="T001972"/>
    <d v="2028-05-25T00:00:00"/>
    <x v="1"/>
    <x v="1"/>
    <x v="0"/>
    <x v="0"/>
    <s v="India"/>
    <x v="0"/>
    <x v="10"/>
    <s v="C01972"/>
    <n v="32"/>
    <s v="Male"/>
    <x v="2"/>
    <x v="3"/>
    <x v="1"/>
    <s v="No Meals"/>
    <n v="22451.74"/>
    <n v="469.32"/>
    <x v="3"/>
    <s v="Confirmed"/>
    <x v="1"/>
    <x v="21"/>
    <x v="0"/>
    <x v="0"/>
    <x v="0"/>
  </r>
  <r>
    <s v="T001973"/>
    <d v="2028-05-26T00:00:00"/>
    <x v="3"/>
    <x v="1"/>
    <x v="3"/>
    <x v="1"/>
    <s v="India"/>
    <x v="5"/>
    <x v="11"/>
    <s v="C01973"/>
    <n v="21"/>
    <s v="Female"/>
    <x v="4"/>
    <x v="3"/>
    <x v="2"/>
    <s v="No Meals"/>
    <n v="29995.93"/>
    <n v="737.35"/>
    <x v="1"/>
    <s v="Confirmed"/>
    <x v="2"/>
    <x v="36"/>
    <x v="4"/>
    <x v="4"/>
    <x v="0"/>
  </r>
  <r>
    <s v="T001974"/>
    <d v="2028-05-27T00:00:00"/>
    <x v="4"/>
    <x v="3"/>
    <x v="2"/>
    <x v="0"/>
    <s v="India"/>
    <x v="2"/>
    <x v="7"/>
    <s v="C01974"/>
    <n v="51"/>
    <s v="Female"/>
    <x v="0"/>
    <x v="1"/>
    <x v="3"/>
    <s v="No Meals"/>
    <n v="11351.38"/>
    <n v="394.28"/>
    <x v="0"/>
    <s v="Confirmed"/>
    <x v="2"/>
    <x v="20"/>
    <x v="0"/>
    <x v="3"/>
    <x v="0"/>
  </r>
  <r>
    <s v="T001975"/>
    <d v="2028-05-28T00:00:00"/>
    <x v="3"/>
    <x v="1"/>
    <x v="0"/>
    <x v="0"/>
    <s v="India"/>
    <x v="4"/>
    <x v="3"/>
    <s v="C01975"/>
    <n v="45"/>
    <s v="Other"/>
    <x v="6"/>
    <x v="3"/>
    <x v="3"/>
    <s v="Half Board"/>
    <n v="22426.66"/>
    <n v="4484.3999999999996"/>
    <x v="1"/>
    <s v="Confirmed"/>
    <x v="3"/>
    <x v="0"/>
    <x v="0"/>
    <x v="1"/>
    <x v="1"/>
  </r>
  <r>
    <s v="T001976"/>
    <d v="2028-05-29T00:00:00"/>
    <x v="2"/>
    <x v="2"/>
    <x v="0"/>
    <x v="0"/>
    <s v="India"/>
    <x v="4"/>
    <x v="6"/>
    <s v="C01976"/>
    <n v="67"/>
    <s v="Female"/>
    <x v="3"/>
    <x v="2"/>
    <x v="0"/>
    <s v="No Meals"/>
    <n v="25113.9"/>
    <n v="4557.1899999999996"/>
    <x v="0"/>
    <s v="Cancelled"/>
    <x v="3"/>
    <x v="35"/>
    <x v="3"/>
    <x v="4"/>
    <x v="1"/>
  </r>
  <r>
    <s v="T001977"/>
    <d v="2028-05-30T00:00:00"/>
    <x v="1"/>
    <x v="1"/>
    <x v="3"/>
    <x v="1"/>
    <s v="India"/>
    <x v="5"/>
    <x v="6"/>
    <s v="C01977"/>
    <n v="19"/>
    <s v="Female"/>
    <x v="4"/>
    <x v="3"/>
    <x v="3"/>
    <s v="Half Board"/>
    <n v="49330.68"/>
    <n v="4686.8100000000004"/>
    <x v="2"/>
    <s v="Confirmed"/>
    <x v="0"/>
    <x v="6"/>
    <x v="3"/>
    <x v="3"/>
    <x v="1"/>
  </r>
  <r>
    <s v="T001978"/>
    <d v="2028-05-31T00:00:00"/>
    <x v="0"/>
    <x v="0"/>
    <x v="0"/>
    <x v="0"/>
    <s v="India"/>
    <x v="0"/>
    <x v="8"/>
    <s v="C01978"/>
    <n v="64"/>
    <s v="Other"/>
    <x v="5"/>
    <x v="3"/>
    <x v="3"/>
    <s v="Breakfast Only"/>
    <n v="20815.46"/>
    <n v="4799.3"/>
    <x v="3"/>
    <s v="Cancelled"/>
    <x v="3"/>
    <x v="30"/>
    <x v="0"/>
    <x v="4"/>
    <x v="0"/>
  </r>
  <r>
    <s v="T001979"/>
    <d v="2028-06-01T00:00:00"/>
    <x v="3"/>
    <x v="1"/>
    <x v="4"/>
    <x v="1"/>
    <s v="India"/>
    <x v="6"/>
    <x v="4"/>
    <s v="C01979"/>
    <n v="47"/>
    <s v="Female"/>
    <x v="0"/>
    <x v="0"/>
    <x v="2"/>
    <s v="Breakfast Only"/>
    <n v="34006.050000000003"/>
    <n v="2459.1799999999998"/>
    <x v="3"/>
    <s v="Confirmed"/>
    <x v="3"/>
    <x v="29"/>
    <x v="1"/>
    <x v="0"/>
    <x v="0"/>
  </r>
  <r>
    <s v="T001980"/>
    <d v="2028-06-02T00:00:00"/>
    <x v="2"/>
    <x v="2"/>
    <x v="4"/>
    <x v="1"/>
    <s v="India"/>
    <x v="6"/>
    <x v="9"/>
    <s v="C01980"/>
    <n v="43"/>
    <s v="Other"/>
    <x v="2"/>
    <x v="2"/>
    <x v="2"/>
    <s v="Full Board"/>
    <n v="11183.7"/>
    <n v="2650.12"/>
    <x v="3"/>
    <s v="Pending"/>
    <x v="0"/>
    <x v="6"/>
    <x v="3"/>
    <x v="1"/>
    <x v="0"/>
  </r>
  <r>
    <s v="T001981"/>
    <d v="2028-06-03T00:00:00"/>
    <x v="0"/>
    <x v="0"/>
    <x v="4"/>
    <x v="1"/>
    <s v="India"/>
    <x v="6"/>
    <x v="3"/>
    <s v="C01981"/>
    <n v="68"/>
    <s v="Female"/>
    <x v="1"/>
    <x v="1"/>
    <x v="1"/>
    <s v="Half Board"/>
    <n v="7946.66"/>
    <n v="654.15"/>
    <x v="3"/>
    <s v="Confirmed"/>
    <x v="1"/>
    <x v="2"/>
    <x v="3"/>
    <x v="0"/>
    <x v="0"/>
  </r>
  <r>
    <s v="T001982"/>
    <d v="2028-06-04T00:00:00"/>
    <x v="0"/>
    <x v="0"/>
    <x v="0"/>
    <x v="0"/>
    <s v="India"/>
    <x v="4"/>
    <x v="11"/>
    <s v="C01982"/>
    <n v="64"/>
    <s v="Male"/>
    <x v="5"/>
    <x v="2"/>
    <x v="3"/>
    <s v="Full Board"/>
    <n v="44219.39"/>
    <n v="685.26"/>
    <x v="1"/>
    <s v="Cancelled"/>
    <x v="3"/>
    <x v="32"/>
    <x v="4"/>
    <x v="0"/>
    <x v="1"/>
  </r>
  <r>
    <s v="T001983"/>
    <d v="2028-06-05T00:00:00"/>
    <x v="3"/>
    <x v="1"/>
    <x v="4"/>
    <x v="1"/>
    <s v="India"/>
    <x v="6"/>
    <x v="8"/>
    <s v="C01983"/>
    <n v="43"/>
    <s v="Male"/>
    <x v="0"/>
    <x v="0"/>
    <x v="1"/>
    <s v="Breakfast Only"/>
    <n v="37883.07"/>
    <n v="3863.78"/>
    <x v="0"/>
    <s v="Cancelled"/>
    <x v="3"/>
    <x v="7"/>
    <x v="2"/>
    <x v="1"/>
    <x v="0"/>
  </r>
  <r>
    <s v="T001984"/>
    <d v="2028-06-06T00:00:00"/>
    <x v="4"/>
    <x v="3"/>
    <x v="3"/>
    <x v="1"/>
    <s v="India"/>
    <x v="5"/>
    <x v="5"/>
    <s v="C01984"/>
    <n v="37"/>
    <s v="Female"/>
    <x v="6"/>
    <x v="2"/>
    <x v="1"/>
    <s v="Breakfast Only"/>
    <n v="19287.47"/>
    <n v="4278.6499999999996"/>
    <x v="1"/>
    <s v="Pending"/>
    <x v="0"/>
    <x v="1"/>
    <x v="1"/>
    <x v="0"/>
    <x v="1"/>
  </r>
  <r>
    <s v="T001985"/>
    <d v="2028-06-07T00:00:00"/>
    <x v="3"/>
    <x v="1"/>
    <x v="0"/>
    <x v="0"/>
    <s v="India"/>
    <x v="4"/>
    <x v="6"/>
    <s v="C01985"/>
    <n v="59"/>
    <s v="Male"/>
    <x v="3"/>
    <x v="2"/>
    <x v="2"/>
    <s v="Breakfast Only"/>
    <n v="27706.01"/>
    <n v="3923.57"/>
    <x v="2"/>
    <s v="Confirmed"/>
    <x v="0"/>
    <x v="25"/>
    <x v="3"/>
    <x v="3"/>
    <x v="0"/>
  </r>
  <r>
    <s v="T001986"/>
    <d v="2028-06-08T00:00:00"/>
    <x v="2"/>
    <x v="2"/>
    <x v="1"/>
    <x v="1"/>
    <s v="India"/>
    <x v="1"/>
    <x v="3"/>
    <s v="C01986"/>
    <n v="45"/>
    <s v="Other"/>
    <x v="6"/>
    <x v="3"/>
    <x v="2"/>
    <s v="Breakfast Only"/>
    <n v="11108.49"/>
    <n v="4172.88"/>
    <x v="3"/>
    <s v="Pending"/>
    <x v="0"/>
    <x v="10"/>
    <x v="1"/>
    <x v="3"/>
    <x v="1"/>
  </r>
  <r>
    <s v="T001987"/>
    <d v="2028-06-09T00:00:00"/>
    <x v="0"/>
    <x v="0"/>
    <x v="0"/>
    <x v="0"/>
    <s v="India"/>
    <x v="4"/>
    <x v="6"/>
    <s v="C01987"/>
    <n v="37"/>
    <s v="Female"/>
    <x v="0"/>
    <x v="3"/>
    <x v="0"/>
    <s v="No Meals"/>
    <n v="36822.21"/>
    <n v="1382.85"/>
    <x v="0"/>
    <s v="Confirmed"/>
    <x v="0"/>
    <x v="32"/>
    <x v="4"/>
    <x v="4"/>
    <x v="0"/>
  </r>
  <r>
    <s v="T001988"/>
    <d v="2028-06-10T00:00:00"/>
    <x v="3"/>
    <x v="1"/>
    <x v="3"/>
    <x v="1"/>
    <s v="India"/>
    <x v="5"/>
    <x v="6"/>
    <s v="C01988"/>
    <n v="28"/>
    <s v="Other"/>
    <x v="4"/>
    <x v="2"/>
    <x v="2"/>
    <s v="Breakfast Only"/>
    <n v="8164.88"/>
    <n v="2330.33"/>
    <x v="1"/>
    <s v="Confirmed"/>
    <x v="0"/>
    <x v="6"/>
    <x v="2"/>
    <x v="3"/>
    <x v="1"/>
  </r>
  <r>
    <s v="T001989"/>
    <d v="2028-06-11T00:00:00"/>
    <x v="4"/>
    <x v="3"/>
    <x v="1"/>
    <x v="1"/>
    <s v="India"/>
    <x v="1"/>
    <x v="6"/>
    <s v="C01989"/>
    <n v="27"/>
    <s v="Male"/>
    <x v="5"/>
    <x v="2"/>
    <x v="1"/>
    <s v="No Meals"/>
    <n v="39066.49"/>
    <n v="2296"/>
    <x v="0"/>
    <s v="Cancelled"/>
    <x v="3"/>
    <x v="8"/>
    <x v="0"/>
    <x v="3"/>
    <x v="1"/>
  </r>
  <r>
    <s v="T001990"/>
    <d v="2028-06-12T00:00:00"/>
    <x v="3"/>
    <x v="1"/>
    <x v="0"/>
    <x v="0"/>
    <s v="India"/>
    <x v="0"/>
    <x v="10"/>
    <s v="C01990"/>
    <n v="40"/>
    <s v="Other"/>
    <x v="3"/>
    <x v="1"/>
    <x v="3"/>
    <s v="No Meals"/>
    <n v="29607.64"/>
    <n v="4976.42"/>
    <x v="1"/>
    <s v="Pending"/>
    <x v="2"/>
    <x v="28"/>
    <x v="3"/>
    <x v="4"/>
    <x v="0"/>
  </r>
  <r>
    <s v="T001991"/>
    <d v="2028-06-13T00:00:00"/>
    <x v="1"/>
    <x v="1"/>
    <x v="4"/>
    <x v="1"/>
    <s v="India"/>
    <x v="6"/>
    <x v="4"/>
    <s v="C01991"/>
    <n v="54"/>
    <s v="Male"/>
    <x v="5"/>
    <x v="0"/>
    <x v="1"/>
    <s v="Full Board"/>
    <n v="17548.27"/>
    <n v="4745.8900000000003"/>
    <x v="0"/>
    <s v="Pending"/>
    <x v="2"/>
    <x v="5"/>
    <x v="1"/>
    <x v="2"/>
    <x v="1"/>
  </r>
  <r>
    <s v="T001992"/>
    <d v="2028-06-14T00:00:00"/>
    <x v="4"/>
    <x v="3"/>
    <x v="2"/>
    <x v="0"/>
    <s v="India"/>
    <x v="3"/>
    <x v="3"/>
    <s v="C01992"/>
    <n v="58"/>
    <s v="Male"/>
    <x v="5"/>
    <x v="3"/>
    <x v="1"/>
    <s v="No Meals"/>
    <n v="43815.85"/>
    <n v="2992.43"/>
    <x v="0"/>
    <s v="Cancelled"/>
    <x v="2"/>
    <x v="12"/>
    <x v="1"/>
    <x v="1"/>
    <x v="0"/>
  </r>
  <r>
    <s v="T001993"/>
    <d v="2028-06-15T00:00:00"/>
    <x v="2"/>
    <x v="2"/>
    <x v="2"/>
    <x v="0"/>
    <s v="India"/>
    <x v="2"/>
    <x v="9"/>
    <s v="C01993"/>
    <n v="69"/>
    <s v="Male"/>
    <x v="3"/>
    <x v="3"/>
    <x v="1"/>
    <s v="Full Board"/>
    <n v="49373.23"/>
    <n v="689.87"/>
    <x v="3"/>
    <s v="Cancelled"/>
    <x v="3"/>
    <x v="27"/>
    <x v="0"/>
    <x v="3"/>
    <x v="1"/>
  </r>
  <r>
    <s v="T001994"/>
    <d v="2028-06-16T00:00:00"/>
    <x v="0"/>
    <x v="0"/>
    <x v="4"/>
    <x v="1"/>
    <s v="India"/>
    <x v="6"/>
    <x v="11"/>
    <s v="C01994"/>
    <n v="36"/>
    <s v="Other"/>
    <x v="0"/>
    <x v="3"/>
    <x v="2"/>
    <s v="No Meals"/>
    <n v="16445.71"/>
    <n v="1292.98"/>
    <x v="1"/>
    <s v="Pending"/>
    <x v="1"/>
    <x v="25"/>
    <x v="3"/>
    <x v="4"/>
    <x v="0"/>
  </r>
  <r>
    <s v="T001995"/>
    <d v="2028-06-17T00:00:00"/>
    <x v="3"/>
    <x v="1"/>
    <x v="2"/>
    <x v="0"/>
    <s v="India"/>
    <x v="2"/>
    <x v="11"/>
    <s v="C01995"/>
    <n v="62"/>
    <s v="Male"/>
    <x v="2"/>
    <x v="3"/>
    <x v="1"/>
    <s v="No Meals"/>
    <n v="41281.08"/>
    <n v="1818.81"/>
    <x v="2"/>
    <s v="Cancelled"/>
    <x v="3"/>
    <x v="18"/>
    <x v="0"/>
    <x v="0"/>
    <x v="0"/>
  </r>
  <r>
    <s v="T001996"/>
    <d v="2028-06-18T00:00:00"/>
    <x v="4"/>
    <x v="3"/>
    <x v="2"/>
    <x v="0"/>
    <s v="India"/>
    <x v="3"/>
    <x v="0"/>
    <s v="C01996"/>
    <n v="35"/>
    <s v="Female"/>
    <x v="2"/>
    <x v="2"/>
    <x v="0"/>
    <s v="Breakfast Only"/>
    <n v="38757.480000000003"/>
    <n v="4366.0600000000004"/>
    <x v="0"/>
    <s v="Confirmed"/>
    <x v="2"/>
    <x v="29"/>
    <x v="1"/>
    <x v="0"/>
    <x v="0"/>
  </r>
  <r>
    <s v="T001997"/>
    <d v="2028-06-19T00:00:00"/>
    <x v="1"/>
    <x v="1"/>
    <x v="4"/>
    <x v="1"/>
    <s v="India"/>
    <x v="6"/>
    <x v="6"/>
    <s v="C01997"/>
    <n v="66"/>
    <s v="Male"/>
    <x v="6"/>
    <x v="2"/>
    <x v="3"/>
    <s v="Half Board"/>
    <n v="38623.56"/>
    <n v="853.16"/>
    <x v="2"/>
    <s v="Pending"/>
    <x v="2"/>
    <x v="25"/>
    <x v="3"/>
    <x v="3"/>
    <x v="1"/>
  </r>
  <r>
    <s v="T001998"/>
    <d v="2028-06-20T00:00:00"/>
    <x v="4"/>
    <x v="3"/>
    <x v="4"/>
    <x v="1"/>
    <s v="India"/>
    <x v="6"/>
    <x v="2"/>
    <s v="C01998"/>
    <n v="44"/>
    <s v="Female"/>
    <x v="0"/>
    <x v="1"/>
    <x v="2"/>
    <s v="No Meals"/>
    <n v="48075.6"/>
    <n v="1098.73"/>
    <x v="3"/>
    <s v="Pending"/>
    <x v="0"/>
    <x v="29"/>
    <x v="1"/>
    <x v="1"/>
    <x v="1"/>
  </r>
  <r>
    <s v="T001999"/>
    <d v="2028-06-21T00:00:00"/>
    <x v="1"/>
    <x v="1"/>
    <x v="0"/>
    <x v="0"/>
    <s v="India"/>
    <x v="4"/>
    <x v="2"/>
    <s v="C01999"/>
    <n v="23"/>
    <s v="Female"/>
    <x v="3"/>
    <x v="3"/>
    <x v="1"/>
    <s v="Half Board"/>
    <n v="26897.77"/>
    <n v="1746.92"/>
    <x v="2"/>
    <s v="Cancelled"/>
    <x v="0"/>
    <x v="25"/>
    <x v="2"/>
    <x v="4"/>
    <x v="0"/>
  </r>
  <r>
    <s v="T002000"/>
    <d v="2028-06-22T00:00:00"/>
    <x v="2"/>
    <x v="2"/>
    <x v="0"/>
    <x v="0"/>
    <s v="India"/>
    <x v="0"/>
    <x v="11"/>
    <s v="C02000"/>
    <n v="27"/>
    <s v="Female"/>
    <x v="0"/>
    <x v="3"/>
    <x v="0"/>
    <s v="Half Board"/>
    <n v="35337.56"/>
    <n v="4634.55"/>
    <x v="0"/>
    <s v="Confirmed"/>
    <x v="0"/>
    <x v="4"/>
    <x v="0"/>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91771-3F4C-4F45-823A-467D0B64DB8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6:C72" firstHeaderRow="0" firstDataRow="1" firstDataCol="1" rowPageCount="1" colPageCount="1"/>
  <pivotFields count="26">
    <pivotField dataField="1" showAll="0"/>
    <pivotField numFmtId="164" showAll="0"/>
    <pivotField axis="axisPage" showAll="0" sortType="descending">
      <items count="6">
        <item x="4"/>
        <item x="0"/>
        <item x="2"/>
        <item x="3"/>
        <item x="1"/>
        <item t="default"/>
      </items>
      <autoSortScope>
        <pivotArea dataOnly="0" outline="0" fieldPosition="0">
          <references count="1">
            <reference field="4294967294" count="1" selected="0">
              <x v="0"/>
            </reference>
          </references>
        </pivotArea>
      </autoSortScope>
    </pivotField>
    <pivotField showAll="0">
      <items count="5">
        <item x="1"/>
        <item x="3"/>
        <item x="0"/>
        <item x="2"/>
        <item t="default"/>
      </items>
    </pivotField>
    <pivotField axis="axisRow" showAll="0">
      <items count="6">
        <item x="1"/>
        <item x="4"/>
        <item x="2"/>
        <item x="3"/>
        <item x="0"/>
        <item t="default"/>
      </items>
    </pivotField>
    <pivotField showAll="0"/>
    <pivotField showAll="0"/>
    <pivotField showAll="0"/>
    <pivotField showAll="0"/>
    <pivotField showAll="0"/>
    <pivotField showAll="0"/>
    <pivotField showAll="0"/>
    <pivotField showAll="0">
      <items count="8">
        <item x="4"/>
        <item x="0"/>
        <item x="1"/>
        <item x="3"/>
        <item x="6"/>
        <item x="2"/>
        <item x="5"/>
        <item t="default"/>
      </items>
    </pivotField>
    <pivotField showAll="0"/>
    <pivotField showAll="0"/>
    <pivotField showAll="0"/>
    <pivotField numFmtId="165" showAll="0"/>
    <pivotField numFmtId="165" showAll="0"/>
    <pivotField showAll="0"/>
    <pivotField showAll="0"/>
    <pivotField showAll="0">
      <items count="5">
        <item x="1"/>
        <item x="0"/>
        <item x="2"/>
        <item x="3"/>
        <item t="default"/>
      </items>
    </pivotField>
    <pivotField showAll="0"/>
    <pivotField showAll="0">
      <items count="6">
        <item x="0"/>
        <item x="4"/>
        <item x="3"/>
        <item x="2"/>
        <item x="1"/>
        <item t="default"/>
      </items>
    </pivotField>
    <pivotField showAll="0"/>
    <pivotField showAll="0"/>
    <pivotField dataField="1" dragToRow="0" dragToCol="0" dragToPage="0" showAll="0" defaultSubtotal="0"/>
  </pivotFields>
  <rowFields count="1">
    <field x="4"/>
  </rowFields>
  <rowItems count="6">
    <i>
      <x/>
    </i>
    <i>
      <x v="1"/>
    </i>
    <i>
      <x v="2"/>
    </i>
    <i>
      <x v="3"/>
    </i>
    <i>
      <x v="4"/>
    </i>
    <i t="grand">
      <x/>
    </i>
  </rowItems>
  <colFields count="1">
    <field x="-2"/>
  </colFields>
  <colItems count="2">
    <i>
      <x/>
    </i>
    <i i="1">
      <x v="1"/>
    </i>
  </colItems>
  <pageFields count="1">
    <pageField fld="2" item="0" hier="-1"/>
  </pageFields>
  <dataFields count="2">
    <dataField name="Count of Tour_ID" fld="0" subtotal="count" baseField="0" baseItem="0"/>
    <dataField name="Sum of Revenue" fld="25"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31820E-C91F-4520-89B0-3C01606D05E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1:C46" firstHeaderRow="0" firstDataRow="1" firstDataCol="1"/>
  <pivotFields count="26">
    <pivotField showAll="0"/>
    <pivotField numFmtId="164" showAll="0"/>
    <pivotField showAll="0"/>
    <pivotField showAll="0"/>
    <pivotField showAll="0">
      <items count="6">
        <item x="1"/>
        <item x="4"/>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5" showAll="0"/>
    <pivotField dataField="1" numFmtId="165" showAll="0"/>
    <pivotField showAll="0"/>
    <pivotField showAll="0"/>
    <pivotField axis="axisRow" showAll="0">
      <items count="5">
        <item x="1"/>
        <item x="0"/>
        <item x="2"/>
        <item x="3"/>
        <item t="default"/>
      </items>
    </pivotField>
    <pivotField showAll="0"/>
    <pivotField showAll="0">
      <items count="6">
        <item x="0"/>
        <item x="4"/>
        <item x="3"/>
        <item x="2"/>
        <item x="1"/>
        <item t="default"/>
      </items>
    </pivotField>
    <pivotField showAll="0"/>
    <pivotField showAll="0"/>
    <pivotField dragToRow="0" dragToCol="0" dragToPage="0" showAll="0" defaultSubtotal="0"/>
  </pivotFields>
  <rowFields count="1">
    <field x="20"/>
  </rowFields>
  <rowItems count="5">
    <i>
      <x/>
    </i>
    <i>
      <x v="1"/>
    </i>
    <i>
      <x v="2"/>
    </i>
    <i>
      <x v="3"/>
    </i>
    <i t="grand">
      <x/>
    </i>
  </rowItems>
  <colFields count="1">
    <field x="-2"/>
  </colFields>
  <colItems count="2">
    <i>
      <x/>
    </i>
    <i i="1">
      <x v="1"/>
    </i>
  </colItems>
  <dataFields count="2">
    <dataField name="Sum of Tour_Cost" fld="16" baseField="0" baseItem="0" numFmtId="165"/>
    <dataField name="Sum of Discount_Applied"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0436EE-8E63-42CE-8D68-8DE456ACBDD4}" name="PivotTable3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4:B150" firstHeaderRow="1" firstDataRow="1" firstDataCol="1"/>
  <pivotFields count="26">
    <pivotField dataField="1" showAll="0"/>
    <pivotField numFmtId="164" showAll="0"/>
    <pivotField showAll="0"/>
    <pivotField showAll="0"/>
    <pivotField axis="axisRow" showAll="0">
      <items count="6">
        <item x="1"/>
        <item x="4"/>
        <item x="2"/>
        <item x="3"/>
        <item x="0"/>
        <item t="default"/>
      </items>
    </pivotField>
    <pivotField showAll="0"/>
    <pivotField showAll="0"/>
    <pivotField showAll="0">
      <items count="8">
        <item x="4"/>
        <item x="5"/>
        <item x="3"/>
        <item x="6"/>
        <item x="1"/>
        <item x="2"/>
        <item x="0"/>
        <item t="default"/>
      </items>
    </pivotField>
    <pivotField showAll="0">
      <items count="13">
        <item x="3"/>
        <item x="5"/>
        <item x="10"/>
        <item x="9"/>
        <item x="8"/>
        <item x="1"/>
        <item x="7"/>
        <item x="11"/>
        <item x="4"/>
        <item x="0"/>
        <item x="2"/>
        <item x="6"/>
        <item t="default"/>
      </items>
    </pivotField>
    <pivotField showAll="0"/>
    <pivotField showAll="0"/>
    <pivotField showAll="0"/>
    <pivotField showAll="0"/>
    <pivotField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 showAll="0"/>
    <pivotField numFmtId="165" showAll="0"/>
    <pivotField numFmtId="165" showAll="0"/>
    <pivotField showAll="0"/>
    <pivotField showAll="0"/>
    <pivotField showAll="0">
      <items count="5">
        <item x="1"/>
        <item x="0"/>
        <item x="2"/>
        <item x="3"/>
        <item t="default"/>
      </items>
    </pivotField>
    <pivotField showAll="0"/>
    <pivotField showAll="0"/>
    <pivotField showAll="0">
      <items count="6">
        <item x="3"/>
        <item x="1"/>
        <item x="0"/>
        <item x="4"/>
        <item x="2"/>
        <item t="default"/>
      </items>
    </pivotField>
    <pivotField showAll="0">
      <items count="3">
        <item x="1"/>
        <item h="1" x="0"/>
        <item t="default"/>
      </items>
    </pivotField>
    <pivotField dragToRow="0" dragToCol="0" dragToPage="0" showAll="0" defaultSubtotal="0"/>
  </pivotFields>
  <rowFields count="1">
    <field x="4"/>
  </rowFields>
  <rowItems count="6">
    <i>
      <x/>
    </i>
    <i>
      <x v="1"/>
    </i>
    <i>
      <x v="2"/>
    </i>
    <i>
      <x v="3"/>
    </i>
    <i>
      <x v="4"/>
    </i>
    <i t="grand">
      <x/>
    </i>
  </rowItems>
  <colItems count="1">
    <i/>
  </colItems>
  <dataFields count="1">
    <dataField name="Count of Tou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41B2BC-A1FD-451B-8EB6-56D5F903CA3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2:B127" firstHeaderRow="1" firstDataRow="1" firstDataCol="1"/>
  <pivotFields count="26">
    <pivotField dataField="1" showAll="0"/>
    <pivotField numFmtId="164" showAll="0"/>
    <pivotField showAll="0"/>
    <pivotField showAll="0"/>
    <pivotField showAll="0">
      <items count="6">
        <item x="1"/>
        <item x="4"/>
        <item x="2"/>
        <item x="3"/>
        <item x="0"/>
        <item t="default"/>
      </items>
    </pivotField>
    <pivotField showAll="0"/>
    <pivotField showAll="0"/>
    <pivotField showAll="0">
      <items count="8">
        <item x="4"/>
        <item x="5"/>
        <item x="3"/>
        <item x="6"/>
        <item x="1"/>
        <item x="2"/>
        <item x="0"/>
        <item t="default"/>
      </items>
    </pivotField>
    <pivotField showAll="0">
      <items count="13">
        <item x="3"/>
        <item x="5"/>
        <item x="10"/>
        <item x="9"/>
        <item x="8"/>
        <item x="1"/>
        <item x="7"/>
        <item x="11"/>
        <item x="4"/>
        <item x="0"/>
        <item x="2"/>
        <item x="6"/>
        <item t="default"/>
      </items>
    </pivotField>
    <pivotField showAll="0"/>
    <pivotField showAll="0"/>
    <pivotField showAll="0"/>
    <pivotField showAll="0"/>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 showAll="0"/>
    <pivotField numFmtId="165" showAll="0"/>
    <pivotField numFmtId="165" showAll="0"/>
    <pivotField showAll="0"/>
    <pivotField showAll="0"/>
    <pivotField showAll="0">
      <items count="5">
        <item x="1"/>
        <item x="0"/>
        <item x="2"/>
        <item x="3"/>
        <item t="default"/>
      </items>
    </pivotField>
    <pivotField showAll="0"/>
    <pivotField showAll="0"/>
    <pivotField showAll="0">
      <items count="6">
        <item x="3"/>
        <item x="1"/>
        <item x="0"/>
        <item x="4"/>
        <item x="2"/>
        <item t="default"/>
      </items>
    </pivotField>
    <pivotField showAll="0">
      <items count="3">
        <item x="1"/>
        <item h="1" x="0"/>
        <item t="default"/>
      </items>
    </pivotField>
    <pivotField dragToRow="0" dragToCol="0" dragToPage="0" showAll="0" defaultSubtotal="0"/>
  </pivotFields>
  <rowFields count="1">
    <field x="13"/>
  </rowFields>
  <rowItems count="5">
    <i>
      <x v="3"/>
    </i>
    <i>
      <x v="2"/>
    </i>
    <i>
      <x/>
    </i>
    <i>
      <x v="1"/>
    </i>
    <i t="grand">
      <x/>
    </i>
  </rowItems>
  <colItems count="1">
    <i/>
  </colItems>
  <dataFields count="1">
    <dataField name="Count of Tou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C276D38-6E1D-4505-B73C-9513BA32B4F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8:B22" firstHeaderRow="1" firstDataRow="1" firstDataCol="1"/>
  <pivotFields count="26">
    <pivotField dataField="1" showAll="0"/>
    <pivotField numFmtId="164" showAll="0"/>
    <pivotField showAll="0"/>
    <pivotField showAll="0">
      <items count="5">
        <item x="1"/>
        <item x="3"/>
        <item x="0"/>
        <item x="2"/>
        <item t="default"/>
      </items>
    </pivotField>
    <pivotField axis="axisRow" showAll="0" measureFilter="1" sortType="descending">
      <items count="6">
        <item x="1"/>
        <item x="4"/>
        <item x="2"/>
        <item x="3"/>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items count="5">
        <item x="1"/>
        <item x="0"/>
        <item x="2"/>
        <item x="3"/>
        <item t="default"/>
      </items>
    </pivotField>
    <pivotField showAll="0"/>
    <pivotField numFmtId="165" showAll="0"/>
    <pivotField numFmtId="165" showAll="0"/>
    <pivotField showAll="0">
      <items count="5">
        <item x="2"/>
        <item x="0"/>
        <item x="3"/>
        <item x="1"/>
        <item t="default"/>
      </items>
    </pivotField>
    <pivotField showAll="0"/>
    <pivotField showAll="0">
      <items count="5">
        <item h="1" x="1"/>
        <item h="1" x="0"/>
        <item h="1" x="2"/>
        <item x="3"/>
        <item t="default"/>
      </items>
    </pivotField>
    <pivotField showAll="0">
      <items count="42">
        <item x="31"/>
        <item x="17"/>
        <item x="12"/>
        <item x="23"/>
        <item x="5"/>
        <item x="34"/>
        <item x="14"/>
        <item x="10"/>
        <item x="1"/>
        <item x="29"/>
        <item x="0"/>
        <item x="24"/>
        <item x="20"/>
        <item x="27"/>
        <item x="13"/>
        <item x="39"/>
        <item x="38"/>
        <item x="30"/>
        <item x="4"/>
        <item x="18"/>
        <item x="26"/>
        <item x="21"/>
        <item x="11"/>
        <item x="8"/>
        <item x="15"/>
        <item x="3"/>
        <item x="28"/>
        <item x="2"/>
        <item x="35"/>
        <item x="37"/>
        <item x="40"/>
        <item x="6"/>
        <item x="19"/>
        <item x="25"/>
        <item x="7"/>
        <item x="32"/>
        <item x="16"/>
        <item x="9"/>
        <item x="33"/>
        <item x="36"/>
        <item x="22"/>
        <item t="default"/>
      </items>
    </pivotField>
    <pivotField showAll="0">
      <items count="6">
        <item x="0"/>
        <item x="4"/>
        <item x="3"/>
        <item x="2"/>
        <item x="1"/>
        <item t="default"/>
      </items>
    </pivotField>
    <pivotField showAll="0"/>
    <pivotField showAll="0"/>
    <pivotField dragToRow="0" dragToCol="0" dragToPage="0" showAll="0" defaultSubtotal="0"/>
  </pivotFields>
  <rowFields count="1">
    <field x="4"/>
  </rowFields>
  <rowItems count="4">
    <i>
      <x/>
    </i>
    <i>
      <x v="4"/>
    </i>
    <i>
      <x v="2"/>
    </i>
    <i t="grand">
      <x/>
    </i>
  </rowItems>
  <colItems count="1">
    <i/>
  </colItems>
  <dataFields count="1">
    <dataField name="Count of Tour_ID" fld="0" subtotal="count" baseField="0" baseItem="0"/>
  </dataFields>
  <pivotTableStyleInfo name="PivotStyleLight16" showRowHeaders="1" showColHeaders="1" showRowStripes="0" showColStripes="0" showLastColumn="1"/>
  <filters count="1">
    <filter fld="4"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1EA544-F201-41A2-8D3E-9267A2DA03C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5:B113" firstHeaderRow="1" firstDataRow="1" firstDataCol="1"/>
  <pivotFields count="26">
    <pivotField showAll="0"/>
    <pivotField numFmtId="164" showAll="0"/>
    <pivotField showAll="0"/>
    <pivotField showAll="0"/>
    <pivotField showAll="0">
      <items count="6">
        <item x="1"/>
        <item x="4"/>
        <item x="2"/>
        <item x="3"/>
        <item x="0"/>
        <item t="default"/>
      </items>
    </pivotField>
    <pivotField showAll="0"/>
    <pivotField showAll="0"/>
    <pivotField axis="axisRow" showAll="0" sortType="ascending">
      <items count="8">
        <item x="4"/>
        <item x="5"/>
        <item x="3"/>
        <item x="6"/>
        <item x="1"/>
        <item x="2"/>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items count="8">
        <item x="4"/>
        <item x="0"/>
        <item x="1"/>
        <item x="3"/>
        <item x="6"/>
        <item x="2"/>
        <item x="5"/>
        <item t="default"/>
      </items>
    </pivotField>
    <pivotField showAll="0"/>
    <pivotField showAll="0">
      <items count="5">
        <item x="1"/>
        <item x="0"/>
        <item x="2"/>
        <item x="3"/>
        <item t="default"/>
      </items>
    </pivotField>
    <pivotField showAll="0"/>
    <pivotField numFmtId="165" showAll="0"/>
    <pivotField numFmtId="165" showAll="0"/>
    <pivotField showAll="0"/>
    <pivotField showAll="0"/>
    <pivotField showAll="0">
      <items count="5">
        <item x="1"/>
        <item x="0"/>
        <item x="2"/>
        <item x="3"/>
        <item t="default"/>
      </items>
    </pivotField>
    <pivotField showAll="0"/>
    <pivotField showAll="0"/>
    <pivotField showAll="0">
      <items count="6">
        <item x="3"/>
        <item x="1"/>
        <item x="0"/>
        <item x="4"/>
        <item x="2"/>
        <item t="default"/>
      </items>
    </pivotField>
    <pivotField showAll="0">
      <items count="3">
        <item x="1"/>
        <item h="1" x="0"/>
        <item t="default"/>
      </items>
    </pivotField>
    <pivotField dragToRow="0" dragToCol="0" dragToPage="0" showAll="0" defaultSubtotal="0"/>
  </pivotFields>
  <rowFields count="1">
    <field x="7"/>
  </rowFields>
  <rowItems count="8">
    <i>
      <x v="2"/>
    </i>
    <i>
      <x v="6"/>
    </i>
    <i>
      <x v="5"/>
    </i>
    <i>
      <x/>
    </i>
    <i>
      <x v="3"/>
    </i>
    <i>
      <x v="1"/>
    </i>
    <i>
      <x v="4"/>
    </i>
    <i t="grand">
      <x/>
    </i>
  </rowItems>
  <colItems count="1">
    <i/>
  </colItems>
  <dataFields count="1">
    <dataField name="Sum of Duration_Day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B0B9A5-AA9B-460E-92B9-54DD27020D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4" firstHeaderRow="0" firstDataRow="1" firstDataCol="0"/>
  <pivotFields count="26">
    <pivotField dataField="1" showAll="0"/>
    <pivotField numFmtId="164" showAll="0"/>
    <pivotField showAll="0"/>
    <pivotField showAll="0">
      <items count="5">
        <item x="1"/>
        <item x="3"/>
        <item x="0"/>
        <item x="2"/>
        <item t="default"/>
      </items>
    </pivotField>
    <pivotField showAll="0"/>
    <pivotField showAll="0">
      <items count="3">
        <item x="0"/>
        <item x="1"/>
        <item t="default"/>
      </items>
    </pivotField>
    <pivotField showAll="0"/>
    <pivotField showAll="0"/>
    <pivotField showAll="0"/>
    <pivotField showAll="0"/>
    <pivotField showAll="0"/>
    <pivotField showAll="0"/>
    <pivotField dataField="1" showAll="0"/>
    <pivotField showAll="0"/>
    <pivotField showAll="0"/>
    <pivotField showAll="0"/>
    <pivotField dataField="1" numFmtId="165" showAll="0"/>
    <pivotField dataField="1" numFmtId="165" showAll="0"/>
    <pivotField showAll="0"/>
    <pivotField showAll="0"/>
    <pivotField showAll="0"/>
    <pivotField showAll="0"/>
    <pivotField showAll="0"/>
    <pivotField showAll="0"/>
    <pivotField showAll="0"/>
    <pivotField dataField="1" dragToRow="0" dragToCol="0" dragToPage="0" showAll="0" defaultSubtotal="0"/>
  </pivotFields>
  <rowItems count="1">
    <i/>
  </rowItems>
  <colFields count="1">
    <field x="-2"/>
  </colFields>
  <colItems count="5">
    <i>
      <x/>
    </i>
    <i i="1">
      <x v="1"/>
    </i>
    <i i="2">
      <x v="2"/>
    </i>
    <i i="3">
      <x v="3"/>
    </i>
    <i i="4">
      <x v="4"/>
    </i>
  </colItems>
  <dataFields count="5">
    <dataField name="Count of Tour_ID" fld="0" subtotal="count" baseField="0" baseItem="0"/>
    <dataField name="Sum of Group_Size" fld="12" baseField="0" baseItem="0"/>
    <dataField name="Sum of Tour_Cost" fld="16" baseField="0" baseItem="0" numFmtId="165"/>
    <dataField name="Sum of Discount_Applied" fld="17" baseField="0" baseItem="0" numFmtId="165"/>
    <dataField name="Sum of Revenue" fld="25"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8264801-A06E-4985-BD81-08185B81030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0:B96" firstHeaderRow="1" firstDataRow="1" firstDataCol="1"/>
  <pivotFields count="26">
    <pivotField dataField="1" showAll="0"/>
    <pivotField numFmtId="164" showAll="0"/>
    <pivotField showAll="0"/>
    <pivotField showAll="0"/>
    <pivotField showAll="0">
      <items count="6">
        <item x="1"/>
        <item x="4"/>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numFmtId="165" showAll="0"/>
    <pivotField showAll="0"/>
    <pivotField showAll="0"/>
    <pivotField showAll="0">
      <items count="5">
        <item x="1"/>
        <item x="0"/>
        <item x="2"/>
        <item x="3"/>
        <item t="default"/>
      </items>
    </pivotField>
    <pivotField showAll="0"/>
    <pivotField showAll="0">
      <items count="6">
        <item x="0"/>
        <item x="4"/>
        <item x="3"/>
        <item x="2"/>
        <item x="1"/>
        <item t="default"/>
      </items>
    </pivotField>
    <pivotField axis="axisRow" showAll="0">
      <items count="6">
        <item x="3"/>
        <item x="1"/>
        <item x="0"/>
        <item x="4"/>
        <item x="2"/>
        <item t="default"/>
      </items>
    </pivotField>
    <pivotField showAll="0">
      <items count="3">
        <item x="1"/>
        <item x="0"/>
        <item t="default"/>
      </items>
    </pivotField>
    <pivotField dragToRow="0" dragToCol="0" dragToPage="0" showAll="0" defaultSubtotal="0"/>
  </pivotFields>
  <rowFields count="1">
    <field x="23"/>
  </rowFields>
  <rowItems count="6">
    <i>
      <x/>
    </i>
    <i>
      <x v="1"/>
    </i>
    <i>
      <x v="2"/>
    </i>
    <i>
      <x v="3"/>
    </i>
    <i>
      <x v="4"/>
    </i>
    <i t="grand">
      <x/>
    </i>
  </rowItems>
  <colItems count="1">
    <i/>
  </colItems>
  <dataFields count="1">
    <dataField name="Count of Tou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ur_Type" xr10:uid="{4594F8F0-47DE-4B31-B66B-EDA5C3884A27}" sourceName="Tour_Type">
  <pivotTables>
    <pivotTable tabId="3" name="PivotTable1"/>
  </pivotTables>
  <data>
    <tabular pivotCacheId="1234058514">
      <items count="4">
        <i x="1" s="1"/>
        <i x="3"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E7AC47-9D42-4918-BF42-B42031339BAA}" sourceName="Region">
  <pivotTables>
    <pivotTable tabId="3" name="PivotTable1"/>
  </pivotTables>
  <data>
    <tabular pivotCacheId="1234058514">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mmodation_Type" xr10:uid="{56B5F4AD-A4E2-48E7-88E1-9670973D2133}" sourceName="Accommodation_Type">
  <pivotTables>
    <pivotTable tabId="3" name="PivotTable2"/>
  </pivotTables>
  <data>
    <tabular pivotCacheId="1234058514">
      <items count="4">
        <i x="1" s="1"/>
        <i x="0"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 xr10:uid="{5A19ADC5-760C-4048-9791-3D91CA9BDB71}" sourceName="Destination">
  <pivotTables>
    <pivotTable tabId="3" name="PivotTable3"/>
  </pivotTables>
  <data>
    <tabular pivotCacheId="1234058514">
      <items count="5">
        <i x="1" s="1"/>
        <i x="4" s="1"/>
        <i x="2"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3CB9D1DB-F1F8-43E4-8DB5-664E55C0A9D6}" sourceName="Rating">
  <pivotTables>
    <pivotTable tabId="3" name="PivotTable2"/>
  </pivotTables>
  <data>
    <tabular pivotCacheId="1234058514" sortOrder="descending">
      <items count="41">
        <i x="22" s="1"/>
        <i x="36" s="1"/>
        <i x="33" s="1"/>
        <i x="9" s="1"/>
        <i x="16" s="1"/>
        <i x="32" s="1"/>
        <i x="7" s="1"/>
        <i x="25" s="1"/>
        <i x="19" s="1"/>
        <i x="6" s="1"/>
        <i x="40" s="1"/>
        <i x="37" s="1"/>
        <i x="35" s="1"/>
        <i x="2" s="1"/>
        <i x="28" s="1"/>
        <i x="3" s="1"/>
        <i x="15" s="1"/>
        <i x="8" s="1"/>
        <i x="11" s="1"/>
        <i x="21" s="1"/>
        <i x="26" s="1"/>
        <i x="18" s="1"/>
        <i x="4" s="1"/>
        <i x="30" s="1"/>
        <i x="38" s="1"/>
        <i x="39" s="1"/>
        <i x="13" s="1"/>
        <i x="27" s="1"/>
        <i x="20" s="1"/>
        <i x="24" s="1"/>
        <i x="0" s="1"/>
        <i x="29" s="1"/>
        <i x="1" s="1"/>
        <i x="10" s="1"/>
        <i x="14" s="1"/>
        <i x="34" s="1"/>
        <i x="5" s="1"/>
        <i x="23" s="1"/>
        <i x="12" s="1"/>
        <i x="17" s="1"/>
        <i x="3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edback" xr10:uid="{429DF600-7FCD-4340-AE63-F8EF8B03F021}" sourceName="Feedback">
  <pivotTables>
    <pivotTable tabId="3" name="PivotTable3"/>
  </pivotTables>
  <data>
    <tabular pivotCacheId="1234058514">
      <items count="5">
        <i x="0" s="1"/>
        <i x="4" s="1"/>
        <i x="3"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edback1" xr10:uid="{9656B304-ABC0-4403-B349-645A84182ED0}" sourceName="Feedback">
  <pivotTables>
    <pivotTable tabId="3" name="PivotTable4"/>
  </pivotTables>
  <data>
    <tabular pivotCacheId="1234058514">
      <items count="5">
        <i x="0" s="1"/>
        <i x="4" s="1"/>
        <i x="3" s="1"/>
        <i x="2"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Size" xr10:uid="{2944BF4D-39D7-4946-916E-F55D281C165B}" sourceName="Group_Size">
  <pivotTables>
    <pivotTable tabId="3" name="PivotTable4"/>
  </pivotTables>
  <data>
    <tabular pivotCacheId="1234058514">
      <items count="7">
        <i x="4" s="1"/>
        <i x="0" s="1"/>
        <i x="1" s="1"/>
        <i x="3" s="1"/>
        <i x="6" s="1"/>
        <i x="2" s="1"/>
        <i x="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edback2" xr10:uid="{DABADF70-42EC-42E9-852E-2B0BF62AF6C1}" sourceName="Feedback">
  <pivotTables>
    <pivotTable tabId="3" name="PivotTable5"/>
  </pivotTables>
  <data>
    <tabular pivotCacheId="1234058514">
      <items count="5">
        <i x="0" s="1"/>
        <i x="4" s="1"/>
        <i x="3" s="1"/>
        <i x="2"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booked" xr10:uid="{F1B8AF90-ACE6-4138-8A6F-A5AD4F058DA9}" sourceName="Rebooked">
  <pivotTables>
    <pivotTable tabId="3" name="PivotTable5"/>
  </pivotTables>
  <data>
    <tabular pivotCacheId="1234058514">
      <items count="2">
        <i x="1"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Size1" xr10:uid="{6241ACA1-D53B-4368-BC43-3D1A72303165}" sourceName="Group_Size">
  <pivotTables>
    <pivotTable tabId="3" name="PivotTable7"/>
  </pivotTables>
  <data>
    <tabular pivotCacheId="1234058514">
      <items count="7">
        <i x="4" s="1"/>
        <i x="0" s="1"/>
        <i x="1" s="1"/>
        <i x="3" s="1"/>
        <i x="6" s="1"/>
        <i x="2" s="1"/>
        <i x="5"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mmodation_Type1" xr10:uid="{E40DA9F7-EDB0-4244-9360-40C8F5F01FC0}" sourceName="Accommodation_Type">
  <pivotTables>
    <pivotTable tabId="3" name="PivotTable7"/>
  </pivotTables>
  <data>
    <tabular pivotCacheId="1234058514">
      <items count="4">
        <i x="1" s="1"/>
        <i x="0" s="1"/>
        <i x="2" s="1"/>
        <i x="3"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1" xr10:uid="{0D59F837-CF86-49D1-BCCA-83533B3B803C}" sourceName="Destination">
  <pivotTables>
    <pivotTable tabId="3" name="PivotTable8"/>
  </pivotTables>
  <data>
    <tabular pivotCacheId="1234058514">
      <items count="5">
        <i x="1" s="1"/>
        <i x="4"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ur_Type" xr10:uid="{4E35E585-8D1E-401C-9364-0A84F903CC9D}" cache="Slicer_Tour_Type" caption="Tour_Type" rowHeight="234950"/>
  <slicer name="Region" xr10:uid="{1707868F-7203-459D-91CC-8DDDF0077842}" cache="Slicer_Region" caption="Region" rowHeight="234950"/>
  <slicer name="Accommodation_Type" xr10:uid="{DE30E20E-F0CC-45BA-8F98-C9940BB72654}" cache="Slicer_Accommodation_Type" caption="Accommodation_Type" rowHeight="234950"/>
  <slicer name="Destination" xr10:uid="{887BD8BA-EBE7-4BCB-90EF-558CC08ED29E}" cache="Slicer_Destination" caption="Destination" rowHeight="234950"/>
  <slicer name="Rating" xr10:uid="{C3990BCC-9711-4888-B1F2-E8A7D52286F5}" cache="Slicer_Rating" caption="Rating" rowHeight="234950"/>
  <slicer name="Feedback" xr10:uid="{62F732F5-751A-44FD-85F9-B59CBA37A6DD}" cache="Slicer_Feedback" caption="Feedback" rowHeight="234950"/>
  <slicer name="Feedback 1" xr10:uid="{5A9526F8-7E76-4821-B0C2-BF9C2A6575D9}" cache="Slicer_Feedback1" caption="Feedback" rowHeight="234950"/>
  <slicer name="Group_Size" xr10:uid="{4086D81B-C650-464E-ACF1-AAD0E61CD58F}" cache="Slicer_Group_Size" caption="Group_Size" rowHeight="234950"/>
  <slicer name="Feedback 2" xr10:uid="{B20E1DFE-0F38-4DFA-A60F-494873C3EEEC}" cache="Slicer_Feedback2" caption="Feedback" rowHeight="234950"/>
  <slicer name="Rebooked" xr10:uid="{77B2A6C0-3559-4B7F-A7E0-9352FA9AD22A}" cache="Slicer_Rebooked" caption="Rebooked" rowHeight="234950"/>
  <slicer name="Group_Size 1" xr10:uid="{FD86BE33-D337-40E2-A4AC-73E154B863EF}" cache="Slicer_Group_Size1" caption="Group_Size" rowHeight="234950"/>
  <slicer name="Accommodation_Type 1" xr10:uid="{E89D21B3-C5DB-4DAF-B9A5-E474702A0A8F}" cache="Slicer_Accommodation_Type1" caption="Accommodation_Type" rowHeight="234950"/>
  <slicer name="Destination 1" xr10:uid="{73730526-AC92-4C70-A441-3E8D948E884D}" cache="Slicer_Destination1" caption="Destinat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ur_Type 1" xr10:uid="{0A21EA82-5151-4E87-A586-A415C44A06ED}" cache="Slicer_Tour_Type" caption="Tour_Type" style="Slicer Style 2" rowHeight="234950"/>
  <slicer name="Region 1" xr10:uid="{167A5E25-D1DA-45E5-B82E-551D3FA0AD5C}" cache="Slicer_Region" caption="Region" style="Slicer Style 2" rowHeight="234950"/>
  <slicer name="Accommodation_Type 3" xr10:uid="{65B70482-4CF6-4E29-ACC6-A9900E9B12BE}" cache="Slicer_Accommodation_Type" caption="Accommodation_Type" style="Slicer Style 2" rowHeight="234950"/>
  <slicer name="Destination 2" xr10:uid="{8C257435-36C3-45F9-8A90-AF7964A09E02}" cache="Slicer_Destination" caption="Destination" style="Slicer Style 2" rowHeight="234950"/>
  <slicer name="Rating 1" xr10:uid="{FCE4DF4A-282A-4E9E-AD55-2069F23825A3}" cache="Slicer_Rating" caption="Rating" style="Slicer Style 2" rowHeight="234950"/>
  <slicer name="Feedback 3" xr10:uid="{F67626E4-C37E-473D-BECE-405D4948001B}" cache="Slicer_Feedback" caption="Feedback" style="Slicer Style 2" rowHeight="234950"/>
  <slicer name="Feedback 5" xr10:uid="{F79B196E-133F-4903-83AF-5DE02A888EFE}" cache="Slicer_Feedback1" caption="Feedback" style="Slicer Style 2" rowHeight="234950"/>
  <slicer name="Group_Size 3" xr10:uid="{F5A325D0-D831-4088-99C7-3886E778937E}" cache="Slicer_Group_Size" caption="Group_Size" style="Slicer Style 2" rowHeight="234950"/>
  <slicer name="Feedback 4" xr10:uid="{B6969C48-ABAD-47A5-A39D-3A0AC97F53F1}" cache="Slicer_Feedback2" caption="Feedback" style="Slicer Style 2" rowHeight="234950"/>
  <slicer name="Rebooked 1" xr10:uid="{261B4DFD-57AA-4B2E-88EA-275FDDAEDE60}" cache="Slicer_Rebooked" caption="Rebooked" style="Slicer Style 2" rowHeight="234950"/>
  <slicer name="Group_Size 2" xr10:uid="{19526A54-37AB-4585-B8BE-EDF392F13FA9}" cache="Slicer_Group_Size1" caption="Group_Size" style="Slicer Style 2" rowHeight="234950"/>
  <slicer name="Accommodation_Type 2" xr10:uid="{F9FBA610-1CD2-4A80-9B9E-B73123CFA214}" cache="Slicer_Accommodation_Type1" caption="Accommodation_Type" style="Slicer Style 2" rowHeight="234950"/>
  <slicer name="Destination 3" xr10:uid="{CE6BE9AC-94BA-4D88-BCDF-57ECCF7B96EA}" cache="Slicer_Destination1" caption="Destination"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573F23-0942-49AA-ADF0-2E402EF9E1D4}" name="Table1" displayName="Table1" ref="A2:Y2002" totalsRowShown="0">
  <autoFilter ref="A2:Y2002" xr:uid="{8EA7B288-17D7-4551-BC7A-660E365B2787}"/>
  <tableColumns count="25">
    <tableColumn id="1" xr3:uid="{1DEAAF39-7DC3-41F9-B2AA-E2E37B6510FB}" name="Tour_ID"/>
    <tableColumn id="2" xr3:uid="{C0915ADD-1439-4503-AF46-578EEF4B99E9}" name="Date" dataDxfId="2"/>
    <tableColumn id="3" xr3:uid="{5B1F3947-6015-4797-AE6F-1CBC37DB55FE}" name="Package_Name"/>
    <tableColumn id="4" xr3:uid="{88501610-CA38-48AC-9122-A10B90EF33E4}" name="Tour_Type"/>
    <tableColumn id="5" xr3:uid="{763BA28B-9CA4-4DA6-A0E4-A27ABEBCA50D}" name="Destination"/>
    <tableColumn id="6" xr3:uid="{0D3A8227-33F1-498E-9302-39D995E01455}" name="Region"/>
    <tableColumn id="7" xr3:uid="{AC5F316E-E756-48CB-AD99-394A175EE953}" name="Country"/>
    <tableColumn id="8" xr3:uid="{C417629D-BC7E-4EE5-8088-1CB695E33D3A}" name="City"/>
    <tableColumn id="9" xr3:uid="{9C37E919-2586-4301-8907-0D1FE2903BC0}" name="Duration_Days"/>
    <tableColumn id="10" xr3:uid="{8143AFCF-5630-4830-A758-8F529805486D}" name="Customer_ID"/>
    <tableColumn id="11" xr3:uid="{15953950-D35C-43AF-AE59-EABF4A13AD95}" name="Customer_Age"/>
    <tableColumn id="12" xr3:uid="{4620D1B7-3665-45C3-BB43-977BFA31F866}" name="Gender"/>
    <tableColumn id="13" xr3:uid="{684478D9-6775-450E-A10C-0AC1DD6D4BE5}" name="Group_Size"/>
    <tableColumn id="14" xr3:uid="{17D04CA1-3C90-4EB8-A267-32AC98E06CD9}" name="Travel_Mode"/>
    <tableColumn id="15" xr3:uid="{85B21C44-5FD2-432E-84E4-30CE2ED33EC1}" name="Accommodation_Type"/>
    <tableColumn id="16" xr3:uid="{7DA8AAC5-E071-49E3-A896-4C97565E1B37}" name="Meal_Plan"/>
    <tableColumn id="17" xr3:uid="{B5A600BB-29BB-430F-998D-A3A7A39E5560}" name="Tour_Cost" dataDxfId="1"/>
    <tableColumn id="18" xr3:uid="{D3FD3515-DC55-4670-8D22-F10EAE6CA3F4}" name="Discount_Applied" dataDxfId="0"/>
    <tableColumn id="19" xr3:uid="{7F3393A9-9EF7-4284-A1FA-006E338A157F}" name="Booking_Source"/>
    <tableColumn id="20" xr3:uid="{71A55D3D-8921-49B6-AAB5-2DA0C45422F0}" name="Booking_Status"/>
    <tableColumn id="21" xr3:uid="{92C64D20-FB9C-4577-8BAD-1E04268CA99F}" name="Season"/>
    <tableColumn id="22" xr3:uid="{16FA122D-D260-4641-A6C9-D3CC14014299}" name="Rating"/>
    <tableColumn id="23" xr3:uid="{5BF45687-6340-463B-907A-7605DCE48811}" name="Feedback"/>
    <tableColumn id="24" xr3:uid="{02BB1B91-0C84-4526-96A1-86EB05C9E2E3}" name="Tour_Guide_Name"/>
    <tableColumn id="25" xr3:uid="{6FEE6F6C-E087-471E-8775-7A3C618A783F}" name="Rebooked"/>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7B288-17D7-4551-BC7A-660E365B2787}">
  <dimension ref="A1:Y2002"/>
  <sheetViews>
    <sheetView topLeftCell="O1" zoomScale="33" zoomScaleNormal="63" workbookViewId="0">
      <selection activeCell="AA41" sqref="AA41"/>
    </sheetView>
  </sheetViews>
  <sheetFormatPr defaultRowHeight="14.4" x14ac:dyDescent="0.3"/>
  <cols>
    <col min="1" max="1" width="14.21875" bestFit="1" customWidth="1"/>
    <col min="2" max="2" width="12.77734375" bestFit="1" customWidth="1"/>
    <col min="3" max="3" width="23.109375" bestFit="1" customWidth="1"/>
    <col min="4" max="4" width="17.33203125" bestFit="1" customWidth="1"/>
    <col min="5" max="5" width="18.21875" bestFit="1" customWidth="1"/>
    <col min="6" max="6" width="13.44140625" bestFit="1" customWidth="1"/>
    <col min="7" max="7" width="14.21875" bestFit="1" customWidth="1"/>
    <col min="8" max="8" width="9.88671875" bestFit="1" customWidth="1"/>
    <col min="9" max="9" width="21.88671875" bestFit="1" customWidth="1"/>
    <col min="10" max="10" width="19.5546875" bestFit="1" customWidth="1"/>
    <col min="11" max="11" width="21.88671875" bestFit="1" customWidth="1"/>
    <col min="12" max="12" width="13.77734375" bestFit="1" customWidth="1"/>
    <col min="13" max="13" width="18.5546875" bestFit="1" customWidth="1"/>
    <col min="14" max="14" width="20" bestFit="1" customWidth="1"/>
    <col min="15" max="15" width="30.6640625" bestFit="1" customWidth="1"/>
    <col min="16" max="16" width="17.21875" bestFit="1" customWidth="1"/>
    <col min="17" max="17" width="17" bestFit="1" customWidth="1"/>
    <col min="18" max="18" width="25.5546875" bestFit="1" customWidth="1"/>
    <col min="19" max="19" width="24.109375" bestFit="1" customWidth="1"/>
    <col min="20" max="20" width="23.33203125" bestFit="1" customWidth="1"/>
    <col min="21" max="21" width="14" bestFit="1" customWidth="1"/>
    <col min="22" max="22" width="12.77734375" bestFit="1" customWidth="1"/>
    <col min="23" max="23" width="16.5546875" bestFit="1" customWidth="1"/>
    <col min="24" max="24" width="26.5546875" bestFit="1" customWidth="1"/>
    <col min="25" max="25" width="16.77734375" bestFit="1" customWidth="1"/>
  </cols>
  <sheetData>
    <row r="1" spans="1:25" ht="25.8" x14ac:dyDescent="0.5">
      <c r="A1" s="16" t="s">
        <v>4086</v>
      </c>
      <c r="B1" s="16"/>
      <c r="C1" s="16"/>
      <c r="D1" s="16"/>
      <c r="E1" s="16"/>
      <c r="F1" s="16"/>
      <c r="G1" s="16"/>
      <c r="H1" s="16"/>
      <c r="I1" s="16"/>
      <c r="J1" s="16"/>
      <c r="K1" s="16"/>
      <c r="L1" s="16"/>
      <c r="M1" s="16"/>
      <c r="N1" s="16"/>
      <c r="O1" s="16"/>
      <c r="P1" s="16"/>
      <c r="Q1" s="16"/>
      <c r="R1" s="16"/>
      <c r="S1" s="16"/>
      <c r="T1" s="16"/>
      <c r="U1" s="16"/>
      <c r="V1" s="16"/>
      <c r="W1" s="16"/>
      <c r="X1" s="16"/>
      <c r="Y1" s="16"/>
    </row>
    <row r="2" spans="1:25" x14ac:dyDescent="0.3">
      <c r="A2" t="s">
        <v>0</v>
      </c>
      <c r="B2" t="s">
        <v>1</v>
      </c>
      <c r="C2" t="s">
        <v>2</v>
      </c>
      <c r="D2" t="s">
        <v>3</v>
      </c>
      <c r="E2" t="s">
        <v>4</v>
      </c>
      <c r="F2" t="s">
        <v>5</v>
      </c>
      <c r="G2" t="s">
        <v>6</v>
      </c>
      <c r="H2" t="s">
        <v>7</v>
      </c>
      <c r="I2" t="s">
        <v>8</v>
      </c>
      <c r="J2" t="s">
        <v>9</v>
      </c>
      <c r="K2" t="s">
        <v>10</v>
      </c>
      <c r="L2" t="s">
        <v>11</v>
      </c>
      <c r="M2" t="s">
        <v>12</v>
      </c>
      <c r="N2" t="s">
        <v>13</v>
      </c>
      <c r="O2" t="s">
        <v>14</v>
      </c>
      <c r="P2" t="s">
        <v>15</v>
      </c>
      <c r="Q2" t="s">
        <v>16</v>
      </c>
      <c r="R2" t="s">
        <v>17</v>
      </c>
      <c r="S2" t="s">
        <v>18</v>
      </c>
      <c r="T2" t="s">
        <v>19</v>
      </c>
      <c r="U2" t="s">
        <v>20</v>
      </c>
      <c r="V2" t="s">
        <v>21</v>
      </c>
      <c r="W2" t="s">
        <v>22</v>
      </c>
      <c r="X2" t="s">
        <v>23</v>
      </c>
      <c r="Y2" t="s">
        <v>24</v>
      </c>
    </row>
    <row r="3" spans="1:25" x14ac:dyDescent="0.3">
      <c r="A3" t="s">
        <v>25</v>
      </c>
      <c r="B3" s="1">
        <v>44927</v>
      </c>
      <c r="C3" t="s">
        <v>26</v>
      </c>
      <c r="D3" t="s">
        <v>26</v>
      </c>
      <c r="E3" t="s">
        <v>4084</v>
      </c>
      <c r="F3" t="s">
        <v>60</v>
      </c>
      <c r="G3" t="s">
        <v>29</v>
      </c>
      <c r="H3" t="s">
        <v>30</v>
      </c>
      <c r="I3">
        <v>12</v>
      </c>
      <c r="J3" t="s">
        <v>31</v>
      </c>
      <c r="K3">
        <v>27</v>
      </c>
      <c r="L3" t="s">
        <v>32</v>
      </c>
      <c r="M3">
        <v>2</v>
      </c>
      <c r="N3" t="s">
        <v>33</v>
      </c>
      <c r="O3" t="s">
        <v>34</v>
      </c>
      <c r="P3" t="s">
        <v>35</v>
      </c>
      <c r="Q3" s="2">
        <v>31119.32</v>
      </c>
      <c r="R3" s="2">
        <v>4119.3900000000003</v>
      </c>
      <c r="S3" t="s">
        <v>36</v>
      </c>
      <c r="T3" t="s">
        <v>37</v>
      </c>
      <c r="U3" t="s">
        <v>38</v>
      </c>
      <c r="V3">
        <v>2</v>
      </c>
      <c r="W3" t="s">
        <v>76</v>
      </c>
      <c r="X3" t="s">
        <v>40</v>
      </c>
      <c r="Y3" t="s">
        <v>41</v>
      </c>
    </row>
    <row r="4" spans="1:25" x14ac:dyDescent="0.3">
      <c r="A4" t="s">
        <v>42</v>
      </c>
      <c r="B4" s="1">
        <v>44928</v>
      </c>
      <c r="C4" t="s">
        <v>43</v>
      </c>
      <c r="D4" t="s">
        <v>58</v>
      </c>
      <c r="E4" t="s">
        <v>45</v>
      </c>
      <c r="F4" t="s">
        <v>28</v>
      </c>
      <c r="G4" t="s">
        <v>29</v>
      </c>
      <c r="H4" t="s">
        <v>67</v>
      </c>
      <c r="I4">
        <v>8</v>
      </c>
      <c r="J4" t="s">
        <v>47</v>
      </c>
      <c r="K4">
        <v>25</v>
      </c>
      <c r="L4" t="s">
        <v>32</v>
      </c>
      <c r="M4">
        <v>3</v>
      </c>
      <c r="N4" t="s">
        <v>48</v>
      </c>
      <c r="O4" t="s">
        <v>49</v>
      </c>
      <c r="P4" t="s">
        <v>50</v>
      </c>
      <c r="Q4" s="2">
        <v>36205.769999999997</v>
      </c>
      <c r="R4" s="2">
        <v>2397.6799999999998</v>
      </c>
      <c r="S4" t="s">
        <v>51</v>
      </c>
      <c r="T4" t="s">
        <v>52</v>
      </c>
      <c r="U4" t="s">
        <v>53</v>
      </c>
      <c r="V4">
        <v>1.8</v>
      </c>
      <c r="W4" t="s">
        <v>124</v>
      </c>
      <c r="X4" t="s">
        <v>55</v>
      </c>
      <c r="Y4" t="s">
        <v>41</v>
      </c>
    </row>
    <row r="5" spans="1:25" x14ac:dyDescent="0.3">
      <c r="A5" t="s">
        <v>56</v>
      </c>
      <c r="B5" s="1">
        <v>44929</v>
      </c>
      <c r="C5" t="s">
        <v>57</v>
      </c>
      <c r="D5" t="s">
        <v>44</v>
      </c>
      <c r="E5" t="s">
        <v>4085</v>
      </c>
      <c r="F5" t="s">
        <v>60</v>
      </c>
      <c r="G5" t="s">
        <v>29</v>
      </c>
      <c r="H5" t="s">
        <v>46</v>
      </c>
      <c r="I5">
        <v>13</v>
      </c>
      <c r="J5" t="s">
        <v>62</v>
      </c>
      <c r="K5">
        <v>37</v>
      </c>
      <c r="L5" t="s">
        <v>63</v>
      </c>
      <c r="M5">
        <v>6</v>
      </c>
      <c r="N5" t="s">
        <v>64</v>
      </c>
      <c r="O5" t="s">
        <v>34</v>
      </c>
      <c r="P5" t="s">
        <v>35</v>
      </c>
      <c r="Q5" s="2">
        <v>42319.74</v>
      </c>
      <c r="R5" s="2">
        <v>2407.16</v>
      </c>
      <c r="S5" t="s">
        <v>51</v>
      </c>
      <c r="T5" t="s">
        <v>37</v>
      </c>
      <c r="U5" t="s">
        <v>53</v>
      </c>
      <c r="V5">
        <v>3.7</v>
      </c>
      <c r="W5" t="s">
        <v>39</v>
      </c>
      <c r="X5" t="s">
        <v>65</v>
      </c>
      <c r="Y5" t="s">
        <v>41</v>
      </c>
    </row>
    <row r="6" spans="1:25" x14ac:dyDescent="0.3">
      <c r="A6" t="s">
        <v>66</v>
      </c>
      <c r="B6" s="1">
        <v>44930</v>
      </c>
      <c r="C6" t="s">
        <v>43</v>
      </c>
      <c r="D6" t="s">
        <v>58</v>
      </c>
      <c r="E6" t="s">
        <v>45</v>
      </c>
      <c r="F6" t="s">
        <v>28</v>
      </c>
      <c r="G6" t="s">
        <v>29</v>
      </c>
      <c r="H6" t="s">
        <v>67</v>
      </c>
      <c r="I6">
        <v>3</v>
      </c>
      <c r="J6" t="s">
        <v>68</v>
      </c>
      <c r="K6">
        <v>25</v>
      </c>
      <c r="L6" t="s">
        <v>63</v>
      </c>
      <c r="M6">
        <v>4</v>
      </c>
      <c r="N6" t="s">
        <v>64</v>
      </c>
      <c r="O6" t="s">
        <v>69</v>
      </c>
      <c r="P6" t="s">
        <v>70</v>
      </c>
      <c r="Q6" s="2">
        <v>6552.22</v>
      </c>
      <c r="R6" s="2">
        <v>1593.27</v>
      </c>
      <c r="S6" t="s">
        <v>36</v>
      </c>
      <c r="T6" t="s">
        <v>71</v>
      </c>
      <c r="U6" t="s">
        <v>38</v>
      </c>
      <c r="V6">
        <v>3.5</v>
      </c>
      <c r="W6" t="s">
        <v>39</v>
      </c>
      <c r="X6" t="s">
        <v>65</v>
      </c>
      <c r="Y6" t="s">
        <v>72</v>
      </c>
    </row>
    <row r="7" spans="1:25" x14ac:dyDescent="0.3">
      <c r="A7" t="s">
        <v>73</v>
      </c>
      <c r="B7" s="1">
        <v>44931</v>
      </c>
      <c r="C7" t="s">
        <v>43</v>
      </c>
      <c r="D7" t="s">
        <v>58</v>
      </c>
      <c r="E7" t="s">
        <v>4085</v>
      </c>
      <c r="F7" t="s">
        <v>60</v>
      </c>
      <c r="G7" t="s">
        <v>29</v>
      </c>
      <c r="H7" t="s">
        <v>59</v>
      </c>
      <c r="I7">
        <v>11</v>
      </c>
      <c r="J7" t="s">
        <v>74</v>
      </c>
      <c r="K7">
        <v>26</v>
      </c>
      <c r="L7" t="s">
        <v>32</v>
      </c>
      <c r="M7">
        <v>1</v>
      </c>
      <c r="N7" t="s">
        <v>48</v>
      </c>
      <c r="O7" t="s">
        <v>69</v>
      </c>
      <c r="P7" t="s">
        <v>70</v>
      </c>
      <c r="Q7" s="2">
        <v>19659.189999999999</v>
      </c>
      <c r="R7" s="2">
        <v>3904.13</v>
      </c>
      <c r="S7" t="s">
        <v>36</v>
      </c>
      <c r="T7" t="s">
        <v>71</v>
      </c>
      <c r="U7" t="s">
        <v>75</v>
      </c>
      <c r="V7">
        <v>2.8</v>
      </c>
      <c r="W7" t="s">
        <v>76</v>
      </c>
      <c r="X7" t="s">
        <v>65</v>
      </c>
      <c r="Y7" t="s">
        <v>72</v>
      </c>
    </row>
    <row r="8" spans="1:25" x14ac:dyDescent="0.3">
      <c r="A8" t="s">
        <v>77</v>
      </c>
      <c r="B8" s="1">
        <v>44932</v>
      </c>
      <c r="C8" t="s">
        <v>78</v>
      </c>
      <c r="D8" t="s">
        <v>58</v>
      </c>
      <c r="E8" t="s">
        <v>4084</v>
      </c>
      <c r="F8" t="s">
        <v>60</v>
      </c>
      <c r="G8" t="s">
        <v>29</v>
      </c>
      <c r="H8" t="s">
        <v>27</v>
      </c>
      <c r="I8">
        <v>4</v>
      </c>
      <c r="J8" t="s">
        <v>79</v>
      </c>
      <c r="K8">
        <v>24</v>
      </c>
      <c r="L8" t="s">
        <v>80</v>
      </c>
      <c r="M8">
        <v>2</v>
      </c>
      <c r="N8" t="s">
        <v>33</v>
      </c>
      <c r="O8" t="s">
        <v>81</v>
      </c>
      <c r="P8" t="s">
        <v>82</v>
      </c>
      <c r="Q8" s="2">
        <v>48169.81</v>
      </c>
      <c r="R8" s="2">
        <v>3430.98</v>
      </c>
      <c r="S8" t="s">
        <v>51</v>
      </c>
      <c r="T8" t="s">
        <v>37</v>
      </c>
      <c r="U8" t="s">
        <v>83</v>
      </c>
      <c r="V8">
        <v>1.4</v>
      </c>
      <c r="W8" t="s">
        <v>124</v>
      </c>
      <c r="X8" t="s">
        <v>84</v>
      </c>
      <c r="Y8" t="s">
        <v>41</v>
      </c>
    </row>
    <row r="9" spans="1:25" x14ac:dyDescent="0.3">
      <c r="A9" t="s">
        <v>85</v>
      </c>
      <c r="B9" s="1">
        <v>44933</v>
      </c>
      <c r="C9" t="s">
        <v>57</v>
      </c>
      <c r="D9" t="s">
        <v>44</v>
      </c>
      <c r="E9" t="s">
        <v>4084</v>
      </c>
      <c r="F9" t="s">
        <v>60</v>
      </c>
      <c r="G9" t="s">
        <v>29</v>
      </c>
      <c r="H9" t="s">
        <v>27</v>
      </c>
      <c r="I9">
        <v>3</v>
      </c>
      <c r="J9" t="s">
        <v>87</v>
      </c>
      <c r="K9">
        <v>31</v>
      </c>
      <c r="L9" t="s">
        <v>32</v>
      </c>
      <c r="M9">
        <v>1</v>
      </c>
      <c r="N9" t="s">
        <v>64</v>
      </c>
      <c r="O9" t="s">
        <v>81</v>
      </c>
      <c r="P9" t="s">
        <v>70</v>
      </c>
      <c r="Q9" s="2">
        <v>47720.13</v>
      </c>
      <c r="R9" s="2">
        <v>2255.6999999999998</v>
      </c>
      <c r="S9" t="s">
        <v>36</v>
      </c>
      <c r="T9" t="s">
        <v>37</v>
      </c>
      <c r="U9" t="s">
        <v>83</v>
      </c>
      <c r="V9">
        <v>1.4</v>
      </c>
      <c r="W9" t="s">
        <v>124</v>
      </c>
      <c r="X9" t="s">
        <v>40</v>
      </c>
      <c r="Y9" t="s">
        <v>41</v>
      </c>
    </row>
    <row r="10" spans="1:25" x14ac:dyDescent="0.3">
      <c r="A10" t="s">
        <v>88</v>
      </c>
      <c r="B10" s="1">
        <v>44934</v>
      </c>
      <c r="C10" t="s">
        <v>57</v>
      </c>
      <c r="D10" t="s">
        <v>44</v>
      </c>
      <c r="E10" t="s">
        <v>89</v>
      </c>
      <c r="F10" t="s">
        <v>28</v>
      </c>
      <c r="G10" t="s">
        <v>29</v>
      </c>
      <c r="H10" t="s">
        <v>61</v>
      </c>
      <c r="I10">
        <v>14</v>
      </c>
      <c r="J10" t="s">
        <v>90</v>
      </c>
      <c r="K10">
        <v>45</v>
      </c>
      <c r="L10" t="s">
        <v>63</v>
      </c>
      <c r="M10">
        <v>4</v>
      </c>
      <c r="N10" t="s">
        <v>91</v>
      </c>
      <c r="O10" t="s">
        <v>81</v>
      </c>
      <c r="P10" t="s">
        <v>82</v>
      </c>
      <c r="Q10" s="2">
        <v>5504.94</v>
      </c>
      <c r="R10" s="2">
        <v>2096.6799999999998</v>
      </c>
      <c r="S10" t="s">
        <v>36</v>
      </c>
      <c r="T10" t="s">
        <v>52</v>
      </c>
      <c r="U10" t="s">
        <v>83</v>
      </c>
      <c r="V10">
        <v>4.0999999999999996</v>
      </c>
      <c r="W10" t="s">
        <v>54</v>
      </c>
      <c r="X10" t="s">
        <v>65</v>
      </c>
      <c r="Y10" t="s">
        <v>72</v>
      </c>
    </row>
    <row r="11" spans="1:25" x14ac:dyDescent="0.3">
      <c r="A11" t="s">
        <v>92</v>
      </c>
      <c r="B11" s="1">
        <v>44935</v>
      </c>
      <c r="C11" t="s">
        <v>57</v>
      </c>
      <c r="D11" t="s">
        <v>44</v>
      </c>
      <c r="E11" t="s">
        <v>4085</v>
      </c>
      <c r="F11" t="s">
        <v>60</v>
      </c>
      <c r="G11" t="s">
        <v>29</v>
      </c>
      <c r="H11" t="s">
        <v>46</v>
      </c>
      <c r="I11">
        <v>9</v>
      </c>
      <c r="J11" t="s">
        <v>93</v>
      </c>
      <c r="K11">
        <v>19</v>
      </c>
      <c r="L11" t="s">
        <v>32</v>
      </c>
      <c r="M11">
        <v>7</v>
      </c>
      <c r="N11" t="s">
        <v>33</v>
      </c>
      <c r="O11" t="s">
        <v>49</v>
      </c>
      <c r="P11" t="s">
        <v>50</v>
      </c>
      <c r="Q11" s="2">
        <v>14064.81</v>
      </c>
      <c r="R11" s="2">
        <v>362.95</v>
      </c>
      <c r="S11" t="s">
        <v>94</v>
      </c>
      <c r="T11" t="s">
        <v>37</v>
      </c>
      <c r="U11" t="s">
        <v>83</v>
      </c>
      <c r="V11">
        <v>2.8</v>
      </c>
      <c r="W11" t="s">
        <v>76</v>
      </c>
      <c r="X11" t="s">
        <v>40</v>
      </c>
      <c r="Y11" t="s">
        <v>41</v>
      </c>
    </row>
    <row r="12" spans="1:25" x14ac:dyDescent="0.3">
      <c r="A12" t="s">
        <v>95</v>
      </c>
      <c r="B12" s="1">
        <v>44936</v>
      </c>
      <c r="C12" t="s">
        <v>43</v>
      </c>
      <c r="D12" t="s">
        <v>58</v>
      </c>
      <c r="E12" t="s">
        <v>89</v>
      </c>
      <c r="F12" t="s">
        <v>28</v>
      </c>
      <c r="G12" t="s">
        <v>29</v>
      </c>
      <c r="H12" t="s">
        <v>61</v>
      </c>
      <c r="I12">
        <v>8</v>
      </c>
      <c r="J12" t="s">
        <v>96</v>
      </c>
      <c r="K12">
        <v>60</v>
      </c>
      <c r="L12" t="s">
        <v>63</v>
      </c>
      <c r="M12">
        <v>6</v>
      </c>
      <c r="N12" t="s">
        <v>64</v>
      </c>
      <c r="O12" t="s">
        <v>34</v>
      </c>
      <c r="P12" t="s">
        <v>35</v>
      </c>
      <c r="Q12" s="2">
        <v>49719.65</v>
      </c>
      <c r="R12" s="2">
        <v>32.51</v>
      </c>
      <c r="S12" t="s">
        <v>94</v>
      </c>
      <c r="T12" t="s">
        <v>71</v>
      </c>
      <c r="U12" t="s">
        <v>38</v>
      </c>
      <c r="V12">
        <v>4.4000000000000004</v>
      </c>
      <c r="W12" t="s">
        <v>54</v>
      </c>
      <c r="X12" t="s">
        <v>55</v>
      </c>
      <c r="Y12" t="s">
        <v>41</v>
      </c>
    </row>
    <row r="13" spans="1:25" x14ac:dyDescent="0.3">
      <c r="A13" t="s">
        <v>97</v>
      </c>
      <c r="B13" s="1">
        <v>44937</v>
      </c>
      <c r="C13" t="s">
        <v>26</v>
      </c>
      <c r="D13" t="s">
        <v>26</v>
      </c>
      <c r="E13" t="s">
        <v>4085</v>
      </c>
      <c r="F13" t="s">
        <v>60</v>
      </c>
      <c r="G13" t="s">
        <v>29</v>
      </c>
      <c r="H13" t="s">
        <v>46</v>
      </c>
      <c r="I13">
        <v>8</v>
      </c>
      <c r="J13" t="s">
        <v>98</v>
      </c>
      <c r="K13">
        <v>25</v>
      </c>
      <c r="L13" t="s">
        <v>32</v>
      </c>
      <c r="M13">
        <v>5</v>
      </c>
      <c r="N13" t="s">
        <v>48</v>
      </c>
      <c r="O13" t="s">
        <v>69</v>
      </c>
      <c r="P13" t="s">
        <v>70</v>
      </c>
      <c r="Q13" s="2">
        <v>27177.13</v>
      </c>
      <c r="R13" s="2">
        <v>2644.47</v>
      </c>
      <c r="S13" t="s">
        <v>36</v>
      </c>
      <c r="T13" t="s">
        <v>37</v>
      </c>
      <c r="U13" t="s">
        <v>75</v>
      </c>
      <c r="V13">
        <v>3.3</v>
      </c>
      <c r="W13" t="s">
        <v>76</v>
      </c>
      <c r="X13" t="s">
        <v>40</v>
      </c>
      <c r="Y13" t="s">
        <v>72</v>
      </c>
    </row>
    <row r="14" spans="1:25" x14ac:dyDescent="0.3">
      <c r="A14" t="s">
        <v>99</v>
      </c>
      <c r="B14" s="1">
        <v>44938</v>
      </c>
      <c r="C14" t="s">
        <v>57</v>
      </c>
      <c r="D14" t="s">
        <v>44</v>
      </c>
      <c r="E14" t="s">
        <v>89</v>
      </c>
      <c r="F14" t="s">
        <v>28</v>
      </c>
      <c r="G14" t="s">
        <v>29</v>
      </c>
      <c r="H14" t="s">
        <v>61</v>
      </c>
      <c r="I14">
        <v>7</v>
      </c>
      <c r="J14" t="s">
        <v>100</v>
      </c>
      <c r="K14">
        <v>30</v>
      </c>
      <c r="L14" t="s">
        <v>80</v>
      </c>
      <c r="M14">
        <v>7</v>
      </c>
      <c r="N14" t="s">
        <v>33</v>
      </c>
      <c r="O14" t="s">
        <v>69</v>
      </c>
      <c r="P14" t="s">
        <v>35</v>
      </c>
      <c r="Q14" s="2">
        <v>30778.97</v>
      </c>
      <c r="R14" s="2">
        <v>2087.46</v>
      </c>
      <c r="S14" t="s">
        <v>36</v>
      </c>
      <c r="T14" t="s">
        <v>52</v>
      </c>
      <c r="U14" t="s">
        <v>75</v>
      </c>
      <c r="V14">
        <v>3.5</v>
      </c>
      <c r="W14" t="s">
        <v>54</v>
      </c>
      <c r="X14" t="s">
        <v>40</v>
      </c>
      <c r="Y14" t="s">
        <v>72</v>
      </c>
    </row>
    <row r="15" spans="1:25" x14ac:dyDescent="0.3">
      <c r="A15" t="s">
        <v>101</v>
      </c>
      <c r="B15" s="1">
        <v>44939</v>
      </c>
      <c r="C15" t="s">
        <v>43</v>
      </c>
      <c r="D15" t="s">
        <v>58</v>
      </c>
      <c r="E15" t="s">
        <v>4084</v>
      </c>
      <c r="F15" t="s">
        <v>60</v>
      </c>
      <c r="G15" t="s">
        <v>29</v>
      </c>
      <c r="H15" t="s">
        <v>30</v>
      </c>
      <c r="I15">
        <v>13</v>
      </c>
      <c r="J15" t="s">
        <v>102</v>
      </c>
      <c r="K15">
        <v>38</v>
      </c>
      <c r="L15" t="s">
        <v>32</v>
      </c>
      <c r="M15">
        <v>7</v>
      </c>
      <c r="N15" t="s">
        <v>64</v>
      </c>
      <c r="O15" t="s">
        <v>49</v>
      </c>
      <c r="P15" t="s">
        <v>35</v>
      </c>
      <c r="Q15" s="2">
        <v>12488.91</v>
      </c>
      <c r="R15" s="2">
        <v>3980.18</v>
      </c>
      <c r="S15" t="s">
        <v>94</v>
      </c>
      <c r="T15" t="s">
        <v>52</v>
      </c>
      <c r="U15" t="s">
        <v>53</v>
      </c>
      <c r="V15">
        <v>4.7</v>
      </c>
      <c r="W15" t="s">
        <v>103</v>
      </c>
      <c r="X15" t="s">
        <v>40</v>
      </c>
      <c r="Y15" t="s">
        <v>72</v>
      </c>
    </row>
    <row r="16" spans="1:25" x14ac:dyDescent="0.3">
      <c r="A16" t="s">
        <v>104</v>
      </c>
      <c r="B16" s="1">
        <v>44940</v>
      </c>
      <c r="C16" t="s">
        <v>78</v>
      </c>
      <c r="D16" t="s">
        <v>58</v>
      </c>
      <c r="E16" t="s">
        <v>45</v>
      </c>
      <c r="F16" t="s">
        <v>28</v>
      </c>
      <c r="G16" t="s">
        <v>29</v>
      </c>
      <c r="H16" t="s">
        <v>67</v>
      </c>
      <c r="I16">
        <v>6</v>
      </c>
      <c r="J16" t="s">
        <v>105</v>
      </c>
      <c r="K16">
        <v>64</v>
      </c>
      <c r="L16" t="s">
        <v>80</v>
      </c>
      <c r="M16">
        <v>5</v>
      </c>
      <c r="N16" t="s">
        <v>48</v>
      </c>
      <c r="O16" t="s">
        <v>69</v>
      </c>
      <c r="P16" t="s">
        <v>50</v>
      </c>
      <c r="Q16" s="2">
        <v>45245.1</v>
      </c>
      <c r="R16" s="2">
        <v>2713.27</v>
      </c>
      <c r="S16" t="s">
        <v>94</v>
      </c>
      <c r="T16" t="s">
        <v>37</v>
      </c>
      <c r="U16" t="s">
        <v>53</v>
      </c>
      <c r="V16">
        <v>1.7</v>
      </c>
      <c r="W16" t="s">
        <v>124</v>
      </c>
      <c r="X16" t="s">
        <v>106</v>
      </c>
      <c r="Y16" t="s">
        <v>41</v>
      </c>
    </row>
    <row r="17" spans="1:25" x14ac:dyDescent="0.3">
      <c r="A17" t="s">
        <v>107</v>
      </c>
      <c r="B17" s="1">
        <v>44941</v>
      </c>
      <c r="C17" t="s">
        <v>26</v>
      </c>
      <c r="D17" t="s">
        <v>26</v>
      </c>
      <c r="E17" t="s">
        <v>89</v>
      </c>
      <c r="F17" t="s">
        <v>28</v>
      </c>
      <c r="G17" t="s">
        <v>29</v>
      </c>
      <c r="H17" t="s">
        <v>61</v>
      </c>
      <c r="I17">
        <v>13</v>
      </c>
      <c r="J17" t="s">
        <v>108</v>
      </c>
      <c r="K17">
        <v>45</v>
      </c>
      <c r="L17" t="s">
        <v>80</v>
      </c>
      <c r="M17">
        <v>2</v>
      </c>
      <c r="N17" t="s">
        <v>33</v>
      </c>
      <c r="O17" t="s">
        <v>69</v>
      </c>
      <c r="P17" t="s">
        <v>50</v>
      </c>
      <c r="Q17" s="2">
        <v>15406.89</v>
      </c>
      <c r="R17" s="2">
        <v>4683.53</v>
      </c>
      <c r="S17" t="s">
        <v>36</v>
      </c>
      <c r="T17" t="s">
        <v>52</v>
      </c>
      <c r="U17" t="s">
        <v>75</v>
      </c>
      <c r="V17">
        <v>3.2</v>
      </c>
      <c r="W17" t="s">
        <v>76</v>
      </c>
      <c r="X17" t="s">
        <v>84</v>
      </c>
      <c r="Y17" t="s">
        <v>41</v>
      </c>
    </row>
    <row r="18" spans="1:25" x14ac:dyDescent="0.3">
      <c r="A18" t="s">
        <v>109</v>
      </c>
      <c r="B18" s="1">
        <v>44942</v>
      </c>
      <c r="C18" t="s">
        <v>78</v>
      </c>
      <c r="D18" t="s">
        <v>58</v>
      </c>
      <c r="E18" t="s">
        <v>4085</v>
      </c>
      <c r="F18" t="s">
        <v>60</v>
      </c>
      <c r="G18" t="s">
        <v>29</v>
      </c>
      <c r="H18" t="s">
        <v>59</v>
      </c>
      <c r="I18">
        <v>6</v>
      </c>
      <c r="J18" t="s">
        <v>110</v>
      </c>
      <c r="K18">
        <v>52</v>
      </c>
      <c r="L18" t="s">
        <v>32</v>
      </c>
      <c r="M18">
        <v>3</v>
      </c>
      <c r="N18" t="s">
        <v>91</v>
      </c>
      <c r="O18" t="s">
        <v>34</v>
      </c>
      <c r="P18" t="s">
        <v>70</v>
      </c>
      <c r="Q18" s="2">
        <v>13534.14</v>
      </c>
      <c r="R18" s="2">
        <v>980.7</v>
      </c>
      <c r="S18" t="s">
        <v>94</v>
      </c>
      <c r="T18" t="s">
        <v>52</v>
      </c>
      <c r="U18" t="s">
        <v>53</v>
      </c>
      <c r="V18">
        <v>1.2</v>
      </c>
      <c r="W18" t="s">
        <v>124</v>
      </c>
      <c r="X18" t="s">
        <v>40</v>
      </c>
      <c r="Y18" t="s">
        <v>72</v>
      </c>
    </row>
    <row r="19" spans="1:25" x14ac:dyDescent="0.3">
      <c r="A19" t="s">
        <v>111</v>
      </c>
      <c r="B19" s="1">
        <v>44943</v>
      </c>
      <c r="C19" t="s">
        <v>26</v>
      </c>
      <c r="D19" t="s">
        <v>26</v>
      </c>
      <c r="E19" t="s">
        <v>4085</v>
      </c>
      <c r="F19" t="s">
        <v>60</v>
      </c>
      <c r="G19" t="s">
        <v>29</v>
      </c>
      <c r="H19" t="s">
        <v>46</v>
      </c>
      <c r="I19">
        <v>5</v>
      </c>
      <c r="J19" t="s">
        <v>112</v>
      </c>
      <c r="K19">
        <v>40</v>
      </c>
      <c r="L19" t="s">
        <v>80</v>
      </c>
      <c r="M19">
        <v>1</v>
      </c>
      <c r="N19" t="s">
        <v>33</v>
      </c>
      <c r="O19" t="s">
        <v>81</v>
      </c>
      <c r="P19" t="s">
        <v>50</v>
      </c>
      <c r="Q19" s="2">
        <v>15265.51</v>
      </c>
      <c r="R19" s="2">
        <v>4950.75</v>
      </c>
      <c r="S19" t="s">
        <v>51</v>
      </c>
      <c r="T19" t="s">
        <v>71</v>
      </c>
      <c r="U19" t="s">
        <v>75</v>
      </c>
      <c r="V19">
        <v>2.4</v>
      </c>
      <c r="W19" t="s">
        <v>76</v>
      </c>
      <c r="X19" t="s">
        <v>65</v>
      </c>
      <c r="Y19" t="s">
        <v>72</v>
      </c>
    </row>
    <row r="20" spans="1:25" x14ac:dyDescent="0.3">
      <c r="A20" t="s">
        <v>113</v>
      </c>
      <c r="B20" s="1">
        <v>44944</v>
      </c>
      <c r="C20" t="s">
        <v>43</v>
      </c>
      <c r="D20" t="s">
        <v>58</v>
      </c>
      <c r="E20" t="s">
        <v>4084</v>
      </c>
      <c r="F20" t="s">
        <v>60</v>
      </c>
      <c r="G20" t="s">
        <v>29</v>
      </c>
      <c r="H20" t="s">
        <v>30</v>
      </c>
      <c r="I20">
        <v>12</v>
      </c>
      <c r="J20" t="s">
        <v>114</v>
      </c>
      <c r="K20">
        <v>63</v>
      </c>
      <c r="L20" t="s">
        <v>80</v>
      </c>
      <c r="M20">
        <v>2</v>
      </c>
      <c r="N20" t="s">
        <v>91</v>
      </c>
      <c r="O20" t="s">
        <v>81</v>
      </c>
      <c r="P20" t="s">
        <v>35</v>
      </c>
      <c r="Q20" s="2">
        <v>46382.98</v>
      </c>
      <c r="R20" s="2">
        <v>1489.6</v>
      </c>
      <c r="S20" t="s">
        <v>115</v>
      </c>
      <c r="T20" t="s">
        <v>37</v>
      </c>
      <c r="U20" t="s">
        <v>38</v>
      </c>
      <c r="V20">
        <v>1.6</v>
      </c>
      <c r="W20" t="s">
        <v>124</v>
      </c>
      <c r="X20" t="s">
        <v>106</v>
      </c>
      <c r="Y20" t="s">
        <v>41</v>
      </c>
    </row>
    <row r="21" spans="1:25" x14ac:dyDescent="0.3">
      <c r="A21" t="s">
        <v>116</v>
      </c>
      <c r="B21" s="1">
        <v>44945</v>
      </c>
      <c r="C21" t="s">
        <v>117</v>
      </c>
      <c r="D21" t="s">
        <v>4083</v>
      </c>
      <c r="E21" t="s">
        <v>4085</v>
      </c>
      <c r="F21" t="s">
        <v>60</v>
      </c>
      <c r="G21" t="s">
        <v>29</v>
      </c>
      <c r="H21" t="s">
        <v>46</v>
      </c>
      <c r="I21">
        <v>10</v>
      </c>
      <c r="J21" t="s">
        <v>118</v>
      </c>
      <c r="K21">
        <v>32</v>
      </c>
      <c r="L21" t="s">
        <v>63</v>
      </c>
      <c r="M21">
        <v>3</v>
      </c>
      <c r="N21" t="s">
        <v>33</v>
      </c>
      <c r="O21" t="s">
        <v>49</v>
      </c>
      <c r="P21" t="s">
        <v>82</v>
      </c>
      <c r="Q21" s="2">
        <v>36628.1</v>
      </c>
      <c r="R21" s="2">
        <v>3212.12</v>
      </c>
      <c r="S21" t="s">
        <v>51</v>
      </c>
      <c r="T21" t="s">
        <v>71</v>
      </c>
      <c r="U21" t="s">
        <v>38</v>
      </c>
      <c r="V21">
        <v>1.8</v>
      </c>
      <c r="W21" t="s">
        <v>124</v>
      </c>
      <c r="X21" t="s">
        <v>40</v>
      </c>
      <c r="Y21" t="s">
        <v>41</v>
      </c>
    </row>
    <row r="22" spans="1:25" x14ac:dyDescent="0.3">
      <c r="A22" t="s">
        <v>119</v>
      </c>
      <c r="B22" s="1">
        <v>44946</v>
      </c>
      <c r="C22" t="s">
        <v>26</v>
      </c>
      <c r="D22" t="s">
        <v>26</v>
      </c>
      <c r="E22" t="s">
        <v>120</v>
      </c>
      <c r="F22" t="s">
        <v>28</v>
      </c>
      <c r="G22" t="s">
        <v>29</v>
      </c>
      <c r="H22" t="s">
        <v>86</v>
      </c>
      <c r="I22">
        <v>9</v>
      </c>
      <c r="J22" t="s">
        <v>121</v>
      </c>
      <c r="K22">
        <v>19</v>
      </c>
      <c r="L22" t="s">
        <v>63</v>
      </c>
      <c r="M22">
        <v>1</v>
      </c>
      <c r="N22" t="s">
        <v>48</v>
      </c>
      <c r="O22" t="s">
        <v>81</v>
      </c>
      <c r="P22" t="s">
        <v>82</v>
      </c>
      <c r="Q22" s="2">
        <v>39586.839999999997</v>
      </c>
      <c r="R22" s="2">
        <v>2509.27</v>
      </c>
      <c r="S22" t="s">
        <v>94</v>
      </c>
      <c r="T22" t="s">
        <v>71</v>
      </c>
      <c r="U22" t="s">
        <v>83</v>
      </c>
      <c r="V22">
        <v>4.7</v>
      </c>
      <c r="W22" t="s">
        <v>103</v>
      </c>
      <c r="X22" t="s">
        <v>106</v>
      </c>
      <c r="Y22" t="s">
        <v>41</v>
      </c>
    </row>
    <row r="23" spans="1:25" x14ac:dyDescent="0.3">
      <c r="A23" t="s">
        <v>122</v>
      </c>
      <c r="B23" s="1">
        <v>44947</v>
      </c>
      <c r="C23" t="s">
        <v>78</v>
      </c>
      <c r="D23" t="s">
        <v>58</v>
      </c>
      <c r="E23" t="s">
        <v>45</v>
      </c>
      <c r="F23" t="s">
        <v>28</v>
      </c>
      <c r="G23" t="s">
        <v>29</v>
      </c>
      <c r="H23" t="s">
        <v>67</v>
      </c>
      <c r="I23">
        <v>11</v>
      </c>
      <c r="J23" t="s">
        <v>123</v>
      </c>
      <c r="K23">
        <v>68</v>
      </c>
      <c r="L23" t="s">
        <v>80</v>
      </c>
      <c r="M23">
        <v>4</v>
      </c>
      <c r="N23" t="s">
        <v>91</v>
      </c>
      <c r="O23" t="s">
        <v>81</v>
      </c>
      <c r="P23" t="s">
        <v>82</v>
      </c>
      <c r="Q23" s="2">
        <v>21966.639999999999</v>
      </c>
      <c r="R23" s="2">
        <v>1797.88</v>
      </c>
      <c r="S23" t="s">
        <v>51</v>
      </c>
      <c r="T23" t="s">
        <v>52</v>
      </c>
      <c r="U23" t="s">
        <v>75</v>
      </c>
      <c r="V23">
        <v>3.4</v>
      </c>
      <c r="W23" t="s">
        <v>76</v>
      </c>
      <c r="X23" t="s">
        <v>84</v>
      </c>
      <c r="Y23" t="s">
        <v>72</v>
      </c>
    </row>
    <row r="24" spans="1:25" x14ac:dyDescent="0.3">
      <c r="A24" t="s">
        <v>125</v>
      </c>
      <c r="B24" s="1">
        <v>44948</v>
      </c>
      <c r="C24" t="s">
        <v>43</v>
      </c>
      <c r="D24" t="s">
        <v>58</v>
      </c>
      <c r="E24" t="s">
        <v>89</v>
      </c>
      <c r="F24" t="s">
        <v>28</v>
      </c>
      <c r="G24" t="s">
        <v>29</v>
      </c>
      <c r="H24" t="s">
        <v>61</v>
      </c>
      <c r="I24">
        <v>3</v>
      </c>
      <c r="J24" t="s">
        <v>126</v>
      </c>
      <c r="K24">
        <v>29</v>
      </c>
      <c r="L24" t="s">
        <v>32</v>
      </c>
      <c r="M24">
        <v>7</v>
      </c>
      <c r="N24" t="s">
        <v>91</v>
      </c>
      <c r="O24" t="s">
        <v>49</v>
      </c>
      <c r="P24" t="s">
        <v>70</v>
      </c>
      <c r="Q24" s="2">
        <v>45912.97</v>
      </c>
      <c r="R24" s="2">
        <v>696.55</v>
      </c>
      <c r="S24" t="s">
        <v>115</v>
      </c>
      <c r="T24" t="s">
        <v>71</v>
      </c>
      <c r="U24" t="s">
        <v>38</v>
      </c>
      <c r="V24">
        <v>4.5999999999999996</v>
      </c>
      <c r="W24" t="s">
        <v>103</v>
      </c>
      <c r="X24" t="s">
        <v>106</v>
      </c>
      <c r="Y24" t="s">
        <v>72</v>
      </c>
    </row>
    <row r="25" spans="1:25" x14ac:dyDescent="0.3">
      <c r="A25" t="s">
        <v>127</v>
      </c>
      <c r="B25" s="1">
        <v>44949</v>
      </c>
      <c r="C25" t="s">
        <v>26</v>
      </c>
      <c r="D25" t="s">
        <v>26</v>
      </c>
      <c r="E25" t="s">
        <v>45</v>
      </c>
      <c r="F25" t="s">
        <v>28</v>
      </c>
      <c r="G25" t="s">
        <v>29</v>
      </c>
      <c r="H25" t="s">
        <v>67</v>
      </c>
      <c r="I25">
        <v>9</v>
      </c>
      <c r="J25" t="s">
        <v>128</v>
      </c>
      <c r="K25">
        <v>69</v>
      </c>
      <c r="L25" t="s">
        <v>80</v>
      </c>
      <c r="M25">
        <v>7</v>
      </c>
      <c r="N25" t="s">
        <v>33</v>
      </c>
      <c r="O25" t="s">
        <v>49</v>
      </c>
      <c r="P25" t="s">
        <v>50</v>
      </c>
      <c r="Q25" s="2">
        <v>40523.360000000001</v>
      </c>
      <c r="R25" s="2">
        <v>674.17</v>
      </c>
      <c r="S25" t="s">
        <v>94</v>
      </c>
      <c r="T25" t="s">
        <v>37</v>
      </c>
      <c r="U25" t="s">
        <v>75</v>
      </c>
      <c r="V25">
        <v>2.8</v>
      </c>
      <c r="W25" t="s">
        <v>76</v>
      </c>
      <c r="X25" t="s">
        <v>65</v>
      </c>
      <c r="Y25" t="s">
        <v>41</v>
      </c>
    </row>
    <row r="26" spans="1:25" x14ac:dyDescent="0.3">
      <c r="A26" t="s">
        <v>129</v>
      </c>
      <c r="B26" s="1">
        <v>44950</v>
      </c>
      <c r="C26" t="s">
        <v>117</v>
      </c>
      <c r="D26" t="s">
        <v>4083</v>
      </c>
      <c r="E26" t="s">
        <v>4084</v>
      </c>
      <c r="F26" t="s">
        <v>60</v>
      </c>
      <c r="G26" t="s">
        <v>29</v>
      </c>
      <c r="H26" t="s">
        <v>30</v>
      </c>
      <c r="I26">
        <v>12</v>
      </c>
      <c r="J26" t="s">
        <v>130</v>
      </c>
      <c r="K26">
        <v>53</v>
      </c>
      <c r="L26" t="s">
        <v>32</v>
      </c>
      <c r="M26">
        <v>5</v>
      </c>
      <c r="N26" t="s">
        <v>64</v>
      </c>
      <c r="O26" t="s">
        <v>81</v>
      </c>
      <c r="P26" t="s">
        <v>50</v>
      </c>
      <c r="Q26" s="2">
        <v>38776.879999999997</v>
      </c>
      <c r="R26" s="2">
        <v>3557.53</v>
      </c>
      <c r="S26" t="s">
        <v>51</v>
      </c>
      <c r="T26" t="s">
        <v>37</v>
      </c>
      <c r="U26" t="s">
        <v>53</v>
      </c>
      <c r="V26">
        <v>3.4</v>
      </c>
      <c r="W26" t="s">
        <v>76</v>
      </c>
      <c r="X26" t="s">
        <v>40</v>
      </c>
      <c r="Y26" t="s">
        <v>72</v>
      </c>
    </row>
    <row r="27" spans="1:25" x14ac:dyDescent="0.3">
      <c r="A27" t="s">
        <v>131</v>
      </c>
      <c r="B27" s="1">
        <v>44951</v>
      </c>
      <c r="C27" t="s">
        <v>117</v>
      </c>
      <c r="D27" t="s">
        <v>4083</v>
      </c>
      <c r="E27" t="s">
        <v>89</v>
      </c>
      <c r="F27" t="s">
        <v>28</v>
      </c>
      <c r="G27" t="s">
        <v>29</v>
      </c>
      <c r="H27" t="s">
        <v>61</v>
      </c>
      <c r="I27">
        <v>6</v>
      </c>
      <c r="J27" t="s">
        <v>132</v>
      </c>
      <c r="K27">
        <v>20</v>
      </c>
      <c r="L27" t="s">
        <v>63</v>
      </c>
      <c r="M27">
        <v>3</v>
      </c>
      <c r="N27" t="s">
        <v>91</v>
      </c>
      <c r="O27" t="s">
        <v>34</v>
      </c>
      <c r="P27" t="s">
        <v>50</v>
      </c>
      <c r="Q27" s="2">
        <v>48692.31</v>
      </c>
      <c r="R27" s="2">
        <v>1888.21</v>
      </c>
      <c r="S27" t="s">
        <v>51</v>
      </c>
      <c r="T27" t="s">
        <v>37</v>
      </c>
      <c r="U27" t="s">
        <v>75</v>
      </c>
      <c r="V27">
        <v>1.1000000000000001</v>
      </c>
      <c r="W27" t="s">
        <v>124</v>
      </c>
      <c r="X27" t="s">
        <v>65</v>
      </c>
      <c r="Y27" t="s">
        <v>72</v>
      </c>
    </row>
    <row r="28" spans="1:25" x14ac:dyDescent="0.3">
      <c r="A28" t="s">
        <v>133</v>
      </c>
      <c r="B28" s="1">
        <v>44952</v>
      </c>
      <c r="C28" t="s">
        <v>57</v>
      </c>
      <c r="D28" t="s">
        <v>44</v>
      </c>
      <c r="E28" t="s">
        <v>89</v>
      </c>
      <c r="F28" t="s">
        <v>28</v>
      </c>
      <c r="G28" t="s">
        <v>29</v>
      </c>
      <c r="H28" t="s">
        <v>61</v>
      </c>
      <c r="I28">
        <v>9</v>
      </c>
      <c r="J28" t="s">
        <v>134</v>
      </c>
      <c r="K28">
        <v>22</v>
      </c>
      <c r="L28" t="s">
        <v>32</v>
      </c>
      <c r="M28">
        <v>1</v>
      </c>
      <c r="N28" t="s">
        <v>33</v>
      </c>
      <c r="O28" t="s">
        <v>49</v>
      </c>
      <c r="P28" t="s">
        <v>50</v>
      </c>
      <c r="Q28" s="2">
        <v>21478.86</v>
      </c>
      <c r="R28" s="2">
        <v>4806.49</v>
      </c>
      <c r="S28" t="s">
        <v>115</v>
      </c>
      <c r="T28" t="s">
        <v>71</v>
      </c>
      <c r="U28" t="s">
        <v>83</v>
      </c>
      <c r="V28">
        <v>2.9</v>
      </c>
      <c r="W28" t="s">
        <v>76</v>
      </c>
      <c r="X28" t="s">
        <v>55</v>
      </c>
      <c r="Y28" t="s">
        <v>72</v>
      </c>
    </row>
    <row r="29" spans="1:25" x14ac:dyDescent="0.3">
      <c r="A29" t="s">
        <v>135</v>
      </c>
      <c r="B29" s="1">
        <v>44953</v>
      </c>
      <c r="C29" t="s">
        <v>57</v>
      </c>
      <c r="D29" t="s">
        <v>44</v>
      </c>
      <c r="E29" t="s">
        <v>120</v>
      </c>
      <c r="F29" t="s">
        <v>28</v>
      </c>
      <c r="G29" t="s">
        <v>29</v>
      </c>
      <c r="H29" t="s">
        <v>86</v>
      </c>
      <c r="I29">
        <v>14</v>
      </c>
      <c r="J29" t="s">
        <v>136</v>
      </c>
      <c r="K29">
        <v>20</v>
      </c>
      <c r="L29" t="s">
        <v>80</v>
      </c>
      <c r="M29">
        <v>2</v>
      </c>
      <c r="N29" t="s">
        <v>48</v>
      </c>
      <c r="O29" t="s">
        <v>69</v>
      </c>
      <c r="P29" t="s">
        <v>35</v>
      </c>
      <c r="Q29" s="2">
        <v>32493.81</v>
      </c>
      <c r="R29" s="2">
        <v>1628.24</v>
      </c>
      <c r="S29" t="s">
        <v>94</v>
      </c>
      <c r="T29" t="s">
        <v>37</v>
      </c>
      <c r="U29" t="s">
        <v>83</v>
      </c>
      <c r="V29">
        <v>3.3</v>
      </c>
      <c r="W29" t="s">
        <v>76</v>
      </c>
      <c r="X29" t="s">
        <v>106</v>
      </c>
      <c r="Y29" t="s">
        <v>41</v>
      </c>
    </row>
    <row r="30" spans="1:25" x14ac:dyDescent="0.3">
      <c r="A30" t="s">
        <v>137</v>
      </c>
      <c r="B30" s="1">
        <v>44954</v>
      </c>
      <c r="C30" t="s">
        <v>78</v>
      </c>
      <c r="D30" t="s">
        <v>58</v>
      </c>
      <c r="E30" t="s">
        <v>4084</v>
      </c>
      <c r="F30" t="s">
        <v>60</v>
      </c>
      <c r="G30" t="s">
        <v>29</v>
      </c>
      <c r="H30" t="s">
        <v>27</v>
      </c>
      <c r="I30">
        <v>3</v>
      </c>
      <c r="J30" t="s">
        <v>138</v>
      </c>
      <c r="K30">
        <v>64</v>
      </c>
      <c r="L30" t="s">
        <v>80</v>
      </c>
      <c r="M30">
        <v>1</v>
      </c>
      <c r="N30" t="s">
        <v>33</v>
      </c>
      <c r="O30" t="s">
        <v>49</v>
      </c>
      <c r="P30" t="s">
        <v>82</v>
      </c>
      <c r="Q30" s="2">
        <v>45946.84</v>
      </c>
      <c r="R30" s="2">
        <v>4917.62</v>
      </c>
      <c r="S30" t="s">
        <v>36</v>
      </c>
      <c r="T30" t="s">
        <v>37</v>
      </c>
      <c r="U30" t="s">
        <v>38</v>
      </c>
      <c r="V30">
        <v>1.1000000000000001</v>
      </c>
      <c r="W30" t="s">
        <v>124</v>
      </c>
      <c r="X30" t="s">
        <v>106</v>
      </c>
      <c r="Y30" t="s">
        <v>41</v>
      </c>
    </row>
    <row r="31" spans="1:25" x14ac:dyDescent="0.3">
      <c r="A31" t="s">
        <v>139</v>
      </c>
      <c r="B31" s="1">
        <v>44955</v>
      </c>
      <c r="C31" t="s">
        <v>26</v>
      </c>
      <c r="D31" t="s">
        <v>26</v>
      </c>
      <c r="E31" t="s">
        <v>4085</v>
      </c>
      <c r="F31" t="s">
        <v>60</v>
      </c>
      <c r="G31" t="s">
        <v>29</v>
      </c>
      <c r="H31" t="s">
        <v>46</v>
      </c>
      <c r="I31">
        <v>7</v>
      </c>
      <c r="J31" t="s">
        <v>140</v>
      </c>
      <c r="K31">
        <v>36</v>
      </c>
      <c r="L31" t="s">
        <v>80</v>
      </c>
      <c r="M31">
        <v>2</v>
      </c>
      <c r="N31" t="s">
        <v>33</v>
      </c>
      <c r="O31" t="s">
        <v>69</v>
      </c>
      <c r="P31" t="s">
        <v>35</v>
      </c>
      <c r="Q31" s="2">
        <v>40590</v>
      </c>
      <c r="R31" s="2">
        <v>1027.1199999999999</v>
      </c>
      <c r="S31" t="s">
        <v>94</v>
      </c>
      <c r="T31" t="s">
        <v>71</v>
      </c>
      <c r="U31" t="s">
        <v>53</v>
      </c>
      <c r="V31">
        <v>4.2</v>
      </c>
      <c r="W31" t="s">
        <v>54</v>
      </c>
      <c r="X31" t="s">
        <v>106</v>
      </c>
      <c r="Y31" t="s">
        <v>72</v>
      </c>
    </row>
    <row r="32" spans="1:25" x14ac:dyDescent="0.3">
      <c r="A32" t="s">
        <v>141</v>
      </c>
      <c r="B32" s="1">
        <v>44956</v>
      </c>
      <c r="C32" t="s">
        <v>26</v>
      </c>
      <c r="D32" t="s">
        <v>26</v>
      </c>
      <c r="E32" t="s">
        <v>120</v>
      </c>
      <c r="F32" t="s">
        <v>28</v>
      </c>
      <c r="G32" t="s">
        <v>29</v>
      </c>
      <c r="H32" t="s">
        <v>86</v>
      </c>
      <c r="I32">
        <v>5</v>
      </c>
      <c r="J32" t="s">
        <v>142</v>
      </c>
      <c r="K32">
        <v>19</v>
      </c>
      <c r="L32" t="s">
        <v>80</v>
      </c>
      <c r="M32">
        <v>7</v>
      </c>
      <c r="N32" t="s">
        <v>91</v>
      </c>
      <c r="O32" t="s">
        <v>49</v>
      </c>
      <c r="P32" t="s">
        <v>70</v>
      </c>
      <c r="Q32" s="2">
        <v>30352.05</v>
      </c>
      <c r="R32" s="2">
        <v>514.07000000000005</v>
      </c>
      <c r="S32" t="s">
        <v>115</v>
      </c>
      <c r="T32" t="s">
        <v>71</v>
      </c>
      <c r="U32" t="s">
        <v>53</v>
      </c>
      <c r="V32">
        <v>2.2000000000000002</v>
      </c>
      <c r="W32" t="s">
        <v>76</v>
      </c>
      <c r="X32" t="s">
        <v>84</v>
      </c>
      <c r="Y32" t="s">
        <v>41</v>
      </c>
    </row>
    <row r="33" spans="1:25" x14ac:dyDescent="0.3">
      <c r="A33" t="s">
        <v>143</v>
      </c>
      <c r="B33" s="1">
        <v>44957</v>
      </c>
      <c r="C33" t="s">
        <v>57</v>
      </c>
      <c r="D33" t="s">
        <v>44</v>
      </c>
      <c r="E33" t="s">
        <v>120</v>
      </c>
      <c r="F33" t="s">
        <v>28</v>
      </c>
      <c r="G33" t="s">
        <v>29</v>
      </c>
      <c r="H33" t="s">
        <v>86</v>
      </c>
      <c r="I33">
        <v>7</v>
      </c>
      <c r="J33" t="s">
        <v>144</v>
      </c>
      <c r="K33">
        <v>61</v>
      </c>
      <c r="L33" t="s">
        <v>80</v>
      </c>
      <c r="M33">
        <v>5</v>
      </c>
      <c r="N33" t="s">
        <v>64</v>
      </c>
      <c r="O33" t="s">
        <v>49</v>
      </c>
      <c r="P33" t="s">
        <v>82</v>
      </c>
      <c r="Q33" s="2">
        <v>8429.6200000000008</v>
      </c>
      <c r="R33" s="2">
        <v>1562.85</v>
      </c>
      <c r="S33" t="s">
        <v>115</v>
      </c>
      <c r="T33" t="s">
        <v>71</v>
      </c>
      <c r="U33" t="s">
        <v>75</v>
      </c>
      <c r="V33">
        <v>2.8</v>
      </c>
      <c r="W33" t="s">
        <v>76</v>
      </c>
      <c r="X33" t="s">
        <v>65</v>
      </c>
      <c r="Y33" t="s">
        <v>72</v>
      </c>
    </row>
    <row r="34" spans="1:25" x14ac:dyDescent="0.3">
      <c r="A34" t="s">
        <v>145</v>
      </c>
      <c r="B34" s="1">
        <v>44958</v>
      </c>
      <c r="C34" t="s">
        <v>26</v>
      </c>
      <c r="D34" t="s">
        <v>26</v>
      </c>
      <c r="E34" t="s">
        <v>45</v>
      </c>
      <c r="F34" t="s">
        <v>28</v>
      </c>
      <c r="G34" t="s">
        <v>29</v>
      </c>
      <c r="H34" t="s">
        <v>67</v>
      </c>
      <c r="I34">
        <v>6</v>
      </c>
      <c r="J34" t="s">
        <v>146</v>
      </c>
      <c r="K34">
        <v>54</v>
      </c>
      <c r="L34" t="s">
        <v>32</v>
      </c>
      <c r="M34">
        <v>5</v>
      </c>
      <c r="N34" t="s">
        <v>48</v>
      </c>
      <c r="O34" t="s">
        <v>81</v>
      </c>
      <c r="P34" t="s">
        <v>82</v>
      </c>
      <c r="Q34" s="2">
        <v>34372.550000000003</v>
      </c>
      <c r="R34" s="2">
        <v>4427.92</v>
      </c>
      <c r="S34" t="s">
        <v>115</v>
      </c>
      <c r="T34" t="s">
        <v>71</v>
      </c>
      <c r="U34" t="s">
        <v>53</v>
      </c>
      <c r="V34">
        <v>3.1</v>
      </c>
      <c r="W34" t="s">
        <v>76</v>
      </c>
      <c r="X34" t="s">
        <v>55</v>
      </c>
      <c r="Y34" t="s">
        <v>72</v>
      </c>
    </row>
    <row r="35" spans="1:25" x14ac:dyDescent="0.3">
      <c r="A35" t="s">
        <v>147</v>
      </c>
      <c r="B35" s="1">
        <v>44959</v>
      </c>
      <c r="C35" t="s">
        <v>26</v>
      </c>
      <c r="D35" t="s">
        <v>26</v>
      </c>
      <c r="E35" t="s">
        <v>45</v>
      </c>
      <c r="F35" t="s">
        <v>28</v>
      </c>
      <c r="G35" t="s">
        <v>29</v>
      </c>
      <c r="H35" t="s">
        <v>67</v>
      </c>
      <c r="I35">
        <v>4</v>
      </c>
      <c r="J35" t="s">
        <v>148</v>
      </c>
      <c r="K35">
        <v>34</v>
      </c>
      <c r="L35" t="s">
        <v>80</v>
      </c>
      <c r="M35">
        <v>1</v>
      </c>
      <c r="N35" t="s">
        <v>91</v>
      </c>
      <c r="O35" t="s">
        <v>81</v>
      </c>
      <c r="P35" t="s">
        <v>35</v>
      </c>
      <c r="Q35" s="2">
        <v>28695</v>
      </c>
      <c r="R35" s="2">
        <v>2609.2600000000002</v>
      </c>
      <c r="S35" t="s">
        <v>115</v>
      </c>
      <c r="T35" t="s">
        <v>52</v>
      </c>
      <c r="U35" t="s">
        <v>83</v>
      </c>
      <c r="V35">
        <v>5</v>
      </c>
      <c r="W35" t="s">
        <v>103</v>
      </c>
      <c r="X35" t="s">
        <v>84</v>
      </c>
      <c r="Y35" t="s">
        <v>41</v>
      </c>
    </row>
    <row r="36" spans="1:25" x14ac:dyDescent="0.3">
      <c r="A36" t="s">
        <v>149</v>
      </c>
      <c r="B36" s="1">
        <v>44960</v>
      </c>
      <c r="C36" t="s">
        <v>117</v>
      </c>
      <c r="D36" t="s">
        <v>4083</v>
      </c>
      <c r="E36" t="s">
        <v>45</v>
      </c>
      <c r="F36" t="s">
        <v>28</v>
      </c>
      <c r="G36" t="s">
        <v>29</v>
      </c>
      <c r="H36" t="s">
        <v>67</v>
      </c>
      <c r="I36">
        <v>13</v>
      </c>
      <c r="J36" t="s">
        <v>150</v>
      </c>
      <c r="K36">
        <v>31</v>
      </c>
      <c r="L36" t="s">
        <v>63</v>
      </c>
      <c r="M36">
        <v>1</v>
      </c>
      <c r="N36" t="s">
        <v>91</v>
      </c>
      <c r="O36" t="s">
        <v>81</v>
      </c>
      <c r="P36" t="s">
        <v>70</v>
      </c>
      <c r="Q36" s="2">
        <v>13288.12</v>
      </c>
      <c r="R36" s="2">
        <v>678.25</v>
      </c>
      <c r="S36" t="s">
        <v>36</v>
      </c>
      <c r="T36" t="s">
        <v>71</v>
      </c>
      <c r="U36" t="s">
        <v>38</v>
      </c>
      <c r="V36">
        <v>1.4</v>
      </c>
      <c r="W36" t="s">
        <v>124</v>
      </c>
      <c r="X36" t="s">
        <v>84</v>
      </c>
      <c r="Y36" t="s">
        <v>72</v>
      </c>
    </row>
    <row r="37" spans="1:25" x14ac:dyDescent="0.3">
      <c r="A37" t="s">
        <v>151</v>
      </c>
      <c r="B37" s="1">
        <v>44961</v>
      </c>
      <c r="C37" t="s">
        <v>57</v>
      </c>
      <c r="D37" t="s">
        <v>44</v>
      </c>
      <c r="E37" t="s">
        <v>120</v>
      </c>
      <c r="F37" t="s">
        <v>28</v>
      </c>
      <c r="G37" t="s">
        <v>29</v>
      </c>
      <c r="H37" t="s">
        <v>86</v>
      </c>
      <c r="I37">
        <v>6</v>
      </c>
      <c r="J37" t="s">
        <v>152</v>
      </c>
      <c r="K37">
        <v>45</v>
      </c>
      <c r="L37" t="s">
        <v>80</v>
      </c>
      <c r="M37">
        <v>2</v>
      </c>
      <c r="N37" t="s">
        <v>91</v>
      </c>
      <c r="O37" t="s">
        <v>34</v>
      </c>
      <c r="P37" t="s">
        <v>70</v>
      </c>
      <c r="Q37" s="2">
        <v>44701.39</v>
      </c>
      <c r="R37" s="2">
        <v>1012.5</v>
      </c>
      <c r="S37" t="s">
        <v>94</v>
      </c>
      <c r="T37" t="s">
        <v>71</v>
      </c>
      <c r="U37" t="s">
        <v>38</v>
      </c>
      <c r="V37">
        <v>3.2</v>
      </c>
      <c r="W37" t="s">
        <v>76</v>
      </c>
      <c r="X37" t="s">
        <v>40</v>
      </c>
      <c r="Y37" t="s">
        <v>72</v>
      </c>
    </row>
    <row r="38" spans="1:25" x14ac:dyDescent="0.3">
      <c r="A38" t="s">
        <v>153</v>
      </c>
      <c r="B38" s="1">
        <v>44962</v>
      </c>
      <c r="C38" t="s">
        <v>43</v>
      </c>
      <c r="D38" t="s">
        <v>58</v>
      </c>
      <c r="E38" t="s">
        <v>4085</v>
      </c>
      <c r="F38" t="s">
        <v>60</v>
      </c>
      <c r="G38" t="s">
        <v>29</v>
      </c>
      <c r="H38" t="s">
        <v>59</v>
      </c>
      <c r="I38">
        <v>5</v>
      </c>
      <c r="J38" t="s">
        <v>154</v>
      </c>
      <c r="K38">
        <v>44</v>
      </c>
      <c r="L38" t="s">
        <v>32</v>
      </c>
      <c r="M38">
        <v>2</v>
      </c>
      <c r="N38" t="s">
        <v>48</v>
      </c>
      <c r="O38" t="s">
        <v>81</v>
      </c>
      <c r="P38" t="s">
        <v>82</v>
      </c>
      <c r="Q38" s="2">
        <v>20446.189999999999</v>
      </c>
      <c r="R38" s="2">
        <v>1556.3</v>
      </c>
      <c r="S38" t="s">
        <v>94</v>
      </c>
      <c r="T38" t="s">
        <v>37</v>
      </c>
      <c r="U38" t="s">
        <v>38</v>
      </c>
      <c r="V38">
        <v>3.1</v>
      </c>
      <c r="W38" t="s">
        <v>76</v>
      </c>
      <c r="X38" t="s">
        <v>55</v>
      </c>
      <c r="Y38" t="s">
        <v>72</v>
      </c>
    </row>
    <row r="39" spans="1:25" x14ac:dyDescent="0.3">
      <c r="A39" t="s">
        <v>155</v>
      </c>
      <c r="B39" s="1">
        <v>44963</v>
      </c>
      <c r="C39" t="s">
        <v>57</v>
      </c>
      <c r="D39" t="s">
        <v>44</v>
      </c>
      <c r="E39" t="s">
        <v>89</v>
      </c>
      <c r="F39" t="s">
        <v>28</v>
      </c>
      <c r="G39" t="s">
        <v>29</v>
      </c>
      <c r="H39" t="s">
        <v>61</v>
      </c>
      <c r="I39">
        <v>3</v>
      </c>
      <c r="J39" t="s">
        <v>156</v>
      </c>
      <c r="K39">
        <v>27</v>
      </c>
      <c r="L39" t="s">
        <v>80</v>
      </c>
      <c r="M39">
        <v>3</v>
      </c>
      <c r="N39" t="s">
        <v>64</v>
      </c>
      <c r="O39" t="s">
        <v>81</v>
      </c>
      <c r="P39" t="s">
        <v>50</v>
      </c>
      <c r="Q39" s="2">
        <v>22436.6</v>
      </c>
      <c r="R39" s="2">
        <v>2950.83</v>
      </c>
      <c r="S39" t="s">
        <v>51</v>
      </c>
      <c r="T39" t="s">
        <v>37</v>
      </c>
      <c r="U39" t="s">
        <v>53</v>
      </c>
      <c r="V39">
        <v>1.3</v>
      </c>
      <c r="W39" t="s">
        <v>124</v>
      </c>
      <c r="X39" t="s">
        <v>106</v>
      </c>
      <c r="Y39" t="s">
        <v>72</v>
      </c>
    </row>
    <row r="40" spans="1:25" x14ac:dyDescent="0.3">
      <c r="A40" t="s">
        <v>157</v>
      </c>
      <c r="B40" s="1">
        <v>44964</v>
      </c>
      <c r="C40" t="s">
        <v>43</v>
      </c>
      <c r="D40" t="s">
        <v>58</v>
      </c>
      <c r="E40" t="s">
        <v>45</v>
      </c>
      <c r="F40" t="s">
        <v>28</v>
      </c>
      <c r="G40" t="s">
        <v>29</v>
      </c>
      <c r="H40" t="s">
        <v>67</v>
      </c>
      <c r="I40">
        <v>14</v>
      </c>
      <c r="J40" t="s">
        <v>158</v>
      </c>
      <c r="K40">
        <v>20</v>
      </c>
      <c r="L40" t="s">
        <v>80</v>
      </c>
      <c r="M40">
        <v>7</v>
      </c>
      <c r="N40" t="s">
        <v>48</v>
      </c>
      <c r="O40" t="s">
        <v>49</v>
      </c>
      <c r="P40" t="s">
        <v>70</v>
      </c>
      <c r="Q40" s="2">
        <v>35258.07</v>
      </c>
      <c r="R40" s="2">
        <v>1661.89</v>
      </c>
      <c r="S40" t="s">
        <v>36</v>
      </c>
      <c r="T40" t="s">
        <v>71</v>
      </c>
      <c r="U40" t="s">
        <v>53</v>
      </c>
      <c r="V40">
        <v>3.5</v>
      </c>
      <c r="W40" t="s">
        <v>54</v>
      </c>
      <c r="X40" t="s">
        <v>106</v>
      </c>
      <c r="Y40" t="s">
        <v>72</v>
      </c>
    </row>
    <row r="41" spans="1:25" x14ac:dyDescent="0.3">
      <c r="A41" t="s">
        <v>159</v>
      </c>
      <c r="B41" s="1">
        <v>44965</v>
      </c>
      <c r="C41" t="s">
        <v>117</v>
      </c>
      <c r="D41" t="s">
        <v>4083</v>
      </c>
      <c r="E41" t="s">
        <v>4085</v>
      </c>
      <c r="F41" t="s">
        <v>60</v>
      </c>
      <c r="G41" t="s">
        <v>29</v>
      </c>
      <c r="H41" t="s">
        <v>59</v>
      </c>
      <c r="I41">
        <v>12</v>
      </c>
      <c r="J41" t="s">
        <v>160</v>
      </c>
      <c r="K41">
        <v>53</v>
      </c>
      <c r="L41" t="s">
        <v>32</v>
      </c>
      <c r="M41">
        <v>3</v>
      </c>
      <c r="N41" t="s">
        <v>48</v>
      </c>
      <c r="O41" t="s">
        <v>49</v>
      </c>
      <c r="P41" t="s">
        <v>35</v>
      </c>
      <c r="Q41" s="2">
        <v>26995.94</v>
      </c>
      <c r="R41" s="2">
        <v>3735.27</v>
      </c>
      <c r="S41" t="s">
        <v>36</v>
      </c>
      <c r="T41" t="s">
        <v>71</v>
      </c>
      <c r="U41" t="s">
        <v>83</v>
      </c>
      <c r="V41">
        <v>2.1</v>
      </c>
      <c r="W41" t="s">
        <v>76</v>
      </c>
      <c r="X41" t="s">
        <v>40</v>
      </c>
      <c r="Y41" t="s">
        <v>72</v>
      </c>
    </row>
    <row r="42" spans="1:25" x14ac:dyDescent="0.3">
      <c r="A42" t="s">
        <v>161</v>
      </c>
      <c r="B42" s="1">
        <v>44966</v>
      </c>
      <c r="C42" t="s">
        <v>78</v>
      </c>
      <c r="D42" t="s">
        <v>58</v>
      </c>
      <c r="E42" t="s">
        <v>4084</v>
      </c>
      <c r="F42" t="s">
        <v>60</v>
      </c>
      <c r="G42" t="s">
        <v>29</v>
      </c>
      <c r="H42" t="s">
        <v>27</v>
      </c>
      <c r="I42">
        <v>10</v>
      </c>
      <c r="J42" t="s">
        <v>162</v>
      </c>
      <c r="K42">
        <v>55</v>
      </c>
      <c r="L42" t="s">
        <v>80</v>
      </c>
      <c r="M42">
        <v>3</v>
      </c>
      <c r="N42" t="s">
        <v>64</v>
      </c>
      <c r="O42" t="s">
        <v>34</v>
      </c>
      <c r="P42" t="s">
        <v>70</v>
      </c>
      <c r="Q42" s="2">
        <v>9017.65</v>
      </c>
      <c r="R42" s="2">
        <v>3081.47</v>
      </c>
      <c r="S42" t="s">
        <v>51</v>
      </c>
      <c r="T42" t="s">
        <v>71</v>
      </c>
      <c r="U42" t="s">
        <v>75</v>
      </c>
      <c r="V42">
        <v>1.4</v>
      </c>
      <c r="W42" t="s">
        <v>124</v>
      </c>
      <c r="X42" t="s">
        <v>106</v>
      </c>
      <c r="Y42" t="s">
        <v>41</v>
      </c>
    </row>
    <row r="43" spans="1:25" x14ac:dyDescent="0.3">
      <c r="A43" t="s">
        <v>163</v>
      </c>
      <c r="B43" s="1">
        <v>44967</v>
      </c>
      <c r="C43" t="s">
        <v>26</v>
      </c>
      <c r="D43" t="s">
        <v>26</v>
      </c>
      <c r="E43" t="s">
        <v>45</v>
      </c>
      <c r="F43" t="s">
        <v>28</v>
      </c>
      <c r="G43" t="s">
        <v>29</v>
      </c>
      <c r="H43" t="s">
        <v>67</v>
      </c>
      <c r="I43">
        <v>7</v>
      </c>
      <c r="J43" t="s">
        <v>164</v>
      </c>
      <c r="K43">
        <v>42</v>
      </c>
      <c r="L43" t="s">
        <v>32</v>
      </c>
      <c r="M43">
        <v>1</v>
      </c>
      <c r="N43" t="s">
        <v>48</v>
      </c>
      <c r="O43" t="s">
        <v>69</v>
      </c>
      <c r="P43" t="s">
        <v>82</v>
      </c>
      <c r="Q43" s="2">
        <v>22434.87</v>
      </c>
      <c r="R43" s="2">
        <v>4369.12</v>
      </c>
      <c r="S43" t="s">
        <v>51</v>
      </c>
      <c r="T43" t="s">
        <v>37</v>
      </c>
      <c r="U43" t="s">
        <v>75</v>
      </c>
      <c r="V43">
        <v>1.7</v>
      </c>
      <c r="W43" t="s">
        <v>124</v>
      </c>
      <c r="X43" t="s">
        <v>65</v>
      </c>
      <c r="Y43" t="s">
        <v>72</v>
      </c>
    </row>
    <row r="44" spans="1:25" x14ac:dyDescent="0.3">
      <c r="A44" t="s">
        <v>165</v>
      </c>
      <c r="B44" s="1">
        <v>44968</v>
      </c>
      <c r="C44" t="s">
        <v>117</v>
      </c>
      <c r="D44" t="s">
        <v>4083</v>
      </c>
      <c r="E44" t="s">
        <v>89</v>
      </c>
      <c r="F44" t="s">
        <v>28</v>
      </c>
      <c r="G44" t="s">
        <v>29</v>
      </c>
      <c r="H44" t="s">
        <v>61</v>
      </c>
      <c r="I44">
        <v>6</v>
      </c>
      <c r="J44" t="s">
        <v>166</v>
      </c>
      <c r="K44">
        <v>39</v>
      </c>
      <c r="L44" t="s">
        <v>80</v>
      </c>
      <c r="M44">
        <v>6</v>
      </c>
      <c r="N44" t="s">
        <v>33</v>
      </c>
      <c r="O44" t="s">
        <v>49</v>
      </c>
      <c r="P44" t="s">
        <v>50</v>
      </c>
      <c r="Q44" s="2">
        <v>9250.98</v>
      </c>
      <c r="R44" s="2">
        <v>2504.81</v>
      </c>
      <c r="S44" t="s">
        <v>94</v>
      </c>
      <c r="T44" t="s">
        <v>37</v>
      </c>
      <c r="U44" t="s">
        <v>38</v>
      </c>
      <c r="V44">
        <v>4.3</v>
      </c>
      <c r="W44" t="s">
        <v>39</v>
      </c>
      <c r="X44" t="s">
        <v>106</v>
      </c>
      <c r="Y44" t="s">
        <v>41</v>
      </c>
    </row>
    <row r="45" spans="1:25" x14ac:dyDescent="0.3">
      <c r="A45" t="s">
        <v>167</v>
      </c>
      <c r="B45" s="1">
        <v>44969</v>
      </c>
      <c r="C45" t="s">
        <v>26</v>
      </c>
      <c r="D45" t="s">
        <v>26</v>
      </c>
      <c r="E45" t="s">
        <v>4084</v>
      </c>
      <c r="F45" t="s">
        <v>60</v>
      </c>
      <c r="G45" t="s">
        <v>29</v>
      </c>
      <c r="H45" t="s">
        <v>30</v>
      </c>
      <c r="I45">
        <v>12</v>
      </c>
      <c r="J45" t="s">
        <v>168</v>
      </c>
      <c r="K45">
        <v>65</v>
      </c>
      <c r="L45" t="s">
        <v>63</v>
      </c>
      <c r="M45">
        <v>6</v>
      </c>
      <c r="N45" t="s">
        <v>48</v>
      </c>
      <c r="O45" t="s">
        <v>49</v>
      </c>
      <c r="P45" t="s">
        <v>70</v>
      </c>
      <c r="Q45" s="2">
        <v>13583.77</v>
      </c>
      <c r="R45" s="2">
        <v>1655.88</v>
      </c>
      <c r="S45" t="s">
        <v>94</v>
      </c>
      <c r="T45" t="s">
        <v>71</v>
      </c>
      <c r="U45" t="s">
        <v>38</v>
      </c>
      <c r="V45">
        <v>1.4</v>
      </c>
      <c r="W45" t="s">
        <v>124</v>
      </c>
      <c r="X45" t="s">
        <v>65</v>
      </c>
      <c r="Y45" t="s">
        <v>41</v>
      </c>
    </row>
    <row r="46" spans="1:25" x14ac:dyDescent="0.3">
      <c r="A46" t="s">
        <v>169</v>
      </c>
      <c r="B46" s="1">
        <v>44970</v>
      </c>
      <c r="C46" t="s">
        <v>78</v>
      </c>
      <c r="D46" t="s">
        <v>58</v>
      </c>
      <c r="E46" t="s">
        <v>4084</v>
      </c>
      <c r="F46" t="s">
        <v>60</v>
      </c>
      <c r="G46" t="s">
        <v>29</v>
      </c>
      <c r="H46" t="s">
        <v>30</v>
      </c>
      <c r="I46">
        <v>14</v>
      </c>
      <c r="J46" t="s">
        <v>170</v>
      </c>
      <c r="K46">
        <v>56</v>
      </c>
      <c r="L46" t="s">
        <v>80</v>
      </c>
      <c r="M46">
        <v>6</v>
      </c>
      <c r="N46" t="s">
        <v>91</v>
      </c>
      <c r="O46" t="s">
        <v>69</v>
      </c>
      <c r="P46" t="s">
        <v>82</v>
      </c>
      <c r="Q46" s="2">
        <v>5322.85</v>
      </c>
      <c r="R46" s="2">
        <v>4981.3599999999997</v>
      </c>
      <c r="S46" t="s">
        <v>94</v>
      </c>
      <c r="T46" t="s">
        <v>37</v>
      </c>
      <c r="U46" t="s">
        <v>53</v>
      </c>
      <c r="V46">
        <v>2.9</v>
      </c>
      <c r="W46" t="s">
        <v>76</v>
      </c>
      <c r="X46" t="s">
        <v>40</v>
      </c>
      <c r="Y46" t="s">
        <v>41</v>
      </c>
    </row>
    <row r="47" spans="1:25" x14ac:dyDescent="0.3">
      <c r="A47" t="s">
        <v>171</v>
      </c>
      <c r="B47" s="1">
        <v>44971</v>
      </c>
      <c r="C47" t="s">
        <v>78</v>
      </c>
      <c r="D47" t="s">
        <v>58</v>
      </c>
      <c r="E47" t="s">
        <v>89</v>
      </c>
      <c r="F47" t="s">
        <v>28</v>
      </c>
      <c r="G47" t="s">
        <v>29</v>
      </c>
      <c r="H47" t="s">
        <v>61</v>
      </c>
      <c r="I47">
        <v>7</v>
      </c>
      <c r="J47" t="s">
        <v>172</v>
      </c>
      <c r="K47">
        <v>64</v>
      </c>
      <c r="L47" t="s">
        <v>32</v>
      </c>
      <c r="M47">
        <v>6</v>
      </c>
      <c r="N47" t="s">
        <v>48</v>
      </c>
      <c r="O47" t="s">
        <v>34</v>
      </c>
      <c r="P47" t="s">
        <v>70</v>
      </c>
      <c r="Q47" s="2">
        <v>13159.09</v>
      </c>
      <c r="R47" s="2">
        <v>1778.17</v>
      </c>
      <c r="S47" t="s">
        <v>36</v>
      </c>
      <c r="T47" t="s">
        <v>37</v>
      </c>
      <c r="U47" t="s">
        <v>38</v>
      </c>
      <c r="V47">
        <v>1.8</v>
      </c>
      <c r="W47" t="s">
        <v>124</v>
      </c>
      <c r="X47" t="s">
        <v>40</v>
      </c>
      <c r="Y47" t="s">
        <v>41</v>
      </c>
    </row>
    <row r="48" spans="1:25" x14ac:dyDescent="0.3">
      <c r="A48" t="s">
        <v>173</v>
      </c>
      <c r="B48" s="1">
        <v>44972</v>
      </c>
      <c r="C48" t="s">
        <v>117</v>
      </c>
      <c r="D48" t="s">
        <v>4083</v>
      </c>
      <c r="E48" t="s">
        <v>45</v>
      </c>
      <c r="F48" t="s">
        <v>28</v>
      </c>
      <c r="G48" t="s">
        <v>29</v>
      </c>
      <c r="H48" t="s">
        <v>67</v>
      </c>
      <c r="I48">
        <v>6</v>
      </c>
      <c r="J48" t="s">
        <v>174</v>
      </c>
      <c r="K48">
        <v>47</v>
      </c>
      <c r="L48" t="s">
        <v>63</v>
      </c>
      <c r="M48">
        <v>3</v>
      </c>
      <c r="N48" t="s">
        <v>91</v>
      </c>
      <c r="O48" t="s">
        <v>49</v>
      </c>
      <c r="P48" t="s">
        <v>50</v>
      </c>
      <c r="Q48" s="2">
        <v>19870.13</v>
      </c>
      <c r="R48" s="2">
        <v>2143.0100000000002</v>
      </c>
      <c r="S48" t="s">
        <v>36</v>
      </c>
      <c r="T48" t="s">
        <v>71</v>
      </c>
      <c r="U48" t="s">
        <v>83</v>
      </c>
      <c r="V48">
        <v>1.6</v>
      </c>
      <c r="W48" t="s">
        <v>124</v>
      </c>
      <c r="X48" t="s">
        <v>65</v>
      </c>
      <c r="Y48" t="s">
        <v>41</v>
      </c>
    </row>
    <row r="49" spans="1:25" x14ac:dyDescent="0.3">
      <c r="A49" t="s">
        <v>175</v>
      </c>
      <c r="B49" s="1">
        <v>44973</v>
      </c>
      <c r="C49" t="s">
        <v>78</v>
      </c>
      <c r="D49" t="s">
        <v>58</v>
      </c>
      <c r="E49" t="s">
        <v>120</v>
      </c>
      <c r="F49" t="s">
        <v>28</v>
      </c>
      <c r="G49" t="s">
        <v>29</v>
      </c>
      <c r="H49" t="s">
        <v>86</v>
      </c>
      <c r="I49">
        <v>5</v>
      </c>
      <c r="J49" t="s">
        <v>176</v>
      </c>
      <c r="K49">
        <v>38</v>
      </c>
      <c r="L49" t="s">
        <v>32</v>
      </c>
      <c r="M49">
        <v>1</v>
      </c>
      <c r="N49" t="s">
        <v>48</v>
      </c>
      <c r="O49" t="s">
        <v>81</v>
      </c>
      <c r="P49" t="s">
        <v>35</v>
      </c>
      <c r="Q49" s="2">
        <v>29219.83</v>
      </c>
      <c r="R49" s="2">
        <v>4045.64</v>
      </c>
      <c r="S49" t="s">
        <v>51</v>
      </c>
      <c r="T49" t="s">
        <v>37</v>
      </c>
      <c r="U49" t="s">
        <v>83</v>
      </c>
      <c r="V49">
        <v>1.8</v>
      </c>
      <c r="W49" t="s">
        <v>124</v>
      </c>
      <c r="X49" t="s">
        <v>106</v>
      </c>
      <c r="Y49" t="s">
        <v>72</v>
      </c>
    </row>
    <row r="50" spans="1:25" x14ac:dyDescent="0.3">
      <c r="A50" t="s">
        <v>177</v>
      </c>
      <c r="B50" s="1">
        <v>44974</v>
      </c>
      <c r="C50" t="s">
        <v>43</v>
      </c>
      <c r="D50" t="s">
        <v>58</v>
      </c>
      <c r="E50" t="s">
        <v>89</v>
      </c>
      <c r="F50" t="s">
        <v>28</v>
      </c>
      <c r="G50" t="s">
        <v>29</v>
      </c>
      <c r="H50" t="s">
        <v>61</v>
      </c>
      <c r="I50">
        <v>7</v>
      </c>
      <c r="J50" t="s">
        <v>178</v>
      </c>
      <c r="K50">
        <v>47</v>
      </c>
      <c r="L50" t="s">
        <v>80</v>
      </c>
      <c r="M50">
        <v>6</v>
      </c>
      <c r="N50" t="s">
        <v>91</v>
      </c>
      <c r="O50" t="s">
        <v>34</v>
      </c>
      <c r="P50" t="s">
        <v>82</v>
      </c>
      <c r="Q50" s="2">
        <v>46367.47</v>
      </c>
      <c r="R50" s="2">
        <v>443.18</v>
      </c>
      <c r="S50" t="s">
        <v>115</v>
      </c>
      <c r="T50" t="s">
        <v>71</v>
      </c>
      <c r="U50" t="s">
        <v>38</v>
      </c>
      <c r="V50">
        <v>3</v>
      </c>
      <c r="W50" t="s">
        <v>39</v>
      </c>
      <c r="X50" t="s">
        <v>40</v>
      </c>
      <c r="Y50" t="s">
        <v>72</v>
      </c>
    </row>
    <row r="51" spans="1:25" x14ac:dyDescent="0.3">
      <c r="A51" t="s">
        <v>179</v>
      </c>
      <c r="B51" s="1">
        <v>44975</v>
      </c>
      <c r="C51" t="s">
        <v>78</v>
      </c>
      <c r="D51" t="s">
        <v>58</v>
      </c>
      <c r="E51" t="s">
        <v>89</v>
      </c>
      <c r="F51" t="s">
        <v>28</v>
      </c>
      <c r="G51" t="s">
        <v>29</v>
      </c>
      <c r="H51" t="s">
        <v>61</v>
      </c>
      <c r="I51">
        <v>6</v>
      </c>
      <c r="J51" t="s">
        <v>180</v>
      </c>
      <c r="K51">
        <v>45</v>
      </c>
      <c r="L51" t="s">
        <v>63</v>
      </c>
      <c r="M51">
        <v>5</v>
      </c>
      <c r="N51" t="s">
        <v>91</v>
      </c>
      <c r="O51" t="s">
        <v>69</v>
      </c>
      <c r="P51" t="s">
        <v>82</v>
      </c>
      <c r="Q51" s="2">
        <v>29314.71</v>
      </c>
      <c r="R51" s="2">
        <v>1932.45</v>
      </c>
      <c r="S51" t="s">
        <v>115</v>
      </c>
      <c r="T51" t="s">
        <v>52</v>
      </c>
      <c r="U51" t="s">
        <v>38</v>
      </c>
      <c r="V51">
        <v>2</v>
      </c>
      <c r="W51" t="s">
        <v>76</v>
      </c>
      <c r="X51" t="s">
        <v>40</v>
      </c>
      <c r="Y51" t="s">
        <v>41</v>
      </c>
    </row>
    <row r="52" spans="1:25" x14ac:dyDescent="0.3">
      <c r="A52" t="s">
        <v>181</v>
      </c>
      <c r="B52" s="1">
        <v>44976</v>
      </c>
      <c r="C52" t="s">
        <v>26</v>
      </c>
      <c r="D52" t="s">
        <v>26</v>
      </c>
      <c r="E52" t="s">
        <v>89</v>
      </c>
      <c r="F52" t="s">
        <v>28</v>
      </c>
      <c r="G52" t="s">
        <v>29</v>
      </c>
      <c r="H52" t="s">
        <v>61</v>
      </c>
      <c r="I52">
        <v>3</v>
      </c>
      <c r="J52" t="s">
        <v>182</v>
      </c>
      <c r="K52">
        <v>48</v>
      </c>
      <c r="L52" t="s">
        <v>32</v>
      </c>
      <c r="M52">
        <v>4</v>
      </c>
      <c r="N52" t="s">
        <v>91</v>
      </c>
      <c r="O52" t="s">
        <v>69</v>
      </c>
      <c r="P52" t="s">
        <v>50</v>
      </c>
      <c r="Q52" s="2">
        <v>36752.160000000003</v>
      </c>
      <c r="R52" s="2">
        <v>428.55</v>
      </c>
      <c r="S52" t="s">
        <v>115</v>
      </c>
      <c r="T52" t="s">
        <v>52</v>
      </c>
      <c r="U52" t="s">
        <v>38</v>
      </c>
      <c r="V52">
        <v>1.4</v>
      </c>
      <c r="W52" t="s">
        <v>124</v>
      </c>
      <c r="X52" t="s">
        <v>65</v>
      </c>
      <c r="Y52" t="s">
        <v>72</v>
      </c>
    </row>
    <row r="53" spans="1:25" x14ac:dyDescent="0.3">
      <c r="A53" t="s">
        <v>183</v>
      </c>
      <c r="B53" s="1">
        <v>44977</v>
      </c>
      <c r="C53" t="s">
        <v>26</v>
      </c>
      <c r="D53" t="s">
        <v>26</v>
      </c>
      <c r="E53" t="s">
        <v>4084</v>
      </c>
      <c r="F53" t="s">
        <v>60</v>
      </c>
      <c r="G53" t="s">
        <v>29</v>
      </c>
      <c r="H53" t="s">
        <v>27</v>
      </c>
      <c r="I53">
        <v>14</v>
      </c>
      <c r="J53" t="s">
        <v>184</v>
      </c>
      <c r="K53">
        <v>69</v>
      </c>
      <c r="L53" t="s">
        <v>63</v>
      </c>
      <c r="M53">
        <v>5</v>
      </c>
      <c r="N53" t="s">
        <v>64</v>
      </c>
      <c r="O53" t="s">
        <v>81</v>
      </c>
      <c r="P53" t="s">
        <v>82</v>
      </c>
      <c r="Q53" s="2">
        <v>21095.47</v>
      </c>
      <c r="R53" s="2">
        <v>696.53</v>
      </c>
      <c r="S53" t="s">
        <v>115</v>
      </c>
      <c r="T53" t="s">
        <v>52</v>
      </c>
      <c r="U53" t="s">
        <v>38</v>
      </c>
      <c r="V53">
        <v>4.2</v>
      </c>
      <c r="W53" t="s">
        <v>54</v>
      </c>
      <c r="X53" t="s">
        <v>40</v>
      </c>
      <c r="Y53" t="s">
        <v>41</v>
      </c>
    </row>
    <row r="54" spans="1:25" x14ac:dyDescent="0.3">
      <c r="A54" t="s">
        <v>185</v>
      </c>
      <c r="B54" s="1">
        <v>44978</v>
      </c>
      <c r="C54" t="s">
        <v>26</v>
      </c>
      <c r="D54" t="s">
        <v>26</v>
      </c>
      <c r="E54" t="s">
        <v>4085</v>
      </c>
      <c r="F54" t="s">
        <v>60</v>
      </c>
      <c r="G54" t="s">
        <v>29</v>
      </c>
      <c r="H54" t="s">
        <v>59</v>
      </c>
      <c r="I54">
        <v>5</v>
      </c>
      <c r="J54" t="s">
        <v>186</v>
      </c>
      <c r="K54">
        <v>43</v>
      </c>
      <c r="L54" t="s">
        <v>63</v>
      </c>
      <c r="M54">
        <v>1</v>
      </c>
      <c r="N54" t="s">
        <v>48</v>
      </c>
      <c r="O54" t="s">
        <v>81</v>
      </c>
      <c r="P54" t="s">
        <v>50</v>
      </c>
      <c r="Q54" s="2">
        <v>38823.39</v>
      </c>
      <c r="R54" s="2">
        <v>23.2</v>
      </c>
      <c r="S54" t="s">
        <v>115</v>
      </c>
      <c r="T54" t="s">
        <v>37</v>
      </c>
      <c r="U54" t="s">
        <v>38</v>
      </c>
      <c r="V54">
        <v>3.2</v>
      </c>
      <c r="W54" t="s">
        <v>76</v>
      </c>
      <c r="X54" t="s">
        <v>106</v>
      </c>
      <c r="Y54" t="s">
        <v>72</v>
      </c>
    </row>
    <row r="55" spans="1:25" x14ac:dyDescent="0.3">
      <c r="A55" t="s">
        <v>187</v>
      </c>
      <c r="B55" s="1">
        <v>44979</v>
      </c>
      <c r="C55" t="s">
        <v>26</v>
      </c>
      <c r="D55" t="s">
        <v>26</v>
      </c>
      <c r="E55" t="s">
        <v>120</v>
      </c>
      <c r="F55" t="s">
        <v>28</v>
      </c>
      <c r="G55" t="s">
        <v>29</v>
      </c>
      <c r="H55" t="s">
        <v>86</v>
      </c>
      <c r="I55">
        <v>12</v>
      </c>
      <c r="J55" t="s">
        <v>188</v>
      </c>
      <c r="K55">
        <v>60</v>
      </c>
      <c r="L55" t="s">
        <v>32</v>
      </c>
      <c r="M55">
        <v>1</v>
      </c>
      <c r="N55" t="s">
        <v>48</v>
      </c>
      <c r="O55" t="s">
        <v>81</v>
      </c>
      <c r="P55" t="s">
        <v>82</v>
      </c>
      <c r="Q55" s="2">
        <v>32921.089999999997</v>
      </c>
      <c r="R55" s="2">
        <v>47.72</v>
      </c>
      <c r="S55" t="s">
        <v>94</v>
      </c>
      <c r="T55" t="s">
        <v>52</v>
      </c>
      <c r="U55" t="s">
        <v>83</v>
      </c>
      <c r="V55">
        <v>1.6</v>
      </c>
      <c r="W55" t="s">
        <v>124</v>
      </c>
      <c r="X55" t="s">
        <v>40</v>
      </c>
      <c r="Y55" t="s">
        <v>41</v>
      </c>
    </row>
    <row r="56" spans="1:25" x14ac:dyDescent="0.3">
      <c r="A56" t="s">
        <v>189</v>
      </c>
      <c r="B56" s="1">
        <v>44980</v>
      </c>
      <c r="C56" t="s">
        <v>43</v>
      </c>
      <c r="D56" t="s">
        <v>58</v>
      </c>
      <c r="E56" t="s">
        <v>45</v>
      </c>
      <c r="F56" t="s">
        <v>28</v>
      </c>
      <c r="G56" t="s">
        <v>29</v>
      </c>
      <c r="H56" t="s">
        <v>67</v>
      </c>
      <c r="I56">
        <v>12</v>
      </c>
      <c r="J56" t="s">
        <v>190</v>
      </c>
      <c r="K56">
        <v>39</v>
      </c>
      <c r="L56" t="s">
        <v>63</v>
      </c>
      <c r="M56">
        <v>4</v>
      </c>
      <c r="N56" t="s">
        <v>33</v>
      </c>
      <c r="O56" t="s">
        <v>34</v>
      </c>
      <c r="P56" t="s">
        <v>50</v>
      </c>
      <c r="Q56" s="2">
        <v>25690.73</v>
      </c>
      <c r="R56" s="2">
        <v>1901.44</v>
      </c>
      <c r="S56" t="s">
        <v>51</v>
      </c>
      <c r="T56" t="s">
        <v>37</v>
      </c>
      <c r="U56" t="s">
        <v>75</v>
      </c>
      <c r="V56">
        <v>2.9</v>
      </c>
      <c r="W56" t="s">
        <v>76</v>
      </c>
      <c r="X56" t="s">
        <v>65</v>
      </c>
      <c r="Y56" t="s">
        <v>41</v>
      </c>
    </row>
    <row r="57" spans="1:25" x14ac:dyDescent="0.3">
      <c r="A57" t="s">
        <v>191</v>
      </c>
      <c r="B57" s="1">
        <v>44981</v>
      </c>
      <c r="C57" t="s">
        <v>57</v>
      </c>
      <c r="D57" t="s">
        <v>44</v>
      </c>
      <c r="E57" t="s">
        <v>45</v>
      </c>
      <c r="F57" t="s">
        <v>28</v>
      </c>
      <c r="G57" t="s">
        <v>29</v>
      </c>
      <c r="H57" t="s">
        <v>67</v>
      </c>
      <c r="I57">
        <v>10</v>
      </c>
      <c r="J57" t="s">
        <v>192</v>
      </c>
      <c r="K57">
        <v>38</v>
      </c>
      <c r="L57" t="s">
        <v>32</v>
      </c>
      <c r="M57">
        <v>2</v>
      </c>
      <c r="N57" t="s">
        <v>33</v>
      </c>
      <c r="O57" t="s">
        <v>69</v>
      </c>
      <c r="P57" t="s">
        <v>70</v>
      </c>
      <c r="Q57" s="2">
        <v>13719.6</v>
      </c>
      <c r="R57" s="2">
        <v>4045.82</v>
      </c>
      <c r="S57" t="s">
        <v>115</v>
      </c>
      <c r="T57" t="s">
        <v>71</v>
      </c>
      <c r="U57" t="s">
        <v>83</v>
      </c>
      <c r="V57">
        <v>1.3</v>
      </c>
      <c r="W57" t="s">
        <v>124</v>
      </c>
      <c r="X57" t="s">
        <v>106</v>
      </c>
      <c r="Y57" t="s">
        <v>41</v>
      </c>
    </row>
    <row r="58" spans="1:25" x14ac:dyDescent="0.3">
      <c r="A58" t="s">
        <v>193</v>
      </c>
      <c r="B58" s="1">
        <v>44982</v>
      </c>
      <c r="C58" t="s">
        <v>117</v>
      </c>
      <c r="D58" t="s">
        <v>4083</v>
      </c>
      <c r="E58" t="s">
        <v>4085</v>
      </c>
      <c r="F58" t="s">
        <v>60</v>
      </c>
      <c r="G58" t="s">
        <v>29</v>
      </c>
      <c r="H58" t="s">
        <v>59</v>
      </c>
      <c r="I58">
        <v>9</v>
      </c>
      <c r="J58" t="s">
        <v>194</v>
      </c>
      <c r="K58">
        <v>18</v>
      </c>
      <c r="L58" t="s">
        <v>63</v>
      </c>
      <c r="M58">
        <v>2</v>
      </c>
      <c r="N58" t="s">
        <v>33</v>
      </c>
      <c r="O58" t="s">
        <v>81</v>
      </c>
      <c r="P58" t="s">
        <v>70</v>
      </c>
      <c r="Q58" s="2">
        <v>18659.34</v>
      </c>
      <c r="R58" s="2">
        <v>2935.02</v>
      </c>
      <c r="S58" t="s">
        <v>115</v>
      </c>
      <c r="T58" t="s">
        <v>52</v>
      </c>
      <c r="U58" t="s">
        <v>83</v>
      </c>
      <c r="V58">
        <v>3.3</v>
      </c>
      <c r="W58" t="s">
        <v>76</v>
      </c>
      <c r="X58" t="s">
        <v>55</v>
      </c>
      <c r="Y58" t="s">
        <v>72</v>
      </c>
    </row>
    <row r="59" spans="1:25" x14ac:dyDescent="0.3">
      <c r="A59" t="s">
        <v>195</v>
      </c>
      <c r="B59" s="1">
        <v>44983</v>
      </c>
      <c r="C59" t="s">
        <v>26</v>
      </c>
      <c r="D59" t="s">
        <v>26</v>
      </c>
      <c r="E59" t="s">
        <v>89</v>
      </c>
      <c r="F59" t="s">
        <v>28</v>
      </c>
      <c r="G59" t="s">
        <v>29</v>
      </c>
      <c r="H59" t="s">
        <v>61</v>
      </c>
      <c r="I59">
        <v>4</v>
      </c>
      <c r="J59" t="s">
        <v>196</v>
      </c>
      <c r="K59">
        <v>54</v>
      </c>
      <c r="L59" t="s">
        <v>63</v>
      </c>
      <c r="M59">
        <v>2</v>
      </c>
      <c r="N59" t="s">
        <v>48</v>
      </c>
      <c r="O59" t="s">
        <v>81</v>
      </c>
      <c r="P59" t="s">
        <v>70</v>
      </c>
      <c r="Q59" s="2">
        <v>32942.57</v>
      </c>
      <c r="R59" s="2">
        <v>3174.57</v>
      </c>
      <c r="S59" t="s">
        <v>115</v>
      </c>
      <c r="T59" t="s">
        <v>37</v>
      </c>
      <c r="U59" t="s">
        <v>38</v>
      </c>
      <c r="V59">
        <v>2.4</v>
      </c>
      <c r="W59" t="s">
        <v>76</v>
      </c>
      <c r="X59" t="s">
        <v>65</v>
      </c>
      <c r="Y59" t="s">
        <v>72</v>
      </c>
    </row>
    <row r="60" spans="1:25" x14ac:dyDescent="0.3">
      <c r="A60" t="s">
        <v>197</v>
      </c>
      <c r="B60" s="1">
        <v>44984</v>
      </c>
      <c r="C60" t="s">
        <v>78</v>
      </c>
      <c r="D60" t="s">
        <v>58</v>
      </c>
      <c r="E60" t="s">
        <v>120</v>
      </c>
      <c r="F60" t="s">
        <v>28</v>
      </c>
      <c r="G60" t="s">
        <v>29</v>
      </c>
      <c r="H60" t="s">
        <v>86</v>
      </c>
      <c r="I60">
        <v>3</v>
      </c>
      <c r="J60" t="s">
        <v>198</v>
      </c>
      <c r="K60">
        <v>30</v>
      </c>
      <c r="L60" t="s">
        <v>63</v>
      </c>
      <c r="M60">
        <v>3</v>
      </c>
      <c r="N60" t="s">
        <v>64</v>
      </c>
      <c r="O60" t="s">
        <v>69</v>
      </c>
      <c r="P60" t="s">
        <v>82</v>
      </c>
      <c r="Q60" s="2">
        <v>24172.53</v>
      </c>
      <c r="R60" s="2">
        <v>2596.25</v>
      </c>
      <c r="S60" t="s">
        <v>94</v>
      </c>
      <c r="T60" t="s">
        <v>52</v>
      </c>
      <c r="U60" t="s">
        <v>75</v>
      </c>
      <c r="V60">
        <v>1.4</v>
      </c>
      <c r="W60" t="s">
        <v>124</v>
      </c>
      <c r="X60" t="s">
        <v>55</v>
      </c>
      <c r="Y60" t="s">
        <v>41</v>
      </c>
    </row>
    <row r="61" spans="1:25" x14ac:dyDescent="0.3">
      <c r="A61" t="s">
        <v>199</v>
      </c>
      <c r="B61" s="1">
        <v>44985</v>
      </c>
      <c r="C61" t="s">
        <v>26</v>
      </c>
      <c r="D61" t="s">
        <v>26</v>
      </c>
      <c r="E61" t="s">
        <v>45</v>
      </c>
      <c r="F61" t="s">
        <v>28</v>
      </c>
      <c r="G61" t="s">
        <v>29</v>
      </c>
      <c r="H61" t="s">
        <v>67</v>
      </c>
      <c r="I61">
        <v>5</v>
      </c>
      <c r="J61" t="s">
        <v>200</v>
      </c>
      <c r="K61">
        <v>38</v>
      </c>
      <c r="L61" t="s">
        <v>80</v>
      </c>
      <c r="M61">
        <v>2</v>
      </c>
      <c r="N61" t="s">
        <v>91</v>
      </c>
      <c r="O61" t="s">
        <v>49</v>
      </c>
      <c r="P61" t="s">
        <v>50</v>
      </c>
      <c r="Q61" s="2">
        <v>45022.400000000001</v>
      </c>
      <c r="R61" s="2">
        <v>4098.97</v>
      </c>
      <c r="S61" t="s">
        <v>115</v>
      </c>
      <c r="T61" t="s">
        <v>37</v>
      </c>
      <c r="U61" t="s">
        <v>38</v>
      </c>
      <c r="V61">
        <v>1.7</v>
      </c>
      <c r="W61" t="s">
        <v>124</v>
      </c>
      <c r="X61" t="s">
        <v>40</v>
      </c>
      <c r="Y61" t="s">
        <v>41</v>
      </c>
    </row>
    <row r="62" spans="1:25" x14ac:dyDescent="0.3">
      <c r="A62" t="s">
        <v>201</v>
      </c>
      <c r="B62" s="1">
        <v>44986</v>
      </c>
      <c r="C62" t="s">
        <v>78</v>
      </c>
      <c r="D62" t="s">
        <v>58</v>
      </c>
      <c r="E62" t="s">
        <v>45</v>
      </c>
      <c r="F62" t="s">
        <v>28</v>
      </c>
      <c r="G62" t="s">
        <v>29</v>
      </c>
      <c r="H62" t="s">
        <v>67</v>
      </c>
      <c r="I62">
        <v>7</v>
      </c>
      <c r="J62" t="s">
        <v>202</v>
      </c>
      <c r="K62">
        <v>63</v>
      </c>
      <c r="L62" t="s">
        <v>80</v>
      </c>
      <c r="M62">
        <v>7</v>
      </c>
      <c r="N62" t="s">
        <v>48</v>
      </c>
      <c r="O62" t="s">
        <v>34</v>
      </c>
      <c r="P62" t="s">
        <v>50</v>
      </c>
      <c r="Q62" s="2">
        <v>15567.81</v>
      </c>
      <c r="R62" s="2">
        <v>4401.8900000000003</v>
      </c>
      <c r="S62" t="s">
        <v>51</v>
      </c>
      <c r="T62" t="s">
        <v>37</v>
      </c>
      <c r="U62" t="s">
        <v>83</v>
      </c>
      <c r="V62">
        <v>2.4</v>
      </c>
      <c r="W62" t="s">
        <v>76</v>
      </c>
      <c r="X62" t="s">
        <v>106</v>
      </c>
      <c r="Y62" t="s">
        <v>72</v>
      </c>
    </row>
    <row r="63" spans="1:25" x14ac:dyDescent="0.3">
      <c r="A63" t="s">
        <v>203</v>
      </c>
      <c r="B63" s="1">
        <v>44987</v>
      </c>
      <c r="C63" t="s">
        <v>78</v>
      </c>
      <c r="D63" t="s">
        <v>58</v>
      </c>
      <c r="E63" t="s">
        <v>89</v>
      </c>
      <c r="F63" t="s">
        <v>28</v>
      </c>
      <c r="G63" t="s">
        <v>29</v>
      </c>
      <c r="H63" t="s">
        <v>61</v>
      </c>
      <c r="I63">
        <v>12</v>
      </c>
      <c r="J63" t="s">
        <v>204</v>
      </c>
      <c r="K63">
        <v>26</v>
      </c>
      <c r="L63" t="s">
        <v>32</v>
      </c>
      <c r="M63">
        <v>3</v>
      </c>
      <c r="N63" t="s">
        <v>64</v>
      </c>
      <c r="O63" t="s">
        <v>49</v>
      </c>
      <c r="P63" t="s">
        <v>35</v>
      </c>
      <c r="Q63" s="2">
        <v>8288.27</v>
      </c>
      <c r="R63" s="2">
        <v>4248.7</v>
      </c>
      <c r="S63" t="s">
        <v>94</v>
      </c>
      <c r="T63" t="s">
        <v>71</v>
      </c>
      <c r="U63" t="s">
        <v>75</v>
      </c>
      <c r="V63">
        <v>4.2</v>
      </c>
      <c r="W63" t="s">
        <v>54</v>
      </c>
      <c r="X63" t="s">
        <v>40</v>
      </c>
      <c r="Y63" t="s">
        <v>72</v>
      </c>
    </row>
    <row r="64" spans="1:25" x14ac:dyDescent="0.3">
      <c r="A64" t="s">
        <v>205</v>
      </c>
      <c r="B64" s="1">
        <v>44988</v>
      </c>
      <c r="C64" t="s">
        <v>26</v>
      </c>
      <c r="D64" t="s">
        <v>26</v>
      </c>
      <c r="E64" t="s">
        <v>4085</v>
      </c>
      <c r="F64" t="s">
        <v>60</v>
      </c>
      <c r="G64" t="s">
        <v>29</v>
      </c>
      <c r="H64" t="s">
        <v>46</v>
      </c>
      <c r="I64">
        <v>13</v>
      </c>
      <c r="J64" t="s">
        <v>206</v>
      </c>
      <c r="K64">
        <v>34</v>
      </c>
      <c r="L64" t="s">
        <v>63</v>
      </c>
      <c r="M64">
        <v>3</v>
      </c>
      <c r="N64" t="s">
        <v>64</v>
      </c>
      <c r="O64" t="s">
        <v>81</v>
      </c>
      <c r="P64" t="s">
        <v>70</v>
      </c>
      <c r="Q64" s="2">
        <v>31520.69</v>
      </c>
      <c r="R64" s="2">
        <v>4060.66</v>
      </c>
      <c r="S64" t="s">
        <v>94</v>
      </c>
      <c r="T64" t="s">
        <v>37</v>
      </c>
      <c r="U64" t="s">
        <v>53</v>
      </c>
      <c r="V64">
        <v>1.7</v>
      </c>
      <c r="W64" t="s">
        <v>124</v>
      </c>
      <c r="X64" t="s">
        <v>106</v>
      </c>
      <c r="Y64" t="s">
        <v>41</v>
      </c>
    </row>
    <row r="65" spans="1:25" x14ac:dyDescent="0.3">
      <c r="A65" t="s">
        <v>207</v>
      </c>
      <c r="B65" s="1">
        <v>44989</v>
      </c>
      <c r="C65" t="s">
        <v>43</v>
      </c>
      <c r="D65" t="s">
        <v>58</v>
      </c>
      <c r="E65" t="s">
        <v>120</v>
      </c>
      <c r="F65" t="s">
        <v>28</v>
      </c>
      <c r="G65" t="s">
        <v>29</v>
      </c>
      <c r="H65" t="s">
        <v>86</v>
      </c>
      <c r="I65">
        <v>14</v>
      </c>
      <c r="J65" t="s">
        <v>208</v>
      </c>
      <c r="K65">
        <v>64</v>
      </c>
      <c r="L65" t="s">
        <v>32</v>
      </c>
      <c r="M65">
        <v>2</v>
      </c>
      <c r="N65" t="s">
        <v>48</v>
      </c>
      <c r="O65" t="s">
        <v>34</v>
      </c>
      <c r="P65" t="s">
        <v>35</v>
      </c>
      <c r="Q65" s="2">
        <v>44872.29</v>
      </c>
      <c r="R65" s="2">
        <v>913.57</v>
      </c>
      <c r="S65" t="s">
        <v>36</v>
      </c>
      <c r="T65" t="s">
        <v>37</v>
      </c>
      <c r="U65" t="s">
        <v>38</v>
      </c>
      <c r="V65">
        <v>1.4</v>
      </c>
      <c r="W65" t="s">
        <v>124</v>
      </c>
      <c r="X65" t="s">
        <v>84</v>
      </c>
      <c r="Y65" t="s">
        <v>41</v>
      </c>
    </row>
    <row r="66" spans="1:25" x14ac:dyDescent="0.3">
      <c r="A66" t="s">
        <v>209</v>
      </c>
      <c r="B66" s="1">
        <v>44990</v>
      </c>
      <c r="C66" t="s">
        <v>78</v>
      </c>
      <c r="D66" t="s">
        <v>58</v>
      </c>
      <c r="E66" t="s">
        <v>4085</v>
      </c>
      <c r="F66" t="s">
        <v>60</v>
      </c>
      <c r="G66" t="s">
        <v>29</v>
      </c>
      <c r="H66" t="s">
        <v>59</v>
      </c>
      <c r="I66">
        <v>3</v>
      </c>
      <c r="J66" t="s">
        <v>210</v>
      </c>
      <c r="K66">
        <v>38</v>
      </c>
      <c r="L66" t="s">
        <v>80</v>
      </c>
      <c r="M66">
        <v>2</v>
      </c>
      <c r="N66" t="s">
        <v>91</v>
      </c>
      <c r="O66" t="s">
        <v>49</v>
      </c>
      <c r="P66" t="s">
        <v>70</v>
      </c>
      <c r="Q66" s="2">
        <v>21413.26</v>
      </c>
      <c r="R66" s="2">
        <v>2969.38</v>
      </c>
      <c r="S66" t="s">
        <v>36</v>
      </c>
      <c r="T66" t="s">
        <v>52</v>
      </c>
      <c r="U66" t="s">
        <v>53</v>
      </c>
      <c r="V66">
        <v>3.1</v>
      </c>
      <c r="W66" t="s">
        <v>76</v>
      </c>
      <c r="X66" t="s">
        <v>40</v>
      </c>
      <c r="Y66" t="s">
        <v>41</v>
      </c>
    </row>
    <row r="67" spans="1:25" x14ac:dyDescent="0.3">
      <c r="A67" t="s">
        <v>211</v>
      </c>
      <c r="B67" s="1">
        <v>44991</v>
      </c>
      <c r="C67" t="s">
        <v>78</v>
      </c>
      <c r="D67" t="s">
        <v>58</v>
      </c>
      <c r="E67" t="s">
        <v>4085</v>
      </c>
      <c r="F67" t="s">
        <v>60</v>
      </c>
      <c r="G67" t="s">
        <v>29</v>
      </c>
      <c r="H67" t="s">
        <v>46</v>
      </c>
      <c r="I67">
        <v>5</v>
      </c>
      <c r="J67" t="s">
        <v>212</v>
      </c>
      <c r="K67">
        <v>48</v>
      </c>
      <c r="L67" t="s">
        <v>80</v>
      </c>
      <c r="M67">
        <v>4</v>
      </c>
      <c r="N67" t="s">
        <v>64</v>
      </c>
      <c r="O67" t="s">
        <v>69</v>
      </c>
      <c r="P67" t="s">
        <v>35</v>
      </c>
      <c r="Q67" s="2">
        <v>34147.01</v>
      </c>
      <c r="R67" s="2">
        <v>2910.82</v>
      </c>
      <c r="S67" t="s">
        <v>94</v>
      </c>
      <c r="T67" t="s">
        <v>71</v>
      </c>
      <c r="U67" t="s">
        <v>53</v>
      </c>
      <c r="V67">
        <v>3.2</v>
      </c>
      <c r="W67" t="s">
        <v>76</v>
      </c>
      <c r="X67" t="s">
        <v>40</v>
      </c>
      <c r="Y67" t="s">
        <v>72</v>
      </c>
    </row>
    <row r="68" spans="1:25" x14ac:dyDescent="0.3">
      <c r="A68" t="s">
        <v>213</v>
      </c>
      <c r="B68" s="1">
        <v>44992</v>
      </c>
      <c r="C68" t="s">
        <v>26</v>
      </c>
      <c r="D68" t="s">
        <v>26</v>
      </c>
      <c r="E68" t="s">
        <v>120</v>
      </c>
      <c r="F68" t="s">
        <v>28</v>
      </c>
      <c r="G68" t="s">
        <v>29</v>
      </c>
      <c r="H68" t="s">
        <v>86</v>
      </c>
      <c r="I68">
        <v>5</v>
      </c>
      <c r="J68" t="s">
        <v>214</v>
      </c>
      <c r="K68">
        <v>56</v>
      </c>
      <c r="L68" t="s">
        <v>80</v>
      </c>
      <c r="M68">
        <v>6</v>
      </c>
      <c r="N68" t="s">
        <v>48</v>
      </c>
      <c r="O68" t="s">
        <v>81</v>
      </c>
      <c r="P68" t="s">
        <v>70</v>
      </c>
      <c r="Q68" s="2">
        <v>15413.57</v>
      </c>
      <c r="R68" s="2">
        <v>2639.72</v>
      </c>
      <c r="S68" t="s">
        <v>115</v>
      </c>
      <c r="T68" t="s">
        <v>37</v>
      </c>
      <c r="U68" t="s">
        <v>53</v>
      </c>
      <c r="V68">
        <v>1.4</v>
      </c>
      <c r="W68" t="s">
        <v>124</v>
      </c>
      <c r="X68" t="s">
        <v>40</v>
      </c>
      <c r="Y68" t="s">
        <v>41</v>
      </c>
    </row>
    <row r="69" spans="1:25" x14ac:dyDescent="0.3">
      <c r="A69" t="s">
        <v>215</v>
      </c>
      <c r="B69" s="1">
        <v>44993</v>
      </c>
      <c r="C69" t="s">
        <v>78</v>
      </c>
      <c r="D69" t="s">
        <v>58</v>
      </c>
      <c r="E69" t="s">
        <v>120</v>
      </c>
      <c r="F69" t="s">
        <v>28</v>
      </c>
      <c r="G69" t="s">
        <v>29</v>
      </c>
      <c r="H69" t="s">
        <v>86</v>
      </c>
      <c r="I69">
        <v>7</v>
      </c>
      <c r="J69" t="s">
        <v>216</v>
      </c>
      <c r="K69">
        <v>39</v>
      </c>
      <c r="L69" t="s">
        <v>80</v>
      </c>
      <c r="M69">
        <v>4</v>
      </c>
      <c r="N69" t="s">
        <v>91</v>
      </c>
      <c r="O69" t="s">
        <v>34</v>
      </c>
      <c r="P69" t="s">
        <v>50</v>
      </c>
      <c r="Q69" s="2">
        <v>30131.24</v>
      </c>
      <c r="R69" s="2">
        <v>2404.06</v>
      </c>
      <c r="S69" t="s">
        <v>115</v>
      </c>
      <c r="T69" t="s">
        <v>52</v>
      </c>
      <c r="U69" t="s">
        <v>53</v>
      </c>
      <c r="V69">
        <v>2.1</v>
      </c>
      <c r="W69" t="s">
        <v>76</v>
      </c>
      <c r="X69" t="s">
        <v>65</v>
      </c>
      <c r="Y69" t="s">
        <v>72</v>
      </c>
    </row>
    <row r="70" spans="1:25" x14ac:dyDescent="0.3">
      <c r="A70" t="s">
        <v>217</v>
      </c>
      <c r="B70" s="1">
        <v>44994</v>
      </c>
      <c r="C70" t="s">
        <v>78</v>
      </c>
      <c r="D70" t="s">
        <v>58</v>
      </c>
      <c r="E70" t="s">
        <v>45</v>
      </c>
      <c r="F70" t="s">
        <v>28</v>
      </c>
      <c r="G70" t="s">
        <v>29</v>
      </c>
      <c r="H70" t="s">
        <v>67</v>
      </c>
      <c r="I70">
        <v>5</v>
      </c>
      <c r="J70" t="s">
        <v>218</v>
      </c>
      <c r="K70">
        <v>29</v>
      </c>
      <c r="L70" t="s">
        <v>32</v>
      </c>
      <c r="M70">
        <v>3</v>
      </c>
      <c r="N70" t="s">
        <v>33</v>
      </c>
      <c r="O70" t="s">
        <v>34</v>
      </c>
      <c r="P70" t="s">
        <v>70</v>
      </c>
      <c r="Q70" s="2">
        <v>40405.64</v>
      </c>
      <c r="R70" s="2">
        <v>445.85</v>
      </c>
      <c r="S70" t="s">
        <v>115</v>
      </c>
      <c r="T70" t="s">
        <v>71</v>
      </c>
      <c r="U70" t="s">
        <v>75</v>
      </c>
      <c r="V70">
        <v>2.1</v>
      </c>
      <c r="W70" t="s">
        <v>76</v>
      </c>
      <c r="X70" t="s">
        <v>106</v>
      </c>
      <c r="Y70" t="s">
        <v>72</v>
      </c>
    </row>
    <row r="71" spans="1:25" x14ac:dyDescent="0.3">
      <c r="A71" t="s">
        <v>219</v>
      </c>
      <c r="B71" s="1">
        <v>44995</v>
      </c>
      <c r="C71" t="s">
        <v>26</v>
      </c>
      <c r="D71" t="s">
        <v>26</v>
      </c>
      <c r="E71" t="s">
        <v>45</v>
      </c>
      <c r="F71" t="s">
        <v>28</v>
      </c>
      <c r="G71" t="s">
        <v>29</v>
      </c>
      <c r="H71" t="s">
        <v>67</v>
      </c>
      <c r="I71">
        <v>11</v>
      </c>
      <c r="J71" t="s">
        <v>220</v>
      </c>
      <c r="K71">
        <v>23</v>
      </c>
      <c r="L71" t="s">
        <v>63</v>
      </c>
      <c r="M71">
        <v>4</v>
      </c>
      <c r="N71" t="s">
        <v>64</v>
      </c>
      <c r="O71" t="s">
        <v>34</v>
      </c>
      <c r="P71" t="s">
        <v>82</v>
      </c>
      <c r="Q71" s="2">
        <v>44016.42</v>
      </c>
      <c r="R71" s="2">
        <v>510.82</v>
      </c>
      <c r="S71" t="s">
        <v>115</v>
      </c>
      <c r="T71" t="s">
        <v>37</v>
      </c>
      <c r="U71" t="s">
        <v>38</v>
      </c>
      <c r="V71">
        <v>1.7</v>
      </c>
      <c r="W71" t="s">
        <v>124</v>
      </c>
      <c r="X71" t="s">
        <v>106</v>
      </c>
      <c r="Y71" t="s">
        <v>41</v>
      </c>
    </row>
    <row r="72" spans="1:25" x14ac:dyDescent="0.3">
      <c r="A72" t="s">
        <v>221</v>
      </c>
      <c r="B72" s="1">
        <v>44996</v>
      </c>
      <c r="C72" t="s">
        <v>26</v>
      </c>
      <c r="D72" t="s">
        <v>26</v>
      </c>
      <c r="E72" t="s">
        <v>120</v>
      </c>
      <c r="F72" t="s">
        <v>28</v>
      </c>
      <c r="G72" t="s">
        <v>29</v>
      </c>
      <c r="H72" t="s">
        <v>86</v>
      </c>
      <c r="I72">
        <v>3</v>
      </c>
      <c r="J72" t="s">
        <v>222</v>
      </c>
      <c r="K72">
        <v>33</v>
      </c>
      <c r="L72" t="s">
        <v>32</v>
      </c>
      <c r="M72">
        <v>3</v>
      </c>
      <c r="N72" t="s">
        <v>64</v>
      </c>
      <c r="O72" t="s">
        <v>34</v>
      </c>
      <c r="P72" t="s">
        <v>70</v>
      </c>
      <c r="Q72" s="2">
        <v>9730.36</v>
      </c>
      <c r="R72" s="2">
        <v>4511.41</v>
      </c>
      <c r="S72" t="s">
        <v>36</v>
      </c>
      <c r="T72" t="s">
        <v>52</v>
      </c>
      <c r="U72" t="s">
        <v>75</v>
      </c>
      <c r="V72">
        <v>2.2999999999999998</v>
      </c>
      <c r="W72" t="s">
        <v>76</v>
      </c>
      <c r="X72" t="s">
        <v>106</v>
      </c>
      <c r="Y72" t="s">
        <v>72</v>
      </c>
    </row>
    <row r="73" spans="1:25" x14ac:dyDescent="0.3">
      <c r="A73" t="s">
        <v>223</v>
      </c>
      <c r="B73" s="1">
        <v>44997</v>
      </c>
      <c r="C73" t="s">
        <v>117</v>
      </c>
      <c r="D73" t="s">
        <v>4083</v>
      </c>
      <c r="E73" t="s">
        <v>4084</v>
      </c>
      <c r="F73" t="s">
        <v>60</v>
      </c>
      <c r="G73" t="s">
        <v>29</v>
      </c>
      <c r="H73" t="s">
        <v>27</v>
      </c>
      <c r="I73">
        <v>6</v>
      </c>
      <c r="J73" t="s">
        <v>224</v>
      </c>
      <c r="K73">
        <v>43</v>
      </c>
      <c r="L73" t="s">
        <v>63</v>
      </c>
      <c r="M73">
        <v>1</v>
      </c>
      <c r="N73" t="s">
        <v>48</v>
      </c>
      <c r="O73" t="s">
        <v>81</v>
      </c>
      <c r="P73" t="s">
        <v>70</v>
      </c>
      <c r="Q73" s="2">
        <v>21036.85</v>
      </c>
      <c r="R73" s="2">
        <v>3150.93</v>
      </c>
      <c r="S73" t="s">
        <v>51</v>
      </c>
      <c r="T73" t="s">
        <v>71</v>
      </c>
      <c r="U73" t="s">
        <v>38</v>
      </c>
      <c r="V73">
        <v>1.1000000000000001</v>
      </c>
      <c r="W73" t="s">
        <v>124</v>
      </c>
      <c r="X73" t="s">
        <v>65</v>
      </c>
      <c r="Y73" t="s">
        <v>41</v>
      </c>
    </row>
    <row r="74" spans="1:25" x14ac:dyDescent="0.3">
      <c r="A74" t="s">
        <v>225</v>
      </c>
      <c r="B74" s="1">
        <v>44998</v>
      </c>
      <c r="C74" t="s">
        <v>43</v>
      </c>
      <c r="D74" t="s">
        <v>58</v>
      </c>
      <c r="E74" t="s">
        <v>45</v>
      </c>
      <c r="F74" t="s">
        <v>28</v>
      </c>
      <c r="G74" t="s">
        <v>29</v>
      </c>
      <c r="H74" t="s">
        <v>67</v>
      </c>
      <c r="I74">
        <v>12</v>
      </c>
      <c r="J74" t="s">
        <v>226</v>
      </c>
      <c r="K74">
        <v>22</v>
      </c>
      <c r="L74" t="s">
        <v>80</v>
      </c>
      <c r="M74">
        <v>3</v>
      </c>
      <c r="N74" t="s">
        <v>48</v>
      </c>
      <c r="O74" t="s">
        <v>81</v>
      </c>
      <c r="P74" t="s">
        <v>50</v>
      </c>
      <c r="Q74" s="2">
        <v>33784</v>
      </c>
      <c r="R74" s="2">
        <v>1311.59</v>
      </c>
      <c r="S74" t="s">
        <v>94</v>
      </c>
      <c r="T74" t="s">
        <v>71</v>
      </c>
      <c r="U74" t="s">
        <v>38</v>
      </c>
      <c r="V74">
        <v>3.6</v>
      </c>
      <c r="W74" t="s">
        <v>54</v>
      </c>
      <c r="X74" t="s">
        <v>106</v>
      </c>
      <c r="Y74" t="s">
        <v>41</v>
      </c>
    </row>
    <row r="75" spans="1:25" x14ac:dyDescent="0.3">
      <c r="A75" t="s">
        <v>227</v>
      </c>
      <c r="B75" s="1">
        <v>44999</v>
      </c>
      <c r="C75" t="s">
        <v>43</v>
      </c>
      <c r="D75" t="s">
        <v>58</v>
      </c>
      <c r="E75" t="s">
        <v>4084</v>
      </c>
      <c r="F75" t="s">
        <v>60</v>
      </c>
      <c r="G75" t="s">
        <v>29</v>
      </c>
      <c r="H75" t="s">
        <v>27</v>
      </c>
      <c r="I75">
        <v>12</v>
      </c>
      <c r="J75" t="s">
        <v>228</v>
      </c>
      <c r="K75">
        <v>26</v>
      </c>
      <c r="L75" t="s">
        <v>63</v>
      </c>
      <c r="M75">
        <v>3</v>
      </c>
      <c r="N75" t="s">
        <v>91</v>
      </c>
      <c r="O75" t="s">
        <v>69</v>
      </c>
      <c r="P75" t="s">
        <v>82</v>
      </c>
      <c r="Q75" s="2">
        <v>6562.53</v>
      </c>
      <c r="R75" s="2">
        <v>1396.5</v>
      </c>
      <c r="S75" t="s">
        <v>115</v>
      </c>
      <c r="T75" t="s">
        <v>71</v>
      </c>
      <c r="U75" t="s">
        <v>38</v>
      </c>
      <c r="V75">
        <v>5</v>
      </c>
      <c r="W75" t="s">
        <v>103</v>
      </c>
      <c r="X75" t="s">
        <v>40</v>
      </c>
      <c r="Y75" t="s">
        <v>72</v>
      </c>
    </row>
    <row r="76" spans="1:25" x14ac:dyDescent="0.3">
      <c r="A76" t="s">
        <v>229</v>
      </c>
      <c r="B76" s="1">
        <v>45000</v>
      </c>
      <c r="C76" t="s">
        <v>78</v>
      </c>
      <c r="D76" t="s">
        <v>58</v>
      </c>
      <c r="E76" t="s">
        <v>120</v>
      </c>
      <c r="F76" t="s">
        <v>28</v>
      </c>
      <c r="G76" t="s">
        <v>29</v>
      </c>
      <c r="H76" t="s">
        <v>86</v>
      </c>
      <c r="I76">
        <v>6</v>
      </c>
      <c r="J76" t="s">
        <v>230</v>
      </c>
      <c r="K76">
        <v>63</v>
      </c>
      <c r="L76" t="s">
        <v>80</v>
      </c>
      <c r="M76">
        <v>4</v>
      </c>
      <c r="N76" t="s">
        <v>33</v>
      </c>
      <c r="O76" t="s">
        <v>69</v>
      </c>
      <c r="P76" t="s">
        <v>50</v>
      </c>
      <c r="Q76" s="2">
        <v>36077.68</v>
      </c>
      <c r="R76" s="2">
        <v>3050.97</v>
      </c>
      <c r="S76" t="s">
        <v>36</v>
      </c>
      <c r="T76" t="s">
        <v>71</v>
      </c>
      <c r="U76" t="s">
        <v>75</v>
      </c>
      <c r="V76">
        <v>3.5</v>
      </c>
      <c r="W76" t="s">
        <v>54</v>
      </c>
      <c r="X76" t="s">
        <v>55</v>
      </c>
      <c r="Y76" t="s">
        <v>41</v>
      </c>
    </row>
    <row r="77" spans="1:25" x14ac:dyDescent="0.3">
      <c r="A77" t="s">
        <v>231</v>
      </c>
      <c r="B77" s="1">
        <v>45001</v>
      </c>
      <c r="C77" t="s">
        <v>43</v>
      </c>
      <c r="D77" t="s">
        <v>58</v>
      </c>
      <c r="E77" t="s">
        <v>45</v>
      </c>
      <c r="F77" t="s">
        <v>28</v>
      </c>
      <c r="G77" t="s">
        <v>29</v>
      </c>
      <c r="H77" t="s">
        <v>67</v>
      </c>
      <c r="I77">
        <v>3</v>
      </c>
      <c r="J77" t="s">
        <v>232</v>
      </c>
      <c r="K77">
        <v>57</v>
      </c>
      <c r="L77" t="s">
        <v>32</v>
      </c>
      <c r="M77">
        <v>6</v>
      </c>
      <c r="N77" t="s">
        <v>33</v>
      </c>
      <c r="O77" t="s">
        <v>69</v>
      </c>
      <c r="P77" t="s">
        <v>35</v>
      </c>
      <c r="Q77" s="2">
        <v>28761.52</v>
      </c>
      <c r="R77" s="2">
        <v>2034.67</v>
      </c>
      <c r="S77" t="s">
        <v>51</v>
      </c>
      <c r="T77" t="s">
        <v>37</v>
      </c>
      <c r="U77" t="s">
        <v>83</v>
      </c>
      <c r="V77">
        <v>2.4</v>
      </c>
      <c r="W77" t="s">
        <v>76</v>
      </c>
      <c r="X77" t="s">
        <v>84</v>
      </c>
      <c r="Y77" t="s">
        <v>72</v>
      </c>
    </row>
    <row r="78" spans="1:25" x14ac:dyDescent="0.3">
      <c r="A78" t="s">
        <v>233</v>
      </c>
      <c r="B78" s="1">
        <v>45002</v>
      </c>
      <c r="C78" t="s">
        <v>78</v>
      </c>
      <c r="D78" t="s">
        <v>58</v>
      </c>
      <c r="E78" t="s">
        <v>4085</v>
      </c>
      <c r="F78" t="s">
        <v>60</v>
      </c>
      <c r="G78" t="s">
        <v>29</v>
      </c>
      <c r="H78" t="s">
        <v>59</v>
      </c>
      <c r="I78">
        <v>4</v>
      </c>
      <c r="J78" t="s">
        <v>234</v>
      </c>
      <c r="K78">
        <v>31</v>
      </c>
      <c r="L78" t="s">
        <v>63</v>
      </c>
      <c r="M78">
        <v>1</v>
      </c>
      <c r="N78" t="s">
        <v>48</v>
      </c>
      <c r="O78" t="s">
        <v>49</v>
      </c>
      <c r="P78" t="s">
        <v>35</v>
      </c>
      <c r="Q78" s="2">
        <v>17985.48</v>
      </c>
      <c r="R78" s="2">
        <v>2206.62</v>
      </c>
      <c r="S78" t="s">
        <v>94</v>
      </c>
      <c r="T78" t="s">
        <v>37</v>
      </c>
      <c r="U78" t="s">
        <v>53</v>
      </c>
      <c r="V78">
        <v>3.7</v>
      </c>
      <c r="W78" t="s">
        <v>54</v>
      </c>
      <c r="X78" t="s">
        <v>106</v>
      </c>
      <c r="Y78" t="s">
        <v>72</v>
      </c>
    </row>
    <row r="79" spans="1:25" x14ac:dyDescent="0.3">
      <c r="A79" t="s">
        <v>235</v>
      </c>
      <c r="B79" s="1">
        <v>45003</v>
      </c>
      <c r="C79" t="s">
        <v>117</v>
      </c>
      <c r="D79" t="s">
        <v>4083</v>
      </c>
      <c r="E79" t="s">
        <v>120</v>
      </c>
      <c r="F79" t="s">
        <v>28</v>
      </c>
      <c r="G79" t="s">
        <v>29</v>
      </c>
      <c r="H79" t="s">
        <v>86</v>
      </c>
      <c r="I79">
        <v>13</v>
      </c>
      <c r="J79" t="s">
        <v>236</v>
      </c>
      <c r="K79">
        <v>61</v>
      </c>
      <c r="L79" t="s">
        <v>32</v>
      </c>
      <c r="M79">
        <v>5</v>
      </c>
      <c r="N79" t="s">
        <v>48</v>
      </c>
      <c r="O79" t="s">
        <v>69</v>
      </c>
      <c r="P79" t="s">
        <v>82</v>
      </c>
      <c r="Q79" s="2">
        <v>41659.449999999997</v>
      </c>
      <c r="R79" s="2">
        <v>303.25</v>
      </c>
      <c r="S79" t="s">
        <v>94</v>
      </c>
      <c r="T79" t="s">
        <v>71</v>
      </c>
      <c r="U79" t="s">
        <v>83</v>
      </c>
      <c r="V79">
        <v>3.3</v>
      </c>
      <c r="W79" t="s">
        <v>76</v>
      </c>
      <c r="X79" t="s">
        <v>65</v>
      </c>
      <c r="Y79" t="s">
        <v>41</v>
      </c>
    </row>
    <row r="80" spans="1:25" x14ac:dyDescent="0.3">
      <c r="A80" t="s">
        <v>237</v>
      </c>
      <c r="B80" s="1">
        <v>45004</v>
      </c>
      <c r="C80" t="s">
        <v>26</v>
      </c>
      <c r="D80" t="s">
        <v>26</v>
      </c>
      <c r="E80" t="s">
        <v>89</v>
      </c>
      <c r="F80" t="s">
        <v>28</v>
      </c>
      <c r="G80" t="s">
        <v>29</v>
      </c>
      <c r="H80" t="s">
        <v>61</v>
      </c>
      <c r="I80">
        <v>3</v>
      </c>
      <c r="J80" t="s">
        <v>238</v>
      </c>
      <c r="K80">
        <v>59</v>
      </c>
      <c r="L80" t="s">
        <v>80</v>
      </c>
      <c r="M80">
        <v>5</v>
      </c>
      <c r="N80" t="s">
        <v>91</v>
      </c>
      <c r="O80" t="s">
        <v>81</v>
      </c>
      <c r="P80" t="s">
        <v>35</v>
      </c>
      <c r="Q80" s="2">
        <v>18052.28</v>
      </c>
      <c r="R80" s="2">
        <v>693.7</v>
      </c>
      <c r="S80" t="s">
        <v>94</v>
      </c>
      <c r="T80" t="s">
        <v>71</v>
      </c>
      <c r="U80" t="s">
        <v>83</v>
      </c>
      <c r="V80">
        <v>4.4000000000000004</v>
      </c>
      <c r="W80" t="s">
        <v>54</v>
      </c>
      <c r="X80" t="s">
        <v>65</v>
      </c>
      <c r="Y80" t="s">
        <v>72</v>
      </c>
    </row>
    <row r="81" spans="1:25" x14ac:dyDescent="0.3">
      <c r="A81" t="s">
        <v>239</v>
      </c>
      <c r="B81" s="1">
        <v>45005</v>
      </c>
      <c r="C81" t="s">
        <v>26</v>
      </c>
      <c r="D81" t="s">
        <v>26</v>
      </c>
      <c r="E81" t="s">
        <v>4084</v>
      </c>
      <c r="F81" t="s">
        <v>60</v>
      </c>
      <c r="G81" t="s">
        <v>29</v>
      </c>
      <c r="H81" t="s">
        <v>30</v>
      </c>
      <c r="I81">
        <v>8</v>
      </c>
      <c r="J81" t="s">
        <v>240</v>
      </c>
      <c r="K81">
        <v>47</v>
      </c>
      <c r="L81" t="s">
        <v>32</v>
      </c>
      <c r="M81">
        <v>6</v>
      </c>
      <c r="N81" t="s">
        <v>48</v>
      </c>
      <c r="O81" t="s">
        <v>49</v>
      </c>
      <c r="P81" t="s">
        <v>82</v>
      </c>
      <c r="Q81" s="2">
        <v>49613.68</v>
      </c>
      <c r="R81" s="2">
        <v>1966.75</v>
      </c>
      <c r="S81" t="s">
        <v>115</v>
      </c>
      <c r="T81" t="s">
        <v>37</v>
      </c>
      <c r="U81" t="s">
        <v>83</v>
      </c>
      <c r="V81">
        <v>3.5</v>
      </c>
      <c r="W81" t="s">
        <v>39</v>
      </c>
      <c r="X81" t="s">
        <v>106</v>
      </c>
      <c r="Y81" t="s">
        <v>72</v>
      </c>
    </row>
    <row r="82" spans="1:25" x14ac:dyDescent="0.3">
      <c r="A82" t="s">
        <v>241</v>
      </c>
      <c r="B82" s="1">
        <v>45006</v>
      </c>
      <c r="C82" t="s">
        <v>26</v>
      </c>
      <c r="D82" t="s">
        <v>26</v>
      </c>
      <c r="E82" t="s">
        <v>120</v>
      </c>
      <c r="F82" t="s">
        <v>28</v>
      </c>
      <c r="G82" t="s">
        <v>29</v>
      </c>
      <c r="H82" t="s">
        <v>86</v>
      </c>
      <c r="I82">
        <v>5</v>
      </c>
      <c r="J82" t="s">
        <v>242</v>
      </c>
      <c r="K82">
        <v>69</v>
      </c>
      <c r="L82" t="s">
        <v>80</v>
      </c>
      <c r="M82">
        <v>5</v>
      </c>
      <c r="N82" t="s">
        <v>91</v>
      </c>
      <c r="O82" t="s">
        <v>81</v>
      </c>
      <c r="P82" t="s">
        <v>70</v>
      </c>
      <c r="Q82" s="2">
        <v>41736.660000000003</v>
      </c>
      <c r="R82" s="2">
        <v>3498.43</v>
      </c>
      <c r="S82" t="s">
        <v>94</v>
      </c>
      <c r="T82" t="s">
        <v>52</v>
      </c>
      <c r="U82" t="s">
        <v>53</v>
      </c>
      <c r="V82">
        <v>3.5</v>
      </c>
      <c r="W82" t="s">
        <v>54</v>
      </c>
      <c r="X82" t="s">
        <v>55</v>
      </c>
      <c r="Y82" t="s">
        <v>41</v>
      </c>
    </row>
    <row r="83" spans="1:25" x14ac:dyDescent="0.3">
      <c r="A83" t="s">
        <v>243</v>
      </c>
      <c r="B83" s="1">
        <v>45007</v>
      </c>
      <c r="C83" t="s">
        <v>43</v>
      </c>
      <c r="D83" t="s">
        <v>58</v>
      </c>
      <c r="E83" t="s">
        <v>120</v>
      </c>
      <c r="F83" t="s">
        <v>28</v>
      </c>
      <c r="G83" t="s">
        <v>29</v>
      </c>
      <c r="H83" t="s">
        <v>86</v>
      </c>
      <c r="I83">
        <v>9</v>
      </c>
      <c r="J83" t="s">
        <v>244</v>
      </c>
      <c r="K83">
        <v>69</v>
      </c>
      <c r="L83" t="s">
        <v>80</v>
      </c>
      <c r="M83">
        <v>1</v>
      </c>
      <c r="N83" t="s">
        <v>91</v>
      </c>
      <c r="O83" t="s">
        <v>49</v>
      </c>
      <c r="P83" t="s">
        <v>35</v>
      </c>
      <c r="Q83" s="2">
        <v>36859.120000000003</v>
      </c>
      <c r="R83" s="2">
        <v>240.13</v>
      </c>
      <c r="S83" t="s">
        <v>115</v>
      </c>
      <c r="T83" t="s">
        <v>71</v>
      </c>
      <c r="U83" t="s">
        <v>83</v>
      </c>
      <c r="V83">
        <v>1.9</v>
      </c>
      <c r="W83" t="s">
        <v>124</v>
      </c>
      <c r="X83" t="s">
        <v>106</v>
      </c>
      <c r="Y83" t="s">
        <v>72</v>
      </c>
    </row>
    <row r="84" spans="1:25" x14ac:dyDescent="0.3">
      <c r="A84" t="s">
        <v>245</v>
      </c>
      <c r="B84" s="1">
        <v>45008</v>
      </c>
      <c r="C84" t="s">
        <v>117</v>
      </c>
      <c r="D84" t="s">
        <v>4083</v>
      </c>
      <c r="E84" t="s">
        <v>45</v>
      </c>
      <c r="F84" t="s">
        <v>28</v>
      </c>
      <c r="G84" t="s">
        <v>29</v>
      </c>
      <c r="H84" t="s">
        <v>67</v>
      </c>
      <c r="I84">
        <v>7</v>
      </c>
      <c r="J84" t="s">
        <v>246</v>
      </c>
      <c r="K84">
        <v>43</v>
      </c>
      <c r="L84" t="s">
        <v>80</v>
      </c>
      <c r="M84">
        <v>2</v>
      </c>
      <c r="N84" t="s">
        <v>33</v>
      </c>
      <c r="O84" t="s">
        <v>69</v>
      </c>
      <c r="P84" t="s">
        <v>70</v>
      </c>
      <c r="Q84" s="2">
        <v>7760.64</v>
      </c>
      <c r="R84" s="2">
        <v>1672.79</v>
      </c>
      <c r="S84" t="s">
        <v>51</v>
      </c>
      <c r="T84" t="s">
        <v>37</v>
      </c>
      <c r="U84" t="s">
        <v>53</v>
      </c>
      <c r="V84">
        <v>2.7</v>
      </c>
      <c r="W84" t="s">
        <v>76</v>
      </c>
      <c r="X84" t="s">
        <v>65</v>
      </c>
      <c r="Y84" t="s">
        <v>41</v>
      </c>
    </row>
    <row r="85" spans="1:25" x14ac:dyDescent="0.3">
      <c r="A85" t="s">
        <v>247</v>
      </c>
      <c r="B85" s="1">
        <v>45009</v>
      </c>
      <c r="C85" t="s">
        <v>43</v>
      </c>
      <c r="D85" t="s">
        <v>58</v>
      </c>
      <c r="E85" t="s">
        <v>45</v>
      </c>
      <c r="F85" t="s">
        <v>28</v>
      </c>
      <c r="G85" t="s">
        <v>29</v>
      </c>
      <c r="H85" t="s">
        <v>67</v>
      </c>
      <c r="I85">
        <v>11</v>
      </c>
      <c r="J85" t="s">
        <v>248</v>
      </c>
      <c r="K85">
        <v>62</v>
      </c>
      <c r="L85" t="s">
        <v>32</v>
      </c>
      <c r="M85">
        <v>1</v>
      </c>
      <c r="N85" t="s">
        <v>91</v>
      </c>
      <c r="O85" t="s">
        <v>69</v>
      </c>
      <c r="P85" t="s">
        <v>50</v>
      </c>
      <c r="Q85" s="2">
        <v>45693.97</v>
      </c>
      <c r="R85" s="2">
        <v>3475.36</v>
      </c>
      <c r="S85" t="s">
        <v>36</v>
      </c>
      <c r="T85" t="s">
        <v>37</v>
      </c>
      <c r="U85" t="s">
        <v>53</v>
      </c>
      <c r="V85">
        <v>2.4</v>
      </c>
      <c r="W85" t="s">
        <v>76</v>
      </c>
      <c r="X85" t="s">
        <v>84</v>
      </c>
      <c r="Y85" t="s">
        <v>41</v>
      </c>
    </row>
    <row r="86" spans="1:25" x14ac:dyDescent="0.3">
      <c r="A86" t="s">
        <v>249</v>
      </c>
      <c r="B86" s="1">
        <v>45010</v>
      </c>
      <c r="C86" t="s">
        <v>43</v>
      </c>
      <c r="D86" t="s">
        <v>58</v>
      </c>
      <c r="E86" t="s">
        <v>45</v>
      </c>
      <c r="F86" t="s">
        <v>28</v>
      </c>
      <c r="G86" t="s">
        <v>29</v>
      </c>
      <c r="H86" t="s">
        <v>67</v>
      </c>
      <c r="I86">
        <v>9</v>
      </c>
      <c r="J86" t="s">
        <v>250</v>
      </c>
      <c r="K86">
        <v>46</v>
      </c>
      <c r="L86" t="s">
        <v>32</v>
      </c>
      <c r="M86">
        <v>4</v>
      </c>
      <c r="N86" t="s">
        <v>33</v>
      </c>
      <c r="O86" t="s">
        <v>69</v>
      </c>
      <c r="P86" t="s">
        <v>35</v>
      </c>
      <c r="Q86" s="2">
        <v>40552.49</v>
      </c>
      <c r="R86" s="2">
        <v>3960.25</v>
      </c>
      <c r="S86" t="s">
        <v>36</v>
      </c>
      <c r="T86" t="s">
        <v>52</v>
      </c>
      <c r="U86" t="s">
        <v>53</v>
      </c>
      <c r="V86">
        <v>1</v>
      </c>
      <c r="W86" t="s">
        <v>124</v>
      </c>
      <c r="X86" t="s">
        <v>55</v>
      </c>
      <c r="Y86" t="s">
        <v>72</v>
      </c>
    </row>
    <row r="87" spans="1:25" x14ac:dyDescent="0.3">
      <c r="A87" t="s">
        <v>251</v>
      </c>
      <c r="B87" s="1">
        <v>45011</v>
      </c>
      <c r="C87" t="s">
        <v>117</v>
      </c>
      <c r="D87" t="s">
        <v>4083</v>
      </c>
      <c r="E87" t="s">
        <v>89</v>
      </c>
      <c r="F87" t="s">
        <v>28</v>
      </c>
      <c r="G87" t="s">
        <v>29</v>
      </c>
      <c r="H87" t="s">
        <v>61</v>
      </c>
      <c r="I87">
        <v>6</v>
      </c>
      <c r="J87" t="s">
        <v>252</v>
      </c>
      <c r="K87">
        <v>36</v>
      </c>
      <c r="L87" t="s">
        <v>63</v>
      </c>
      <c r="M87">
        <v>7</v>
      </c>
      <c r="N87" t="s">
        <v>33</v>
      </c>
      <c r="O87" t="s">
        <v>49</v>
      </c>
      <c r="P87" t="s">
        <v>50</v>
      </c>
      <c r="Q87" s="2">
        <v>15306.13</v>
      </c>
      <c r="R87" s="2">
        <v>951.1</v>
      </c>
      <c r="S87" t="s">
        <v>36</v>
      </c>
      <c r="T87" t="s">
        <v>37</v>
      </c>
      <c r="U87" t="s">
        <v>38</v>
      </c>
      <c r="V87">
        <v>2.2999999999999998</v>
      </c>
      <c r="W87" t="s">
        <v>76</v>
      </c>
      <c r="X87" t="s">
        <v>106</v>
      </c>
      <c r="Y87" t="s">
        <v>72</v>
      </c>
    </row>
    <row r="88" spans="1:25" x14ac:dyDescent="0.3">
      <c r="A88" t="s">
        <v>253</v>
      </c>
      <c r="B88" s="1">
        <v>45012</v>
      </c>
      <c r="C88" t="s">
        <v>117</v>
      </c>
      <c r="D88" t="s">
        <v>4083</v>
      </c>
      <c r="E88" t="s">
        <v>45</v>
      </c>
      <c r="F88" t="s">
        <v>28</v>
      </c>
      <c r="G88" t="s">
        <v>29</v>
      </c>
      <c r="H88" t="s">
        <v>67</v>
      </c>
      <c r="I88">
        <v>7</v>
      </c>
      <c r="J88" t="s">
        <v>254</v>
      </c>
      <c r="K88">
        <v>64</v>
      </c>
      <c r="L88" t="s">
        <v>63</v>
      </c>
      <c r="M88">
        <v>3</v>
      </c>
      <c r="N88" t="s">
        <v>33</v>
      </c>
      <c r="O88" t="s">
        <v>81</v>
      </c>
      <c r="P88" t="s">
        <v>50</v>
      </c>
      <c r="Q88" s="2">
        <v>22651.17</v>
      </c>
      <c r="R88" s="2">
        <v>3657.44</v>
      </c>
      <c r="S88" t="s">
        <v>94</v>
      </c>
      <c r="T88" t="s">
        <v>71</v>
      </c>
      <c r="U88" t="s">
        <v>38</v>
      </c>
      <c r="V88">
        <v>2.9</v>
      </c>
      <c r="W88" t="s">
        <v>76</v>
      </c>
      <c r="X88" t="s">
        <v>84</v>
      </c>
      <c r="Y88" t="s">
        <v>41</v>
      </c>
    </row>
    <row r="89" spans="1:25" x14ac:dyDescent="0.3">
      <c r="A89" t="s">
        <v>255</v>
      </c>
      <c r="B89" s="1">
        <v>45013</v>
      </c>
      <c r="C89" t="s">
        <v>117</v>
      </c>
      <c r="D89" t="s">
        <v>4083</v>
      </c>
      <c r="E89" t="s">
        <v>120</v>
      </c>
      <c r="F89" t="s">
        <v>28</v>
      </c>
      <c r="G89" t="s">
        <v>29</v>
      </c>
      <c r="H89" t="s">
        <v>86</v>
      </c>
      <c r="I89">
        <v>7</v>
      </c>
      <c r="J89" t="s">
        <v>256</v>
      </c>
      <c r="K89">
        <v>25</v>
      </c>
      <c r="L89" t="s">
        <v>32</v>
      </c>
      <c r="M89">
        <v>3</v>
      </c>
      <c r="N89" t="s">
        <v>48</v>
      </c>
      <c r="O89" t="s">
        <v>34</v>
      </c>
      <c r="P89" t="s">
        <v>82</v>
      </c>
      <c r="Q89" s="2">
        <v>17088.419999999998</v>
      </c>
      <c r="R89" s="2">
        <v>4777.0600000000004</v>
      </c>
      <c r="S89" t="s">
        <v>36</v>
      </c>
      <c r="T89" t="s">
        <v>37</v>
      </c>
      <c r="U89" t="s">
        <v>83</v>
      </c>
      <c r="V89">
        <v>3.4</v>
      </c>
      <c r="W89" t="s">
        <v>39</v>
      </c>
      <c r="X89" t="s">
        <v>106</v>
      </c>
      <c r="Y89" t="s">
        <v>72</v>
      </c>
    </row>
    <row r="90" spans="1:25" x14ac:dyDescent="0.3">
      <c r="A90" t="s">
        <v>257</v>
      </c>
      <c r="B90" s="1">
        <v>45014</v>
      </c>
      <c r="C90" t="s">
        <v>117</v>
      </c>
      <c r="D90" t="s">
        <v>4083</v>
      </c>
      <c r="E90" t="s">
        <v>45</v>
      </c>
      <c r="F90" t="s">
        <v>28</v>
      </c>
      <c r="G90" t="s">
        <v>29</v>
      </c>
      <c r="H90" t="s">
        <v>67</v>
      </c>
      <c r="I90">
        <v>13</v>
      </c>
      <c r="J90" t="s">
        <v>258</v>
      </c>
      <c r="K90">
        <v>40</v>
      </c>
      <c r="L90" t="s">
        <v>32</v>
      </c>
      <c r="M90">
        <v>4</v>
      </c>
      <c r="N90" t="s">
        <v>33</v>
      </c>
      <c r="O90" t="s">
        <v>81</v>
      </c>
      <c r="P90" t="s">
        <v>50</v>
      </c>
      <c r="Q90" s="2">
        <v>49298.720000000001</v>
      </c>
      <c r="R90" s="2">
        <v>4534.0600000000004</v>
      </c>
      <c r="S90" t="s">
        <v>51</v>
      </c>
      <c r="T90" t="s">
        <v>71</v>
      </c>
      <c r="U90" t="s">
        <v>38</v>
      </c>
      <c r="V90">
        <v>4.7</v>
      </c>
      <c r="W90" t="s">
        <v>103</v>
      </c>
      <c r="X90" t="s">
        <v>55</v>
      </c>
      <c r="Y90" t="s">
        <v>41</v>
      </c>
    </row>
    <row r="91" spans="1:25" x14ac:dyDescent="0.3">
      <c r="A91" t="s">
        <v>259</v>
      </c>
      <c r="B91" s="1">
        <v>45015</v>
      </c>
      <c r="C91" t="s">
        <v>26</v>
      </c>
      <c r="D91" t="s">
        <v>26</v>
      </c>
      <c r="E91" t="s">
        <v>4085</v>
      </c>
      <c r="F91" t="s">
        <v>60</v>
      </c>
      <c r="G91" t="s">
        <v>29</v>
      </c>
      <c r="H91" t="s">
        <v>46</v>
      </c>
      <c r="I91">
        <v>7</v>
      </c>
      <c r="J91" t="s">
        <v>260</v>
      </c>
      <c r="K91">
        <v>59</v>
      </c>
      <c r="L91" t="s">
        <v>32</v>
      </c>
      <c r="M91">
        <v>4</v>
      </c>
      <c r="N91" t="s">
        <v>91</v>
      </c>
      <c r="O91" t="s">
        <v>69</v>
      </c>
      <c r="P91" t="s">
        <v>82</v>
      </c>
      <c r="Q91" s="2">
        <v>43438.84</v>
      </c>
      <c r="R91" s="2">
        <v>3946.88</v>
      </c>
      <c r="S91" t="s">
        <v>115</v>
      </c>
      <c r="T91" t="s">
        <v>37</v>
      </c>
      <c r="U91" t="s">
        <v>53</v>
      </c>
      <c r="V91">
        <v>2</v>
      </c>
      <c r="W91" t="s">
        <v>76</v>
      </c>
      <c r="X91" t="s">
        <v>65</v>
      </c>
      <c r="Y91" t="s">
        <v>72</v>
      </c>
    </row>
    <row r="92" spans="1:25" x14ac:dyDescent="0.3">
      <c r="A92" t="s">
        <v>261</v>
      </c>
      <c r="B92" s="1">
        <v>45016</v>
      </c>
      <c r="C92" t="s">
        <v>57</v>
      </c>
      <c r="D92" t="s">
        <v>44</v>
      </c>
      <c r="E92" t="s">
        <v>45</v>
      </c>
      <c r="F92" t="s">
        <v>28</v>
      </c>
      <c r="G92" t="s">
        <v>29</v>
      </c>
      <c r="H92" t="s">
        <v>67</v>
      </c>
      <c r="I92">
        <v>12</v>
      </c>
      <c r="J92" t="s">
        <v>262</v>
      </c>
      <c r="K92">
        <v>52</v>
      </c>
      <c r="L92" t="s">
        <v>32</v>
      </c>
      <c r="M92">
        <v>7</v>
      </c>
      <c r="N92" t="s">
        <v>48</v>
      </c>
      <c r="O92" t="s">
        <v>49</v>
      </c>
      <c r="P92" t="s">
        <v>82</v>
      </c>
      <c r="Q92" s="2">
        <v>46860.14</v>
      </c>
      <c r="R92" s="2">
        <v>3561.63</v>
      </c>
      <c r="S92" t="s">
        <v>36</v>
      </c>
      <c r="T92" t="s">
        <v>71</v>
      </c>
      <c r="U92" t="s">
        <v>38</v>
      </c>
      <c r="V92">
        <v>1.6</v>
      </c>
      <c r="W92" t="s">
        <v>124</v>
      </c>
      <c r="X92" t="s">
        <v>55</v>
      </c>
      <c r="Y92" t="s">
        <v>41</v>
      </c>
    </row>
    <row r="93" spans="1:25" x14ac:dyDescent="0.3">
      <c r="A93" t="s">
        <v>263</v>
      </c>
      <c r="B93" s="1">
        <v>45017</v>
      </c>
      <c r="C93" t="s">
        <v>57</v>
      </c>
      <c r="D93" t="s">
        <v>44</v>
      </c>
      <c r="E93" t="s">
        <v>89</v>
      </c>
      <c r="F93" t="s">
        <v>28</v>
      </c>
      <c r="G93" t="s">
        <v>29</v>
      </c>
      <c r="H93" t="s">
        <v>61</v>
      </c>
      <c r="I93">
        <v>11</v>
      </c>
      <c r="J93" t="s">
        <v>264</v>
      </c>
      <c r="K93">
        <v>48</v>
      </c>
      <c r="L93" t="s">
        <v>80</v>
      </c>
      <c r="M93">
        <v>7</v>
      </c>
      <c r="N93" t="s">
        <v>91</v>
      </c>
      <c r="O93" t="s">
        <v>49</v>
      </c>
      <c r="P93" t="s">
        <v>82</v>
      </c>
      <c r="Q93" s="2">
        <v>40494.839999999997</v>
      </c>
      <c r="R93" s="2">
        <v>1175.69</v>
      </c>
      <c r="S93" t="s">
        <v>115</v>
      </c>
      <c r="T93" t="s">
        <v>71</v>
      </c>
      <c r="U93" t="s">
        <v>53</v>
      </c>
      <c r="V93">
        <v>4.5</v>
      </c>
      <c r="W93" t="s">
        <v>103</v>
      </c>
      <c r="X93" t="s">
        <v>40</v>
      </c>
      <c r="Y93" t="s">
        <v>41</v>
      </c>
    </row>
    <row r="94" spans="1:25" x14ac:dyDescent="0.3">
      <c r="A94" t="s">
        <v>265</v>
      </c>
      <c r="B94" s="1">
        <v>45018</v>
      </c>
      <c r="C94" t="s">
        <v>117</v>
      </c>
      <c r="D94" t="s">
        <v>4083</v>
      </c>
      <c r="E94" t="s">
        <v>4085</v>
      </c>
      <c r="F94" t="s">
        <v>60</v>
      </c>
      <c r="G94" t="s">
        <v>29</v>
      </c>
      <c r="H94" t="s">
        <v>59</v>
      </c>
      <c r="I94">
        <v>12</v>
      </c>
      <c r="J94" t="s">
        <v>266</v>
      </c>
      <c r="K94">
        <v>52</v>
      </c>
      <c r="L94" t="s">
        <v>80</v>
      </c>
      <c r="M94">
        <v>3</v>
      </c>
      <c r="N94" t="s">
        <v>48</v>
      </c>
      <c r="O94" t="s">
        <v>69</v>
      </c>
      <c r="P94" t="s">
        <v>82</v>
      </c>
      <c r="Q94" s="2">
        <v>25535.67</v>
      </c>
      <c r="R94" s="2">
        <v>3169.52</v>
      </c>
      <c r="S94" t="s">
        <v>115</v>
      </c>
      <c r="T94" t="s">
        <v>37</v>
      </c>
      <c r="U94" t="s">
        <v>75</v>
      </c>
      <c r="V94">
        <v>4.8</v>
      </c>
      <c r="W94" t="s">
        <v>103</v>
      </c>
      <c r="X94" t="s">
        <v>106</v>
      </c>
      <c r="Y94" t="s">
        <v>72</v>
      </c>
    </row>
    <row r="95" spans="1:25" x14ac:dyDescent="0.3">
      <c r="A95" t="s">
        <v>267</v>
      </c>
      <c r="B95" s="1">
        <v>45019</v>
      </c>
      <c r="C95" t="s">
        <v>57</v>
      </c>
      <c r="D95" t="s">
        <v>44</v>
      </c>
      <c r="E95" t="s">
        <v>120</v>
      </c>
      <c r="F95" t="s">
        <v>28</v>
      </c>
      <c r="G95" t="s">
        <v>29</v>
      </c>
      <c r="H95" t="s">
        <v>86</v>
      </c>
      <c r="I95">
        <v>5</v>
      </c>
      <c r="J95" t="s">
        <v>268</v>
      </c>
      <c r="K95">
        <v>49</v>
      </c>
      <c r="L95" t="s">
        <v>80</v>
      </c>
      <c r="M95">
        <v>7</v>
      </c>
      <c r="N95" t="s">
        <v>91</v>
      </c>
      <c r="O95" t="s">
        <v>49</v>
      </c>
      <c r="P95" t="s">
        <v>82</v>
      </c>
      <c r="Q95" s="2">
        <v>14244.54</v>
      </c>
      <c r="R95" s="2">
        <v>3216.37</v>
      </c>
      <c r="S95" t="s">
        <v>36</v>
      </c>
      <c r="T95" t="s">
        <v>71</v>
      </c>
      <c r="U95" t="s">
        <v>38</v>
      </c>
      <c r="V95">
        <v>3</v>
      </c>
      <c r="W95" t="s">
        <v>76</v>
      </c>
      <c r="X95" t="s">
        <v>84</v>
      </c>
      <c r="Y95" t="s">
        <v>72</v>
      </c>
    </row>
    <row r="96" spans="1:25" x14ac:dyDescent="0.3">
      <c r="A96" t="s">
        <v>269</v>
      </c>
      <c r="B96" s="1">
        <v>45020</v>
      </c>
      <c r="C96" t="s">
        <v>57</v>
      </c>
      <c r="D96" t="s">
        <v>44</v>
      </c>
      <c r="E96" t="s">
        <v>120</v>
      </c>
      <c r="F96" t="s">
        <v>28</v>
      </c>
      <c r="G96" t="s">
        <v>29</v>
      </c>
      <c r="H96" t="s">
        <v>86</v>
      </c>
      <c r="I96">
        <v>8</v>
      </c>
      <c r="J96" t="s">
        <v>270</v>
      </c>
      <c r="K96">
        <v>22</v>
      </c>
      <c r="L96" t="s">
        <v>32</v>
      </c>
      <c r="M96">
        <v>7</v>
      </c>
      <c r="N96" t="s">
        <v>64</v>
      </c>
      <c r="O96" t="s">
        <v>69</v>
      </c>
      <c r="P96" t="s">
        <v>70</v>
      </c>
      <c r="Q96" s="2">
        <v>14363.61</v>
      </c>
      <c r="R96" s="2">
        <v>2034.11</v>
      </c>
      <c r="S96" t="s">
        <v>36</v>
      </c>
      <c r="T96" t="s">
        <v>37</v>
      </c>
      <c r="U96" t="s">
        <v>83</v>
      </c>
      <c r="V96">
        <v>1.5</v>
      </c>
      <c r="W96" t="s">
        <v>124</v>
      </c>
      <c r="X96" t="s">
        <v>84</v>
      </c>
      <c r="Y96" t="s">
        <v>72</v>
      </c>
    </row>
    <row r="97" spans="1:25" x14ac:dyDescent="0.3">
      <c r="A97" t="s">
        <v>271</v>
      </c>
      <c r="B97" s="1">
        <v>45021</v>
      </c>
      <c r="C97" t="s">
        <v>117</v>
      </c>
      <c r="D97" t="s">
        <v>4083</v>
      </c>
      <c r="E97" t="s">
        <v>4084</v>
      </c>
      <c r="F97" t="s">
        <v>60</v>
      </c>
      <c r="G97" t="s">
        <v>29</v>
      </c>
      <c r="H97" t="s">
        <v>27</v>
      </c>
      <c r="I97">
        <v>10</v>
      </c>
      <c r="J97" t="s">
        <v>272</v>
      </c>
      <c r="K97">
        <v>33</v>
      </c>
      <c r="L97" t="s">
        <v>80</v>
      </c>
      <c r="M97">
        <v>7</v>
      </c>
      <c r="N97" t="s">
        <v>64</v>
      </c>
      <c r="O97" t="s">
        <v>81</v>
      </c>
      <c r="P97" t="s">
        <v>82</v>
      </c>
      <c r="Q97" s="2">
        <v>11825.73</v>
      </c>
      <c r="R97" s="2">
        <v>2465.08</v>
      </c>
      <c r="S97" t="s">
        <v>36</v>
      </c>
      <c r="T97" t="s">
        <v>37</v>
      </c>
      <c r="U97" t="s">
        <v>75</v>
      </c>
      <c r="V97">
        <v>2.9</v>
      </c>
      <c r="W97" t="s">
        <v>76</v>
      </c>
      <c r="X97" t="s">
        <v>55</v>
      </c>
      <c r="Y97" t="s">
        <v>41</v>
      </c>
    </row>
    <row r="98" spans="1:25" x14ac:dyDescent="0.3">
      <c r="A98" t="s">
        <v>273</v>
      </c>
      <c r="B98" s="1">
        <v>45022</v>
      </c>
      <c r="C98" t="s">
        <v>57</v>
      </c>
      <c r="D98" t="s">
        <v>44</v>
      </c>
      <c r="E98" t="s">
        <v>4085</v>
      </c>
      <c r="F98" t="s">
        <v>60</v>
      </c>
      <c r="G98" t="s">
        <v>29</v>
      </c>
      <c r="H98" t="s">
        <v>59</v>
      </c>
      <c r="I98">
        <v>13</v>
      </c>
      <c r="J98" t="s">
        <v>274</v>
      </c>
      <c r="K98">
        <v>34</v>
      </c>
      <c r="L98" t="s">
        <v>80</v>
      </c>
      <c r="M98">
        <v>6</v>
      </c>
      <c r="N98" t="s">
        <v>64</v>
      </c>
      <c r="O98" t="s">
        <v>49</v>
      </c>
      <c r="P98" t="s">
        <v>35</v>
      </c>
      <c r="Q98" s="2">
        <v>29599.23</v>
      </c>
      <c r="R98" s="2">
        <v>3470.14</v>
      </c>
      <c r="S98" t="s">
        <v>94</v>
      </c>
      <c r="T98" t="s">
        <v>37</v>
      </c>
      <c r="U98" t="s">
        <v>75</v>
      </c>
      <c r="V98">
        <v>1.4</v>
      </c>
      <c r="W98" t="s">
        <v>124</v>
      </c>
      <c r="X98" t="s">
        <v>55</v>
      </c>
      <c r="Y98" t="s">
        <v>41</v>
      </c>
    </row>
    <row r="99" spans="1:25" x14ac:dyDescent="0.3">
      <c r="A99" t="s">
        <v>275</v>
      </c>
      <c r="B99" s="1">
        <v>45023</v>
      </c>
      <c r="C99" t="s">
        <v>43</v>
      </c>
      <c r="D99" t="s">
        <v>58</v>
      </c>
      <c r="E99" t="s">
        <v>4084</v>
      </c>
      <c r="F99" t="s">
        <v>60</v>
      </c>
      <c r="G99" t="s">
        <v>29</v>
      </c>
      <c r="H99" t="s">
        <v>27</v>
      </c>
      <c r="I99">
        <v>11</v>
      </c>
      <c r="J99" t="s">
        <v>276</v>
      </c>
      <c r="K99">
        <v>49</v>
      </c>
      <c r="L99" t="s">
        <v>63</v>
      </c>
      <c r="M99">
        <v>2</v>
      </c>
      <c r="N99" t="s">
        <v>91</v>
      </c>
      <c r="O99" t="s">
        <v>34</v>
      </c>
      <c r="P99" t="s">
        <v>82</v>
      </c>
      <c r="Q99" s="2">
        <v>46398.49</v>
      </c>
      <c r="R99" s="2">
        <v>4760.51</v>
      </c>
      <c r="S99" t="s">
        <v>36</v>
      </c>
      <c r="T99" t="s">
        <v>71</v>
      </c>
      <c r="U99" t="s">
        <v>38</v>
      </c>
      <c r="V99">
        <v>4.5</v>
      </c>
      <c r="W99" t="s">
        <v>103</v>
      </c>
      <c r="X99" t="s">
        <v>55</v>
      </c>
      <c r="Y99" t="s">
        <v>72</v>
      </c>
    </row>
    <row r="100" spans="1:25" x14ac:dyDescent="0.3">
      <c r="A100" t="s">
        <v>277</v>
      </c>
      <c r="B100" s="1">
        <v>45024</v>
      </c>
      <c r="C100" t="s">
        <v>78</v>
      </c>
      <c r="D100" t="s">
        <v>58</v>
      </c>
      <c r="E100" t="s">
        <v>4085</v>
      </c>
      <c r="F100" t="s">
        <v>60</v>
      </c>
      <c r="G100" t="s">
        <v>29</v>
      </c>
      <c r="H100" t="s">
        <v>46</v>
      </c>
      <c r="I100">
        <v>9</v>
      </c>
      <c r="J100" t="s">
        <v>278</v>
      </c>
      <c r="K100">
        <v>55</v>
      </c>
      <c r="L100" t="s">
        <v>63</v>
      </c>
      <c r="M100">
        <v>7</v>
      </c>
      <c r="N100" t="s">
        <v>48</v>
      </c>
      <c r="O100" t="s">
        <v>49</v>
      </c>
      <c r="P100" t="s">
        <v>70</v>
      </c>
      <c r="Q100" s="2">
        <v>49630.91</v>
      </c>
      <c r="R100" s="2">
        <v>1476.53</v>
      </c>
      <c r="S100" t="s">
        <v>94</v>
      </c>
      <c r="T100" t="s">
        <v>37</v>
      </c>
      <c r="U100" t="s">
        <v>38</v>
      </c>
      <c r="V100">
        <v>3.8</v>
      </c>
      <c r="W100" t="s">
        <v>39</v>
      </c>
      <c r="X100" t="s">
        <v>84</v>
      </c>
      <c r="Y100" t="s">
        <v>72</v>
      </c>
    </row>
    <row r="101" spans="1:25" x14ac:dyDescent="0.3">
      <c r="A101" t="s">
        <v>279</v>
      </c>
      <c r="B101" s="1">
        <v>45025</v>
      </c>
      <c r="C101" t="s">
        <v>78</v>
      </c>
      <c r="D101" t="s">
        <v>58</v>
      </c>
      <c r="E101" t="s">
        <v>4085</v>
      </c>
      <c r="F101" t="s">
        <v>60</v>
      </c>
      <c r="G101" t="s">
        <v>29</v>
      </c>
      <c r="H101" t="s">
        <v>59</v>
      </c>
      <c r="I101">
        <v>14</v>
      </c>
      <c r="J101" t="s">
        <v>280</v>
      </c>
      <c r="K101">
        <v>49</v>
      </c>
      <c r="L101" t="s">
        <v>80</v>
      </c>
      <c r="M101">
        <v>2</v>
      </c>
      <c r="N101" t="s">
        <v>33</v>
      </c>
      <c r="O101" t="s">
        <v>69</v>
      </c>
      <c r="P101" t="s">
        <v>35</v>
      </c>
      <c r="Q101" s="2">
        <v>17928.490000000002</v>
      </c>
      <c r="R101" s="2">
        <v>1231.82</v>
      </c>
      <c r="S101" t="s">
        <v>51</v>
      </c>
      <c r="T101" t="s">
        <v>52</v>
      </c>
      <c r="U101" t="s">
        <v>83</v>
      </c>
      <c r="V101">
        <v>2</v>
      </c>
      <c r="W101" t="s">
        <v>76</v>
      </c>
      <c r="X101" t="s">
        <v>65</v>
      </c>
      <c r="Y101" t="s">
        <v>41</v>
      </c>
    </row>
    <row r="102" spans="1:25" x14ac:dyDescent="0.3">
      <c r="A102" t="s">
        <v>281</v>
      </c>
      <c r="B102" s="1">
        <v>45026</v>
      </c>
      <c r="C102" t="s">
        <v>117</v>
      </c>
      <c r="D102" t="s">
        <v>4083</v>
      </c>
      <c r="E102" t="s">
        <v>89</v>
      </c>
      <c r="F102" t="s">
        <v>28</v>
      </c>
      <c r="G102" t="s">
        <v>29</v>
      </c>
      <c r="H102" t="s">
        <v>61</v>
      </c>
      <c r="I102">
        <v>5</v>
      </c>
      <c r="J102" t="s">
        <v>282</v>
      </c>
      <c r="K102">
        <v>69</v>
      </c>
      <c r="L102" t="s">
        <v>80</v>
      </c>
      <c r="M102">
        <v>2</v>
      </c>
      <c r="N102" t="s">
        <v>33</v>
      </c>
      <c r="O102" t="s">
        <v>34</v>
      </c>
      <c r="P102" t="s">
        <v>35</v>
      </c>
      <c r="Q102" s="2">
        <v>36379.15</v>
      </c>
      <c r="R102" s="2">
        <v>3009.03</v>
      </c>
      <c r="S102" t="s">
        <v>115</v>
      </c>
      <c r="T102" t="s">
        <v>71</v>
      </c>
      <c r="U102" t="s">
        <v>75</v>
      </c>
      <c r="V102">
        <v>4.5</v>
      </c>
      <c r="W102" t="s">
        <v>103</v>
      </c>
      <c r="X102" t="s">
        <v>84</v>
      </c>
      <c r="Y102" t="s">
        <v>72</v>
      </c>
    </row>
    <row r="103" spans="1:25" x14ac:dyDescent="0.3">
      <c r="A103" t="s">
        <v>283</v>
      </c>
      <c r="B103" s="1">
        <v>45027</v>
      </c>
      <c r="C103" t="s">
        <v>26</v>
      </c>
      <c r="D103" t="s">
        <v>26</v>
      </c>
      <c r="E103" t="s">
        <v>4084</v>
      </c>
      <c r="F103" t="s">
        <v>60</v>
      </c>
      <c r="G103" t="s">
        <v>29</v>
      </c>
      <c r="H103" t="s">
        <v>30</v>
      </c>
      <c r="I103">
        <v>3</v>
      </c>
      <c r="J103" t="s">
        <v>284</v>
      </c>
      <c r="K103">
        <v>37</v>
      </c>
      <c r="L103" t="s">
        <v>80</v>
      </c>
      <c r="M103">
        <v>4</v>
      </c>
      <c r="N103" t="s">
        <v>91</v>
      </c>
      <c r="O103" t="s">
        <v>69</v>
      </c>
      <c r="P103" t="s">
        <v>70</v>
      </c>
      <c r="Q103" s="2">
        <v>31869.41</v>
      </c>
      <c r="R103" s="2">
        <v>654</v>
      </c>
      <c r="S103" t="s">
        <v>51</v>
      </c>
      <c r="T103" t="s">
        <v>52</v>
      </c>
      <c r="U103" t="s">
        <v>53</v>
      </c>
      <c r="V103">
        <v>3.6</v>
      </c>
      <c r="W103" t="s">
        <v>54</v>
      </c>
      <c r="X103" t="s">
        <v>65</v>
      </c>
      <c r="Y103" t="s">
        <v>72</v>
      </c>
    </row>
    <row r="104" spans="1:25" x14ac:dyDescent="0.3">
      <c r="A104" t="s">
        <v>285</v>
      </c>
      <c r="B104" s="1">
        <v>45028</v>
      </c>
      <c r="C104" t="s">
        <v>117</v>
      </c>
      <c r="D104" t="s">
        <v>4083</v>
      </c>
      <c r="E104" t="s">
        <v>89</v>
      </c>
      <c r="F104" t="s">
        <v>28</v>
      </c>
      <c r="G104" t="s">
        <v>29</v>
      </c>
      <c r="H104" t="s">
        <v>61</v>
      </c>
      <c r="I104">
        <v>6</v>
      </c>
      <c r="J104" t="s">
        <v>286</v>
      </c>
      <c r="K104">
        <v>65</v>
      </c>
      <c r="L104" t="s">
        <v>32</v>
      </c>
      <c r="M104">
        <v>7</v>
      </c>
      <c r="N104" t="s">
        <v>91</v>
      </c>
      <c r="O104" t="s">
        <v>49</v>
      </c>
      <c r="P104" t="s">
        <v>35</v>
      </c>
      <c r="Q104" s="2">
        <v>27002.13</v>
      </c>
      <c r="R104" s="2">
        <v>2912.66</v>
      </c>
      <c r="S104" t="s">
        <v>36</v>
      </c>
      <c r="T104" t="s">
        <v>52</v>
      </c>
      <c r="U104" t="s">
        <v>38</v>
      </c>
      <c r="V104">
        <v>4.8</v>
      </c>
      <c r="W104" t="s">
        <v>103</v>
      </c>
      <c r="X104" t="s">
        <v>55</v>
      </c>
      <c r="Y104" t="s">
        <v>41</v>
      </c>
    </row>
    <row r="105" spans="1:25" x14ac:dyDescent="0.3">
      <c r="A105" t="s">
        <v>287</v>
      </c>
      <c r="B105" s="1">
        <v>45029</v>
      </c>
      <c r="C105" t="s">
        <v>26</v>
      </c>
      <c r="D105" t="s">
        <v>26</v>
      </c>
      <c r="E105" t="s">
        <v>4085</v>
      </c>
      <c r="F105" t="s">
        <v>60</v>
      </c>
      <c r="G105" t="s">
        <v>29</v>
      </c>
      <c r="H105" t="s">
        <v>59</v>
      </c>
      <c r="I105">
        <v>8</v>
      </c>
      <c r="J105" t="s">
        <v>288</v>
      </c>
      <c r="K105">
        <v>19</v>
      </c>
      <c r="L105" t="s">
        <v>63</v>
      </c>
      <c r="M105">
        <v>3</v>
      </c>
      <c r="N105" t="s">
        <v>91</v>
      </c>
      <c r="O105" t="s">
        <v>34</v>
      </c>
      <c r="P105" t="s">
        <v>70</v>
      </c>
      <c r="Q105" s="2">
        <v>34959.589999999997</v>
      </c>
      <c r="R105" s="2">
        <v>444.26</v>
      </c>
      <c r="S105" t="s">
        <v>115</v>
      </c>
      <c r="T105" t="s">
        <v>52</v>
      </c>
      <c r="U105" t="s">
        <v>75</v>
      </c>
      <c r="V105">
        <v>4.9000000000000004</v>
      </c>
      <c r="W105" t="s">
        <v>103</v>
      </c>
      <c r="X105" t="s">
        <v>40</v>
      </c>
      <c r="Y105" t="s">
        <v>72</v>
      </c>
    </row>
    <row r="106" spans="1:25" x14ac:dyDescent="0.3">
      <c r="A106" t="s">
        <v>289</v>
      </c>
      <c r="B106" s="1">
        <v>45030</v>
      </c>
      <c r="C106" t="s">
        <v>78</v>
      </c>
      <c r="D106" t="s">
        <v>58</v>
      </c>
      <c r="E106" t="s">
        <v>120</v>
      </c>
      <c r="F106" t="s">
        <v>28</v>
      </c>
      <c r="G106" t="s">
        <v>29</v>
      </c>
      <c r="H106" t="s">
        <v>86</v>
      </c>
      <c r="I106">
        <v>5</v>
      </c>
      <c r="J106" t="s">
        <v>290</v>
      </c>
      <c r="K106">
        <v>37</v>
      </c>
      <c r="L106" t="s">
        <v>63</v>
      </c>
      <c r="M106">
        <v>6</v>
      </c>
      <c r="N106" t="s">
        <v>91</v>
      </c>
      <c r="O106" t="s">
        <v>34</v>
      </c>
      <c r="P106" t="s">
        <v>50</v>
      </c>
      <c r="Q106" s="2">
        <v>21711.34</v>
      </c>
      <c r="R106" s="2">
        <v>2452.92</v>
      </c>
      <c r="S106" t="s">
        <v>36</v>
      </c>
      <c r="T106" t="s">
        <v>52</v>
      </c>
      <c r="U106" t="s">
        <v>75</v>
      </c>
      <c r="V106">
        <v>1</v>
      </c>
      <c r="W106" t="s">
        <v>124</v>
      </c>
      <c r="X106" t="s">
        <v>84</v>
      </c>
      <c r="Y106" t="s">
        <v>41</v>
      </c>
    </row>
    <row r="107" spans="1:25" x14ac:dyDescent="0.3">
      <c r="A107" t="s">
        <v>291</v>
      </c>
      <c r="B107" s="1">
        <v>45031</v>
      </c>
      <c r="C107" t="s">
        <v>117</v>
      </c>
      <c r="D107" t="s">
        <v>4083</v>
      </c>
      <c r="E107" t="s">
        <v>4085</v>
      </c>
      <c r="F107" t="s">
        <v>60</v>
      </c>
      <c r="G107" t="s">
        <v>29</v>
      </c>
      <c r="H107" t="s">
        <v>59</v>
      </c>
      <c r="I107">
        <v>3</v>
      </c>
      <c r="J107" t="s">
        <v>292</v>
      </c>
      <c r="K107">
        <v>64</v>
      </c>
      <c r="L107" t="s">
        <v>63</v>
      </c>
      <c r="M107">
        <v>3</v>
      </c>
      <c r="N107" t="s">
        <v>33</v>
      </c>
      <c r="O107" t="s">
        <v>49</v>
      </c>
      <c r="P107" t="s">
        <v>50</v>
      </c>
      <c r="Q107" s="2">
        <v>47501.81</v>
      </c>
      <c r="R107" s="2">
        <v>3102.07</v>
      </c>
      <c r="S107" t="s">
        <v>36</v>
      </c>
      <c r="T107" t="s">
        <v>37</v>
      </c>
      <c r="U107" t="s">
        <v>53</v>
      </c>
      <c r="V107">
        <v>1.5</v>
      </c>
      <c r="W107" t="s">
        <v>124</v>
      </c>
      <c r="X107" t="s">
        <v>55</v>
      </c>
      <c r="Y107" t="s">
        <v>41</v>
      </c>
    </row>
    <row r="108" spans="1:25" x14ac:dyDescent="0.3">
      <c r="A108" t="s">
        <v>293</v>
      </c>
      <c r="B108" s="1">
        <v>45032</v>
      </c>
      <c r="C108" t="s">
        <v>43</v>
      </c>
      <c r="D108" t="s">
        <v>58</v>
      </c>
      <c r="E108" t="s">
        <v>89</v>
      </c>
      <c r="F108" t="s">
        <v>28</v>
      </c>
      <c r="G108" t="s">
        <v>29</v>
      </c>
      <c r="H108" t="s">
        <v>61</v>
      </c>
      <c r="I108">
        <v>8</v>
      </c>
      <c r="J108" t="s">
        <v>294</v>
      </c>
      <c r="K108">
        <v>35</v>
      </c>
      <c r="L108" t="s">
        <v>80</v>
      </c>
      <c r="M108">
        <v>7</v>
      </c>
      <c r="N108" t="s">
        <v>48</v>
      </c>
      <c r="O108" t="s">
        <v>34</v>
      </c>
      <c r="P108" t="s">
        <v>82</v>
      </c>
      <c r="Q108" s="2">
        <v>36745.199999999997</v>
      </c>
      <c r="R108" s="2">
        <v>350.55</v>
      </c>
      <c r="S108" t="s">
        <v>115</v>
      </c>
      <c r="T108" t="s">
        <v>52</v>
      </c>
      <c r="U108" t="s">
        <v>75</v>
      </c>
      <c r="V108">
        <v>3.2</v>
      </c>
      <c r="W108" t="s">
        <v>76</v>
      </c>
      <c r="X108" t="s">
        <v>84</v>
      </c>
      <c r="Y108" t="s">
        <v>72</v>
      </c>
    </row>
    <row r="109" spans="1:25" x14ac:dyDescent="0.3">
      <c r="A109" t="s">
        <v>295</v>
      </c>
      <c r="B109" s="1">
        <v>45033</v>
      </c>
      <c r="C109" t="s">
        <v>57</v>
      </c>
      <c r="D109" t="s">
        <v>44</v>
      </c>
      <c r="E109" t="s">
        <v>4084</v>
      </c>
      <c r="F109" t="s">
        <v>60</v>
      </c>
      <c r="G109" t="s">
        <v>29</v>
      </c>
      <c r="H109" t="s">
        <v>27</v>
      </c>
      <c r="I109">
        <v>3</v>
      </c>
      <c r="J109" t="s">
        <v>296</v>
      </c>
      <c r="K109">
        <v>18</v>
      </c>
      <c r="L109" t="s">
        <v>32</v>
      </c>
      <c r="M109">
        <v>3</v>
      </c>
      <c r="N109" t="s">
        <v>33</v>
      </c>
      <c r="O109" t="s">
        <v>81</v>
      </c>
      <c r="P109" t="s">
        <v>82</v>
      </c>
      <c r="Q109" s="2">
        <v>38939.050000000003</v>
      </c>
      <c r="R109" s="2">
        <v>1034.77</v>
      </c>
      <c r="S109" t="s">
        <v>51</v>
      </c>
      <c r="T109" t="s">
        <v>71</v>
      </c>
      <c r="U109" t="s">
        <v>38</v>
      </c>
      <c r="V109">
        <v>4.8</v>
      </c>
      <c r="W109" t="s">
        <v>103</v>
      </c>
      <c r="X109" t="s">
        <v>55</v>
      </c>
      <c r="Y109" t="s">
        <v>72</v>
      </c>
    </row>
    <row r="110" spans="1:25" x14ac:dyDescent="0.3">
      <c r="A110" t="s">
        <v>297</v>
      </c>
      <c r="B110" s="1">
        <v>45034</v>
      </c>
      <c r="C110" t="s">
        <v>26</v>
      </c>
      <c r="D110" t="s">
        <v>26</v>
      </c>
      <c r="E110" t="s">
        <v>4084</v>
      </c>
      <c r="F110" t="s">
        <v>60</v>
      </c>
      <c r="G110" t="s">
        <v>29</v>
      </c>
      <c r="H110" t="s">
        <v>27</v>
      </c>
      <c r="I110">
        <v>11</v>
      </c>
      <c r="J110" t="s">
        <v>298</v>
      </c>
      <c r="K110">
        <v>46</v>
      </c>
      <c r="L110" t="s">
        <v>63</v>
      </c>
      <c r="M110">
        <v>7</v>
      </c>
      <c r="N110" t="s">
        <v>91</v>
      </c>
      <c r="O110" t="s">
        <v>34</v>
      </c>
      <c r="P110" t="s">
        <v>82</v>
      </c>
      <c r="Q110" s="2">
        <v>15908.99</v>
      </c>
      <c r="R110" s="2">
        <v>1676.87</v>
      </c>
      <c r="S110" t="s">
        <v>36</v>
      </c>
      <c r="T110" t="s">
        <v>52</v>
      </c>
      <c r="U110" t="s">
        <v>53</v>
      </c>
      <c r="V110">
        <v>5</v>
      </c>
      <c r="W110" t="s">
        <v>103</v>
      </c>
      <c r="X110" t="s">
        <v>84</v>
      </c>
      <c r="Y110" t="s">
        <v>72</v>
      </c>
    </row>
    <row r="111" spans="1:25" x14ac:dyDescent="0.3">
      <c r="A111" t="s">
        <v>299</v>
      </c>
      <c r="B111" s="1">
        <v>45035</v>
      </c>
      <c r="C111" t="s">
        <v>57</v>
      </c>
      <c r="D111" t="s">
        <v>44</v>
      </c>
      <c r="E111" t="s">
        <v>89</v>
      </c>
      <c r="F111" t="s">
        <v>28</v>
      </c>
      <c r="G111" t="s">
        <v>29</v>
      </c>
      <c r="H111" t="s">
        <v>61</v>
      </c>
      <c r="I111">
        <v>13</v>
      </c>
      <c r="J111" t="s">
        <v>300</v>
      </c>
      <c r="K111">
        <v>46</v>
      </c>
      <c r="L111" t="s">
        <v>63</v>
      </c>
      <c r="M111">
        <v>6</v>
      </c>
      <c r="N111" t="s">
        <v>64</v>
      </c>
      <c r="O111" t="s">
        <v>34</v>
      </c>
      <c r="P111" t="s">
        <v>82</v>
      </c>
      <c r="Q111" s="2">
        <v>12586.19</v>
      </c>
      <c r="R111" s="2">
        <v>1842.99</v>
      </c>
      <c r="S111" t="s">
        <v>115</v>
      </c>
      <c r="T111" t="s">
        <v>52</v>
      </c>
      <c r="U111" t="s">
        <v>38</v>
      </c>
      <c r="V111">
        <v>3.3</v>
      </c>
      <c r="W111" t="s">
        <v>76</v>
      </c>
      <c r="X111" t="s">
        <v>106</v>
      </c>
      <c r="Y111" t="s">
        <v>41</v>
      </c>
    </row>
    <row r="112" spans="1:25" x14ac:dyDescent="0.3">
      <c r="A112" t="s">
        <v>301</v>
      </c>
      <c r="B112" s="1">
        <v>45036</v>
      </c>
      <c r="C112" t="s">
        <v>57</v>
      </c>
      <c r="D112" t="s">
        <v>44</v>
      </c>
      <c r="E112" t="s">
        <v>4084</v>
      </c>
      <c r="F112" t="s">
        <v>60</v>
      </c>
      <c r="G112" t="s">
        <v>29</v>
      </c>
      <c r="H112" t="s">
        <v>27</v>
      </c>
      <c r="I112">
        <v>14</v>
      </c>
      <c r="J112" t="s">
        <v>302</v>
      </c>
      <c r="K112">
        <v>36</v>
      </c>
      <c r="L112" t="s">
        <v>32</v>
      </c>
      <c r="M112">
        <v>1</v>
      </c>
      <c r="N112" t="s">
        <v>33</v>
      </c>
      <c r="O112" t="s">
        <v>81</v>
      </c>
      <c r="P112" t="s">
        <v>70</v>
      </c>
      <c r="Q112" s="2">
        <v>22745.34</v>
      </c>
      <c r="R112" s="2">
        <v>3380.52</v>
      </c>
      <c r="S112" t="s">
        <v>51</v>
      </c>
      <c r="T112" t="s">
        <v>52</v>
      </c>
      <c r="U112" t="s">
        <v>83</v>
      </c>
      <c r="V112">
        <v>1.7</v>
      </c>
      <c r="W112" t="s">
        <v>124</v>
      </c>
      <c r="X112" t="s">
        <v>84</v>
      </c>
      <c r="Y112" t="s">
        <v>41</v>
      </c>
    </row>
    <row r="113" spans="1:25" x14ac:dyDescent="0.3">
      <c r="A113" t="s">
        <v>303</v>
      </c>
      <c r="B113" s="1">
        <v>45037</v>
      </c>
      <c r="C113" t="s">
        <v>117</v>
      </c>
      <c r="D113" t="s">
        <v>4083</v>
      </c>
      <c r="E113" t="s">
        <v>45</v>
      </c>
      <c r="F113" t="s">
        <v>28</v>
      </c>
      <c r="G113" t="s">
        <v>29</v>
      </c>
      <c r="H113" t="s">
        <v>67</v>
      </c>
      <c r="I113">
        <v>3</v>
      </c>
      <c r="J113" t="s">
        <v>304</v>
      </c>
      <c r="K113">
        <v>61</v>
      </c>
      <c r="L113" t="s">
        <v>80</v>
      </c>
      <c r="M113">
        <v>6</v>
      </c>
      <c r="N113" t="s">
        <v>64</v>
      </c>
      <c r="O113" t="s">
        <v>69</v>
      </c>
      <c r="P113" t="s">
        <v>50</v>
      </c>
      <c r="Q113" s="2">
        <v>39500.26</v>
      </c>
      <c r="R113" s="2">
        <v>2645.11</v>
      </c>
      <c r="S113" t="s">
        <v>94</v>
      </c>
      <c r="T113" t="s">
        <v>37</v>
      </c>
      <c r="U113" t="s">
        <v>75</v>
      </c>
      <c r="V113">
        <v>1.7</v>
      </c>
      <c r="W113" t="s">
        <v>124</v>
      </c>
      <c r="X113" t="s">
        <v>106</v>
      </c>
      <c r="Y113" t="s">
        <v>41</v>
      </c>
    </row>
    <row r="114" spans="1:25" x14ac:dyDescent="0.3">
      <c r="A114" t="s">
        <v>305</v>
      </c>
      <c r="B114" s="1">
        <v>45038</v>
      </c>
      <c r="C114" t="s">
        <v>57</v>
      </c>
      <c r="D114" t="s">
        <v>44</v>
      </c>
      <c r="E114" t="s">
        <v>120</v>
      </c>
      <c r="F114" t="s">
        <v>28</v>
      </c>
      <c r="G114" t="s">
        <v>29</v>
      </c>
      <c r="H114" t="s">
        <v>86</v>
      </c>
      <c r="I114">
        <v>8</v>
      </c>
      <c r="J114" t="s">
        <v>306</v>
      </c>
      <c r="K114">
        <v>57</v>
      </c>
      <c r="L114" t="s">
        <v>80</v>
      </c>
      <c r="M114">
        <v>1</v>
      </c>
      <c r="N114" t="s">
        <v>64</v>
      </c>
      <c r="O114" t="s">
        <v>69</v>
      </c>
      <c r="P114" t="s">
        <v>70</v>
      </c>
      <c r="Q114" s="2">
        <v>47245.82</v>
      </c>
      <c r="R114" s="2">
        <v>1910.54</v>
      </c>
      <c r="S114" t="s">
        <v>51</v>
      </c>
      <c r="T114" t="s">
        <v>52</v>
      </c>
      <c r="U114" t="s">
        <v>38</v>
      </c>
      <c r="V114">
        <v>4.0999999999999996</v>
      </c>
      <c r="W114" t="s">
        <v>54</v>
      </c>
      <c r="X114" t="s">
        <v>65</v>
      </c>
      <c r="Y114" t="s">
        <v>72</v>
      </c>
    </row>
    <row r="115" spans="1:25" x14ac:dyDescent="0.3">
      <c r="A115" t="s">
        <v>307</v>
      </c>
      <c r="B115" s="1">
        <v>45039</v>
      </c>
      <c r="C115" t="s">
        <v>43</v>
      </c>
      <c r="D115" t="s">
        <v>58</v>
      </c>
      <c r="E115" t="s">
        <v>120</v>
      </c>
      <c r="F115" t="s">
        <v>28</v>
      </c>
      <c r="G115" t="s">
        <v>29</v>
      </c>
      <c r="H115" t="s">
        <v>86</v>
      </c>
      <c r="I115">
        <v>3</v>
      </c>
      <c r="J115" t="s">
        <v>308</v>
      </c>
      <c r="K115">
        <v>23</v>
      </c>
      <c r="L115" t="s">
        <v>63</v>
      </c>
      <c r="M115">
        <v>5</v>
      </c>
      <c r="N115" t="s">
        <v>91</v>
      </c>
      <c r="O115" t="s">
        <v>81</v>
      </c>
      <c r="P115" t="s">
        <v>35</v>
      </c>
      <c r="Q115" s="2">
        <v>24229.84</v>
      </c>
      <c r="R115" s="2">
        <v>2253.38</v>
      </c>
      <c r="S115" t="s">
        <v>51</v>
      </c>
      <c r="T115" t="s">
        <v>52</v>
      </c>
      <c r="U115" t="s">
        <v>38</v>
      </c>
      <c r="V115">
        <v>3.4</v>
      </c>
      <c r="W115" t="s">
        <v>76</v>
      </c>
      <c r="X115" t="s">
        <v>84</v>
      </c>
      <c r="Y115" t="s">
        <v>41</v>
      </c>
    </row>
    <row r="116" spans="1:25" x14ac:dyDescent="0.3">
      <c r="A116" t="s">
        <v>309</v>
      </c>
      <c r="B116" s="1">
        <v>45040</v>
      </c>
      <c r="C116" t="s">
        <v>57</v>
      </c>
      <c r="D116" t="s">
        <v>44</v>
      </c>
      <c r="E116" t="s">
        <v>120</v>
      </c>
      <c r="F116" t="s">
        <v>28</v>
      </c>
      <c r="G116" t="s">
        <v>29</v>
      </c>
      <c r="H116" t="s">
        <v>86</v>
      </c>
      <c r="I116">
        <v>14</v>
      </c>
      <c r="J116" t="s">
        <v>310</v>
      </c>
      <c r="K116">
        <v>61</v>
      </c>
      <c r="L116" t="s">
        <v>63</v>
      </c>
      <c r="M116">
        <v>1</v>
      </c>
      <c r="N116" t="s">
        <v>33</v>
      </c>
      <c r="O116" t="s">
        <v>34</v>
      </c>
      <c r="P116" t="s">
        <v>35</v>
      </c>
      <c r="Q116" s="2">
        <v>39837.06</v>
      </c>
      <c r="R116" s="2">
        <v>64.88</v>
      </c>
      <c r="S116" t="s">
        <v>115</v>
      </c>
      <c r="T116" t="s">
        <v>52</v>
      </c>
      <c r="U116" t="s">
        <v>83</v>
      </c>
      <c r="V116">
        <v>3.2</v>
      </c>
      <c r="W116" t="s">
        <v>76</v>
      </c>
      <c r="X116" t="s">
        <v>65</v>
      </c>
      <c r="Y116" t="s">
        <v>41</v>
      </c>
    </row>
    <row r="117" spans="1:25" x14ac:dyDescent="0.3">
      <c r="A117" t="s">
        <v>311</v>
      </c>
      <c r="B117" s="1">
        <v>45041</v>
      </c>
      <c r="C117" t="s">
        <v>117</v>
      </c>
      <c r="D117" t="s">
        <v>4083</v>
      </c>
      <c r="E117" t="s">
        <v>4084</v>
      </c>
      <c r="F117" t="s">
        <v>60</v>
      </c>
      <c r="G117" t="s">
        <v>29</v>
      </c>
      <c r="H117" t="s">
        <v>27</v>
      </c>
      <c r="I117">
        <v>9</v>
      </c>
      <c r="J117" t="s">
        <v>312</v>
      </c>
      <c r="K117">
        <v>56</v>
      </c>
      <c r="L117" t="s">
        <v>32</v>
      </c>
      <c r="M117">
        <v>2</v>
      </c>
      <c r="N117" t="s">
        <v>48</v>
      </c>
      <c r="O117" t="s">
        <v>49</v>
      </c>
      <c r="P117" t="s">
        <v>35</v>
      </c>
      <c r="Q117" s="2">
        <v>26168.34</v>
      </c>
      <c r="R117" s="2">
        <v>3852.63</v>
      </c>
      <c r="S117" t="s">
        <v>51</v>
      </c>
      <c r="T117" t="s">
        <v>71</v>
      </c>
      <c r="U117" t="s">
        <v>75</v>
      </c>
      <c r="V117">
        <v>2.9</v>
      </c>
      <c r="W117" t="s">
        <v>76</v>
      </c>
      <c r="X117" t="s">
        <v>40</v>
      </c>
      <c r="Y117" t="s">
        <v>41</v>
      </c>
    </row>
    <row r="118" spans="1:25" x14ac:dyDescent="0.3">
      <c r="A118" t="s">
        <v>313</v>
      </c>
      <c r="B118" s="1">
        <v>45042</v>
      </c>
      <c r="C118" t="s">
        <v>43</v>
      </c>
      <c r="D118" t="s">
        <v>58</v>
      </c>
      <c r="E118" t="s">
        <v>4084</v>
      </c>
      <c r="F118" t="s">
        <v>60</v>
      </c>
      <c r="G118" t="s">
        <v>29</v>
      </c>
      <c r="H118" t="s">
        <v>27</v>
      </c>
      <c r="I118">
        <v>5</v>
      </c>
      <c r="J118" t="s">
        <v>314</v>
      </c>
      <c r="K118">
        <v>67</v>
      </c>
      <c r="L118" t="s">
        <v>63</v>
      </c>
      <c r="M118">
        <v>2</v>
      </c>
      <c r="N118" t="s">
        <v>33</v>
      </c>
      <c r="O118" t="s">
        <v>81</v>
      </c>
      <c r="P118" t="s">
        <v>35</v>
      </c>
      <c r="Q118" s="2">
        <v>18285.27</v>
      </c>
      <c r="R118" s="2">
        <v>205.02</v>
      </c>
      <c r="S118" t="s">
        <v>94</v>
      </c>
      <c r="T118" t="s">
        <v>37</v>
      </c>
      <c r="U118" t="s">
        <v>38</v>
      </c>
      <c r="V118">
        <v>3.9</v>
      </c>
      <c r="W118" t="s">
        <v>39</v>
      </c>
      <c r="X118" t="s">
        <v>106</v>
      </c>
      <c r="Y118" t="s">
        <v>72</v>
      </c>
    </row>
    <row r="119" spans="1:25" x14ac:dyDescent="0.3">
      <c r="A119" t="s">
        <v>315</v>
      </c>
      <c r="B119" s="1">
        <v>45043</v>
      </c>
      <c r="C119" t="s">
        <v>78</v>
      </c>
      <c r="D119" t="s">
        <v>58</v>
      </c>
      <c r="E119" t="s">
        <v>4085</v>
      </c>
      <c r="F119" t="s">
        <v>60</v>
      </c>
      <c r="G119" t="s">
        <v>29</v>
      </c>
      <c r="H119" t="s">
        <v>46</v>
      </c>
      <c r="I119">
        <v>8</v>
      </c>
      <c r="J119" t="s">
        <v>316</v>
      </c>
      <c r="K119">
        <v>63</v>
      </c>
      <c r="L119" t="s">
        <v>32</v>
      </c>
      <c r="M119">
        <v>6</v>
      </c>
      <c r="N119" t="s">
        <v>48</v>
      </c>
      <c r="O119" t="s">
        <v>49</v>
      </c>
      <c r="P119" t="s">
        <v>35</v>
      </c>
      <c r="Q119" s="2">
        <v>38266.93</v>
      </c>
      <c r="R119" s="2">
        <v>4146.59</v>
      </c>
      <c r="S119" t="s">
        <v>94</v>
      </c>
      <c r="T119" t="s">
        <v>37</v>
      </c>
      <c r="U119" t="s">
        <v>53</v>
      </c>
      <c r="V119">
        <v>4.4000000000000004</v>
      </c>
      <c r="W119" t="s">
        <v>54</v>
      </c>
      <c r="X119" t="s">
        <v>84</v>
      </c>
      <c r="Y119" t="s">
        <v>41</v>
      </c>
    </row>
    <row r="120" spans="1:25" x14ac:dyDescent="0.3">
      <c r="A120" t="s">
        <v>317</v>
      </c>
      <c r="B120" s="1">
        <v>45044</v>
      </c>
      <c r="C120" t="s">
        <v>57</v>
      </c>
      <c r="D120" t="s">
        <v>44</v>
      </c>
      <c r="E120" t="s">
        <v>4085</v>
      </c>
      <c r="F120" t="s">
        <v>60</v>
      </c>
      <c r="G120" t="s">
        <v>29</v>
      </c>
      <c r="H120" t="s">
        <v>46</v>
      </c>
      <c r="I120">
        <v>9</v>
      </c>
      <c r="J120" t="s">
        <v>318</v>
      </c>
      <c r="K120">
        <v>25</v>
      </c>
      <c r="L120" t="s">
        <v>63</v>
      </c>
      <c r="M120">
        <v>2</v>
      </c>
      <c r="N120" t="s">
        <v>48</v>
      </c>
      <c r="O120" t="s">
        <v>69</v>
      </c>
      <c r="P120" t="s">
        <v>50</v>
      </c>
      <c r="Q120" s="2">
        <v>40919.1</v>
      </c>
      <c r="R120" s="2">
        <v>2704.98</v>
      </c>
      <c r="S120" t="s">
        <v>36</v>
      </c>
      <c r="T120" t="s">
        <v>37</v>
      </c>
      <c r="U120" t="s">
        <v>38</v>
      </c>
      <c r="V120">
        <v>2.2000000000000002</v>
      </c>
      <c r="W120" t="s">
        <v>76</v>
      </c>
      <c r="X120" t="s">
        <v>65</v>
      </c>
      <c r="Y120" t="s">
        <v>72</v>
      </c>
    </row>
    <row r="121" spans="1:25" x14ac:dyDescent="0.3">
      <c r="A121" t="s">
        <v>319</v>
      </c>
      <c r="B121" s="1">
        <v>45045</v>
      </c>
      <c r="C121" t="s">
        <v>117</v>
      </c>
      <c r="D121" t="s">
        <v>4083</v>
      </c>
      <c r="E121" t="s">
        <v>120</v>
      </c>
      <c r="F121" t="s">
        <v>28</v>
      </c>
      <c r="G121" t="s">
        <v>29</v>
      </c>
      <c r="H121" t="s">
        <v>86</v>
      </c>
      <c r="I121">
        <v>3</v>
      </c>
      <c r="J121" t="s">
        <v>320</v>
      </c>
      <c r="K121">
        <v>41</v>
      </c>
      <c r="L121" t="s">
        <v>63</v>
      </c>
      <c r="M121">
        <v>2</v>
      </c>
      <c r="N121" t="s">
        <v>91</v>
      </c>
      <c r="O121" t="s">
        <v>81</v>
      </c>
      <c r="P121" t="s">
        <v>70</v>
      </c>
      <c r="Q121" s="2">
        <v>14127.84</v>
      </c>
      <c r="R121" s="2">
        <v>2639.1</v>
      </c>
      <c r="S121" t="s">
        <v>94</v>
      </c>
      <c r="T121" t="s">
        <v>71</v>
      </c>
      <c r="U121" t="s">
        <v>38</v>
      </c>
      <c r="V121">
        <v>1.9</v>
      </c>
      <c r="W121" t="s">
        <v>124</v>
      </c>
      <c r="X121" t="s">
        <v>55</v>
      </c>
      <c r="Y121" t="s">
        <v>72</v>
      </c>
    </row>
    <row r="122" spans="1:25" x14ac:dyDescent="0.3">
      <c r="A122" t="s">
        <v>321</v>
      </c>
      <c r="B122" s="1">
        <v>45046</v>
      </c>
      <c r="C122" t="s">
        <v>78</v>
      </c>
      <c r="D122" t="s">
        <v>58</v>
      </c>
      <c r="E122" t="s">
        <v>45</v>
      </c>
      <c r="F122" t="s">
        <v>28</v>
      </c>
      <c r="G122" t="s">
        <v>29</v>
      </c>
      <c r="H122" t="s">
        <v>67</v>
      </c>
      <c r="I122">
        <v>3</v>
      </c>
      <c r="J122" t="s">
        <v>322</v>
      </c>
      <c r="K122">
        <v>37</v>
      </c>
      <c r="L122" t="s">
        <v>63</v>
      </c>
      <c r="M122">
        <v>5</v>
      </c>
      <c r="N122" t="s">
        <v>48</v>
      </c>
      <c r="O122" t="s">
        <v>49</v>
      </c>
      <c r="P122" t="s">
        <v>35</v>
      </c>
      <c r="Q122" s="2">
        <v>18732.63</v>
      </c>
      <c r="R122" s="2">
        <v>3522.89</v>
      </c>
      <c r="S122" t="s">
        <v>36</v>
      </c>
      <c r="T122" t="s">
        <v>52</v>
      </c>
      <c r="U122" t="s">
        <v>38</v>
      </c>
      <c r="V122">
        <v>3.7</v>
      </c>
      <c r="W122" t="s">
        <v>54</v>
      </c>
      <c r="X122" t="s">
        <v>65</v>
      </c>
      <c r="Y122" t="s">
        <v>41</v>
      </c>
    </row>
    <row r="123" spans="1:25" x14ac:dyDescent="0.3">
      <c r="A123" t="s">
        <v>323</v>
      </c>
      <c r="B123" s="1">
        <v>45047</v>
      </c>
      <c r="C123" t="s">
        <v>78</v>
      </c>
      <c r="D123" t="s">
        <v>58</v>
      </c>
      <c r="E123" t="s">
        <v>4085</v>
      </c>
      <c r="F123" t="s">
        <v>60</v>
      </c>
      <c r="G123" t="s">
        <v>29</v>
      </c>
      <c r="H123" t="s">
        <v>46</v>
      </c>
      <c r="I123">
        <v>7</v>
      </c>
      <c r="J123" t="s">
        <v>324</v>
      </c>
      <c r="K123">
        <v>31</v>
      </c>
      <c r="L123" t="s">
        <v>80</v>
      </c>
      <c r="M123">
        <v>2</v>
      </c>
      <c r="N123" t="s">
        <v>33</v>
      </c>
      <c r="O123" t="s">
        <v>34</v>
      </c>
      <c r="P123" t="s">
        <v>82</v>
      </c>
      <c r="Q123" s="2">
        <v>27264.959999999999</v>
      </c>
      <c r="R123" s="2">
        <v>4297.8</v>
      </c>
      <c r="S123" t="s">
        <v>94</v>
      </c>
      <c r="T123" t="s">
        <v>71</v>
      </c>
      <c r="U123" t="s">
        <v>38</v>
      </c>
      <c r="V123">
        <v>4.7</v>
      </c>
      <c r="W123" t="s">
        <v>103</v>
      </c>
      <c r="X123" t="s">
        <v>84</v>
      </c>
      <c r="Y123" t="s">
        <v>41</v>
      </c>
    </row>
    <row r="124" spans="1:25" x14ac:dyDescent="0.3">
      <c r="A124" t="s">
        <v>325</v>
      </c>
      <c r="B124" s="1">
        <v>45048</v>
      </c>
      <c r="C124" t="s">
        <v>26</v>
      </c>
      <c r="D124" t="s">
        <v>26</v>
      </c>
      <c r="E124" t="s">
        <v>4085</v>
      </c>
      <c r="F124" t="s">
        <v>60</v>
      </c>
      <c r="G124" t="s">
        <v>29</v>
      </c>
      <c r="H124" t="s">
        <v>46</v>
      </c>
      <c r="I124">
        <v>8</v>
      </c>
      <c r="J124" t="s">
        <v>326</v>
      </c>
      <c r="K124">
        <v>22</v>
      </c>
      <c r="L124" t="s">
        <v>32</v>
      </c>
      <c r="M124">
        <v>4</v>
      </c>
      <c r="N124" t="s">
        <v>33</v>
      </c>
      <c r="O124" t="s">
        <v>81</v>
      </c>
      <c r="P124" t="s">
        <v>50</v>
      </c>
      <c r="Q124" s="2">
        <v>13393.48</v>
      </c>
      <c r="R124" s="2">
        <v>4713.2299999999996</v>
      </c>
      <c r="S124" t="s">
        <v>51</v>
      </c>
      <c r="T124" t="s">
        <v>37</v>
      </c>
      <c r="U124" t="s">
        <v>75</v>
      </c>
      <c r="V124">
        <v>2.4</v>
      </c>
      <c r="W124" t="s">
        <v>76</v>
      </c>
      <c r="X124" t="s">
        <v>40</v>
      </c>
      <c r="Y124" t="s">
        <v>41</v>
      </c>
    </row>
    <row r="125" spans="1:25" x14ac:dyDescent="0.3">
      <c r="A125" t="s">
        <v>327</v>
      </c>
      <c r="B125" s="1">
        <v>45049</v>
      </c>
      <c r="C125" t="s">
        <v>43</v>
      </c>
      <c r="D125" t="s">
        <v>58</v>
      </c>
      <c r="E125" t="s">
        <v>4084</v>
      </c>
      <c r="F125" t="s">
        <v>60</v>
      </c>
      <c r="G125" t="s">
        <v>29</v>
      </c>
      <c r="H125" t="s">
        <v>27</v>
      </c>
      <c r="I125">
        <v>11</v>
      </c>
      <c r="J125" t="s">
        <v>328</v>
      </c>
      <c r="K125">
        <v>58</v>
      </c>
      <c r="L125" t="s">
        <v>32</v>
      </c>
      <c r="M125">
        <v>4</v>
      </c>
      <c r="N125" t="s">
        <v>64</v>
      </c>
      <c r="O125" t="s">
        <v>49</v>
      </c>
      <c r="P125" t="s">
        <v>82</v>
      </c>
      <c r="Q125" s="2">
        <v>46797.54</v>
      </c>
      <c r="R125" s="2">
        <v>2716.85</v>
      </c>
      <c r="S125" t="s">
        <v>36</v>
      </c>
      <c r="T125" t="s">
        <v>37</v>
      </c>
      <c r="U125" t="s">
        <v>38</v>
      </c>
      <c r="V125">
        <v>2.1</v>
      </c>
      <c r="W125" t="s">
        <v>76</v>
      </c>
      <c r="X125" t="s">
        <v>106</v>
      </c>
      <c r="Y125" t="s">
        <v>72</v>
      </c>
    </row>
    <row r="126" spans="1:25" x14ac:dyDescent="0.3">
      <c r="A126" t="s">
        <v>329</v>
      </c>
      <c r="B126" s="1">
        <v>45050</v>
      </c>
      <c r="C126" t="s">
        <v>57</v>
      </c>
      <c r="D126" t="s">
        <v>44</v>
      </c>
      <c r="E126" t="s">
        <v>45</v>
      </c>
      <c r="F126" t="s">
        <v>28</v>
      </c>
      <c r="G126" t="s">
        <v>29</v>
      </c>
      <c r="H126" t="s">
        <v>67</v>
      </c>
      <c r="I126">
        <v>3</v>
      </c>
      <c r="J126" t="s">
        <v>330</v>
      </c>
      <c r="K126">
        <v>57</v>
      </c>
      <c r="L126" t="s">
        <v>80</v>
      </c>
      <c r="M126">
        <v>4</v>
      </c>
      <c r="N126" t="s">
        <v>48</v>
      </c>
      <c r="O126" t="s">
        <v>81</v>
      </c>
      <c r="P126" t="s">
        <v>50</v>
      </c>
      <c r="Q126" s="2">
        <v>31610.03</v>
      </c>
      <c r="R126" s="2">
        <v>753.29</v>
      </c>
      <c r="S126" t="s">
        <v>94</v>
      </c>
      <c r="T126" t="s">
        <v>37</v>
      </c>
      <c r="U126" t="s">
        <v>83</v>
      </c>
      <c r="V126">
        <v>1.9</v>
      </c>
      <c r="W126" t="s">
        <v>124</v>
      </c>
      <c r="X126" t="s">
        <v>55</v>
      </c>
      <c r="Y126" t="s">
        <v>72</v>
      </c>
    </row>
    <row r="127" spans="1:25" x14ac:dyDescent="0.3">
      <c r="A127" t="s">
        <v>331</v>
      </c>
      <c r="B127" s="1">
        <v>45051</v>
      </c>
      <c r="C127" t="s">
        <v>117</v>
      </c>
      <c r="D127" t="s">
        <v>4083</v>
      </c>
      <c r="E127" t="s">
        <v>120</v>
      </c>
      <c r="F127" t="s">
        <v>28</v>
      </c>
      <c r="G127" t="s">
        <v>29</v>
      </c>
      <c r="H127" t="s">
        <v>86</v>
      </c>
      <c r="I127">
        <v>6</v>
      </c>
      <c r="J127" t="s">
        <v>332</v>
      </c>
      <c r="K127">
        <v>51</v>
      </c>
      <c r="L127" t="s">
        <v>80</v>
      </c>
      <c r="M127">
        <v>1</v>
      </c>
      <c r="N127" t="s">
        <v>91</v>
      </c>
      <c r="O127" t="s">
        <v>81</v>
      </c>
      <c r="P127" t="s">
        <v>50</v>
      </c>
      <c r="Q127" s="2">
        <v>10454.15</v>
      </c>
      <c r="R127" s="2">
        <v>4393.1499999999996</v>
      </c>
      <c r="S127" t="s">
        <v>51</v>
      </c>
      <c r="T127" t="s">
        <v>71</v>
      </c>
      <c r="U127" t="s">
        <v>38</v>
      </c>
      <c r="V127">
        <v>2</v>
      </c>
      <c r="W127" t="s">
        <v>76</v>
      </c>
      <c r="X127" t="s">
        <v>65</v>
      </c>
      <c r="Y127" t="s">
        <v>72</v>
      </c>
    </row>
    <row r="128" spans="1:25" x14ac:dyDescent="0.3">
      <c r="A128" t="s">
        <v>333</v>
      </c>
      <c r="B128" s="1">
        <v>45052</v>
      </c>
      <c r="C128" t="s">
        <v>26</v>
      </c>
      <c r="D128" t="s">
        <v>26</v>
      </c>
      <c r="E128" t="s">
        <v>4085</v>
      </c>
      <c r="F128" t="s">
        <v>60</v>
      </c>
      <c r="G128" t="s">
        <v>29</v>
      </c>
      <c r="H128" t="s">
        <v>46</v>
      </c>
      <c r="I128">
        <v>12</v>
      </c>
      <c r="J128" t="s">
        <v>334</v>
      </c>
      <c r="K128">
        <v>33</v>
      </c>
      <c r="L128" t="s">
        <v>80</v>
      </c>
      <c r="M128">
        <v>6</v>
      </c>
      <c r="N128" t="s">
        <v>91</v>
      </c>
      <c r="O128" t="s">
        <v>69</v>
      </c>
      <c r="P128" t="s">
        <v>82</v>
      </c>
      <c r="Q128" s="2">
        <v>13281.34</v>
      </c>
      <c r="R128" s="2">
        <v>203.36</v>
      </c>
      <c r="S128" t="s">
        <v>51</v>
      </c>
      <c r="T128" t="s">
        <v>37</v>
      </c>
      <c r="U128" t="s">
        <v>53</v>
      </c>
      <c r="V128">
        <v>1.5</v>
      </c>
      <c r="W128" t="s">
        <v>124</v>
      </c>
      <c r="X128" t="s">
        <v>84</v>
      </c>
      <c r="Y128" t="s">
        <v>72</v>
      </c>
    </row>
    <row r="129" spans="1:25" x14ac:dyDescent="0.3">
      <c r="A129" t="s">
        <v>335</v>
      </c>
      <c r="B129" s="1">
        <v>45053</v>
      </c>
      <c r="C129" t="s">
        <v>43</v>
      </c>
      <c r="D129" t="s">
        <v>58</v>
      </c>
      <c r="E129" t="s">
        <v>45</v>
      </c>
      <c r="F129" t="s">
        <v>28</v>
      </c>
      <c r="G129" t="s">
        <v>29</v>
      </c>
      <c r="H129" t="s">
        <v>67</v>
      </c>
      <c r="I129">
        <v>10</v>
      </c>
      <c r="J129" t="s">
        <v>336</v>
      </c>
      <c r="K129">
        <v>62</v>
      </c>
      <c r="L129" t="s">
        <v>32</v>
      </c>
      <c r="M129">
        <v>6</v>
      </c>
      <c r="N129" t="s">
        <v>33</v>
      </c>
      <c r="O129" t="s">
        <v>69</v>
      </c>
      <c r="P129" t="s">
        <v>82</v>
      </c>
      <c r="Q129" s="2">
        <v>47945.99</v>
      </c>
      <c r="R129" s="2">
        <v>4036.69</v>
      </c>
      <c r="S129" t="s">
        <v>36</v>
      </c>
      <c r="T129" t="s">
        <v>52</v>
      </c>
      <c r="U129" t="s">
        <v>53</v>
      </c>
      <c r="V129">
        <v>3.4</v>
      </c>
      <c r="W129" t="s">
        <v>76</v>
      </c>
      <c r="X129" t="s">
        <v>84</v>
      </c>
      <c r="Y129" t="s">
        <v>41</v>
      </c>
    </row>
    <row r="130" spans="1:25" x14ac:dyDescent="0.3">
      <c r="A130" t="s">
        <v>337</v>
      </c>
      <c r="B130" s="1">
        <v>45054</v>
      </c>
      <c r="C130" t="s">
        <v>26</v>
      </c>
      <c r="D130" t="s">
        <v>26</v>
      </c>
      <c r="E130" t="s">
        <v>45</v>
      </c>
      <c r="F130" t="s">
        <v>28</v>
      </c>
      <c r="G130" t="s">
        <v>29</v>
      </c>
      <c r="H130" t="s">
        <v>67</v>
      </c>
      <c r="I130">
        <v>12</v>
      </c>
      <c r="J130" t="s">
        <v>338</v>
      </c>
      <c r="K130">
        <v>24</v>
      </c>
      <c r="L130" t="s">
        <v>63</v>
      </c>
      <c r="M130">
        <v>3</v>
      </c>
      <c r="N130" t="s">
        <v>48</v>
      </c>
      <c r="O130" t="s">
        <v>34</v>
      </c>
      <c r="P130" t="s">
        <v>35</v>
      </c>
      <c r="Q130" s="2">
        <v>38217.589999999997</v>
      </c>
      <c r="R130" s="2">
        <v>3402.11</v>
      </c>
      <c r="S130" t="s">
        <v>115</v>
      </c>
      <c r="T130" t="s">
        <v>71</v>
      </c>
      <c r="U130" t="s">
        <v>38</v>
      </c>
      <c r="V130">
        <v>2.1</v>
      </c>
      <c r="W130" t="s">
        <v>76</v>
      </c>
      <c r="X130" t="s">
        <v>106</v>
      </c>
      <c r="Y130" t="s">
        <v>41</v>
      </c>
    </row>
    <row r="131" spans="1:25" x14ac:dyDescent="0.3">
      <c r="A131" t="s">
        <v>339</v>
      </c>
      <c r="B131" s="1">
        <v>45055</v>
      </c>
      <c r="C131" t="s">
        <v>43</v>
      </c>
      <c r="D131" t="s">
        <v>58</v>
      </c>
      <c r="E131" t="s">
        <v>120</v>
      </c>
      <c r="F131" t="s">
        <v>28</v>
      </c>
      <c r="G131" t="s">
        <v>29</v>
      </c>
      <c r="H131" t="s">
        <v>86</v>
      </c>
      <c r="I131">
        <v>11</v>
      </c>
      <c r="J131" t="s">
        <v>340</v>
      </c>
      <c r="K131">
        <v>33</v>
      </c>
      <c r="L131" t="s">
        <v>80</v>
      </c>
      <c r="M131">
        <v>5</v>
      </c>
      <c r="N131" t="s">
        <v>91</v>
      </c>
      <c r="O131" t="s">
        <v>69</v>
      </c>
      <c r="P131" t="s">
        <v>82</v>
      </c>
      <c r="Q131" s="2">
        <v>38048.230000000003</v>
      </c>
      <c r="R131" s="2">
        <v>4523.6400000000003</v>
      </c>
      <c r="S131" t="s">
        <v>51</v>
      </c>
      <c r="T131" t="s">
        <v>52</v>
      </c>
      <c r="U131" t="s">
        <v>38</v>
      </c>
      <c r="V131">
        <v>3.5</v>
      </c>
      <c r="W131" t="s">
        <v>54</v>
      </c>
      <c r="X131" t="s">
        <v>55</v>
      </c>
      <c r="Y131" t="s">
        <v>72</v>
      </c>
    </row>
    <row r="132" spans="1:25" x14ac:dyDescent="0.3">
      <c r="A132" t="s">
        <v>341</v>
      </c>
      <c r="B132" s="1">
        <v>45056</v>
      </c>
      <c r="C132" t="s">
        <v>43</v>
      </c>
      <c r="D132" t="s">
        <v>58</v>
      </c>
      <c r="E132" t="s">
        <v>45</v>
      </c>
      <c r="F132" t="s">
        <v>28</v>
      </c>
      <c r="G132" t="s">
        <v>29</v>
      </c>
      <c r="H132" t="s">
        <v>67</v>
      </c>
      <c r="I132">
        <v>5</v>
      </c>
      <c r="J132" t="s">
        <v>342</v>
      </c>
      <c r="K132">
        <v>24</v>
      </c>
      <c r="L132" t="s">
        <v>80</v>
      </c>
      <c r="M132">
        <v>4</v>
      </c>
      <c r="N132" t="s">
        <v>48</v>
      </c>
      <c r="O132" t="s">
        <v>69</v>
      </c>
      <c r="P132" t="s">
        <v>70</v>
      </c>
      <c r="Q132" s="2">
        <v>8262.44</v>
      </c>
      <c r="R132" s="2">
        <v>4487.32</v>
      </c>
      <c r="S132" t="s">
        <v>51</v>
      </c>
      <c r="T132" t="s">
        <v>37</v>
      </c>
      <c r="U132" t="s">
        <v>83</v>
      </c>
      <c r="V132">
        <v>1.3</v>
      </c>
      <c r="W132" t="s">
        <v>124</v>
      </c>
      <c r="X132" t="s">
        <v>65</v>
      </c>
      <c r="Y132" t="s">
        <v>72</v>
      </c>
    </row>
    <row r="133" spans="1:25" x14ac:dyDescent="0.3">
      <c r="A133" t="s">
        <v>343</v>
      </c>
      <c r="B133" s="1">
        <v>45057</v>
      </c>
      <c r="C133" t="s">
        <v>57</v>
      </c>
      <c r="D133" t="s">
        <v>44</v>
      </c>
      <c r="E133" t="s">
        <v>45</v>
      </c>
      <c r="F133" t="s">
        <v>28</v>
      </c>
      <c r="G133" t="s">
        <v>29</v>
      </c>
      <c r="H133" t="s">
        <v>67</v>
      </c>
      <c r="I133">
        <v>13</v>
      </c>
      <c r="J133" t="s">
        <v>344</v>
      </c>
      <c r="K133">
        <v>44</v>
      </c>
      <c r="L133" t="s">
        <v>80</v>
      </c>
      <c r="M133">
        <v>4</v>
      </c>
      <c r="N133" t="s">
        <v>48</v>
      </c>
      <c r="O133" t="s">
        <v>69</v>
      </c>
      <c r="P133" t="s">
        <v>50</v>
      </c>
      <c r="Q133" s="2">
        <v>45288.45</v>
      </c>
      <c r="R133" s="2">
        <v>265.77</v>
      </c>
      <c r="S133" t="s">
        <v>115</v>
      </c>
      <c r="T133" t="s">
        <v>37</v>
      </c>
      <c r="U133" t="s">
        <v>83</v>
      </c>
      <c r="V133">
        <v>1.5</v>
      </c>
      <c r="W133" t="s">
        <v>124</v>
      </c>
      <c r="X133" t="s">
        <v>65</v>
      </c>
      <c r="Y133" t="s">
        <v>72</v>
      </c>
    </row>
    <row r="134" spans="1:25" x14ac:dyDescent="0.3">
      <c r="A134" t="s">
        <v>345</v>
      </c>
      <c r="B134" s="1">
        <v>45058</v>
      </c>
      <c r="C134" t="s">
        <v>43</v>
      </c>
      <c r="D134" t="s">
        <v>58</v>
      </c>
      <c r="E134" t="s">
        <v>45</v>
      </c>
      <c r="F134" t="s">
        <v>28</v>
      </c>
      <c r="G134" t="s">
        <v>29</v>
      </c>
      <c r="H134" t="s">
        <v>67</v>
      </c>
      <c r="I134">
        <v>4</v>
      </c>
      <c r="J134" t="s">
        <v>346</v>
      </c>
      <c r="K134">
        <v>31</v>
      </c>
      <c r="L134" t="s">
        <v>63</v>
      </c>
      <c r="M134">
        <v>2</v>
      </c>
      <c r="N134" t="s">
        <v>64</v>
      </c>
      <c r="O134" t="s">
        <v>49</v>
      </c>
      <c r="P134" t="s">
        <v>50</v>
      </c>
      <c r="Q134" s="2">
        <v>24968.09</v>
      </c>
      <c r="R134" s="2">
        <v>3047.23</v>
      </c>
      <c r="S134" t="s">
        <v>36</v>
      </c>
      <c r="T134" t="s">
        <v>71</v>
      </c>
      <c r="U134" t="s">
        <v>75</v>
      </c>
      <c r="V134">
        <v>3.1</v>
      </c>
      <c r="W134" t="s">
        <v>76</v>
      </c>
      <c r="X134" t="s">
        <v>65</v>
      </c>
      <c r="Y134" t="s">
        <v>72</v>
      </c>
    </row>
    <row r="135" spans="1:25" x14ac:dyDescent="0.3">
      <c r="A135" t="s">
        <v>347</v>
      </c>
      <c r="B135" s="1">
        <v>45059</v>
      </c>
      <c r="C135" t="s">
        <v>26</v>
      </c>
      <c r="D135" t="s">
        <v>26</v>
      </c>
      <c r="E135" t="s">
        <v>4085</v>
      </c>
      <c r="F135" t="s">
        <v>60</v>
      </c>
      <c r="G135" t="s">
        <v>29</v>
      </c>
      <c r="H135" t="s">
        <v>59</v>
      </c>
      <c r="I135">
        <v>6</v>
      </c>
      <c r="J135" t="s">
        <v>348</v>
      </c>
      <c r="K135">
        <v>31</v>
      </c>
      <c r="L135" t="s">
        <v>63</v>
      </c>
      <c r="M135">
        <v>4</v>
      </c>
      <c r="N135" t="s">
        <v>91</v>
      </c>
      <c r="O135" t="s">
        <v>81</v>
      </c>
      <c r="P135" t="s">
        <v>35</v>
      </c>
      <c r="Q135" s="2">
        <v>34687.279999999999</v>
      </c>
      <c r="R135" s="2">
        <v>623.36</v>
      </c>
      <c r="S135" t="s">
        <v>94</v>
      </c>
      <c r="T135" t="s">
        <v>52</v>
      </c>
      <c r="U135" t="s">
        <v>75</v>
      </c>
      <c r="V135">
        <v>3</v>
      </c>
      <c r="W135" t="s">
        <v>76</v>
      </c>
      <c r="X135" t="s">
        <v>106</v>
      </c>
      <c r="Y135" t="s">
        <v>72</v>
      </c>
    </row>
    <row r="136" spans="1:25" x14ac:dyDescent="0.3">
      <c r="A136" t="s">
        <v>349</v>
      </c>
      <c r="B136" s="1">
        <v>45060</v>
      </c>
      <c r="C136" t="s">
        <v>43</v>
      </c>
      <c r="D136" t="s">
        <v>58</v>
      </c>
      <c r="E136" t="s">
        <v>120</v>
      </c>
      <c r="F136" t="s">
        <v>28</v>
      </c>
      <c r="G136" t="s">
        <v>29</v>
      </c>
      <c r="H136" t="s">
        <v>86</v>
      </c>
      <c r="I136">
        <v>4</v>
      </c>
      <c r="J136" t="s">
        <v>350</v>
      </c>
      <c r="K136">
        <v>61</v>
      </c>
      <c r="L136" t="s">
        <v>80</v>
      </c>
      <c r="M136">
        <v>2</v>
      </c>
      <c r="N136" t="s">
        <v>64</v>
      </c>
      <c r="O136" t="s">
        <v>69</v>
      </c>
      <c r="P136" t="s">
        <v>50</v>
      </c>
      <c r="Q136" s="2">
        <v>48186.01</v>
      </c>
      <c r="R136" s="2">
        <v>392.34</v>
      </c>
      <c r="S136" t="s">
        <v>94</v>
      </c>
      <c r="T136" t="s">
        <v>71</v>
      </c>
      <c r="U136" t="s">
        <v>53</v>
      </c>
      <c r="V136">
        <v>2.1</v>
      </c>
      <c r="W136" t="s">
        <v>76</v>
      </c>
      <c r="X136" t="s">
        <v>106</v>
      </c>
      <c r="Y136" t="s">
        <v>72</v>
      </c>
    </row>
    <row r="137" spans="1:25" x14ac:dyDescent="0.3">
      <c r="A137" t="s">
        <v>351</v>
      </c>
      <c r="B137" s="1">
        <v>45061</v>
      </c>
      <c r="C137" t="s">
        <v>57</v>
      </c>
      <c r="D137" t="s">
        <v>44</v>
      </c>
      <c r="E137" t="s">
        <v>45</v>
      </c>
      <c r="F137" t="s">
        <v>28</v>
      </c>
      <c r="G137" t="s">
        <v>29</v>
      </c>
      <c r="H137" t="s">
        <v>67</v>
      </c>
      <c r="I137">
        <v>3</v>
      </c>
      <c r="J137" t="s">
        <v>352</v>
      </c>
      <c r="K137">
        <v>50</v>
      </c>
      <c r="L137" t="s">
        <v>63</v>
      </c>
      <c r="M137">
        <v>2</v>
      </c>
      <c r="N137" t="s">
        <v>91</v>
      </c>
      <c r="O137" t="s">
        <v>49</v>
      </c>
      <c r="P137" t="s">
        <v>82</v>
      </c>
      <c r="Q137" s="2">
        <v>9500.56</v>
      </c>
      <c r="R137" s="2">
        <v>2241.39</v>
      </c>
      <c r="S137" t="s">
        <v>51</v>
      </c>
      <c r="T137" t="s">
        <v>52</v>
      </c>
      <c r="U137" t="s">
        <v>38</v>
      </c>
      <c r="V137">
        <v>4.3</v>
      </c>
      <c r="W137" t="s">
        <v>54</v>
      </c>
      <c r="X137" t="s">
        <v>55</v>
      </c>
      <c r="Y137" t="s">
        <v>72</v>
      </c>
    </row>
    <row r="138" spans="1:25" x14ac:dyDescent="0.3">
      <c r="A138" t="s">
        <v>353</v>
      </c>
      <c r="B138" s="1">
        <v>45062</v>
      </c>
      <c r="C138" t="s">
        <v>57</v>
      </c>
      <c r="D138" t="s">
        <v>44</v>
      </c>
      <c r="E138" t="s">
        <v>45</v>
      </c>
      <c r="F138" t="s">
        <v>28</v>
      </c>
      <c r="G138" t="s">
        <v>29</v>
      </c>
      <c r="H138" t="s">
        <v>67</v>
      </c>
      <c r="I138">
        <v>14</v>
      </c>
      <c r="J138" t="s">
        <v>354</v>
      </c>
      <c r="K138">
        <v>50</v>
      </c>
      <c r="L138" t="s">
        <v>80</v>
      </c>
      <c r="M138">
        <v>3</v>
      </c>
      <c r="N138" t="s">
        <v>48</v>
      </c>
      <c r="O138" t="s">
        <v>81</v>
      </c>
      <c r="P138" t="s">
        <v>50</v>
      </c>
      <c r="Q138" s="2">
        <v>26702.44</v>
      </c>
      <c r="R138" s="2">
        <v>487.99</v>
      </c>
      <c r="S138" t="s">
        <v>115</v>
      </c>
      <c r="T138" t="s">
        <v>37</v>
      </c>
      <c r="U138" t="s">
        <v>38</v>
      </c>
      <c r="V138">
        <v>1.7</v>
      </c>
      <c r="W138" t="s">
        <v>124</v>
      </c>
      <c r="X138" t="s">
        <v>65</v>
      </c>
      <c r="Y138" t="s">
        <v>72</v>
      </c>
    </row>
    <row r="139" spans="1:25" x14ac:dyDescent="0.3">
      <c r="A139" t="s">
        <v>355</v>
      </c>
      <c r="B139" s="1">
        <v>45063</v>
      </c>
      <c r="C139" t="s">
        <v>26</v>
      </c>
      <c r="D139" t="s">
        <v>26</v>
      </c>
      <c r="E139" t="s">
        <v>4085</v>
      </c>
      <c r="F139" t="s">
        <v>60</v>
      </c>
      <c r="G139" t="s">
        <v>29</v>
      </c>
      <c r="H139" t="s">
        <v>59</v>
      </c>
      <c r="I139">
        <v>5</v>
      </c>
      <c r="J139" t="s">
        <v>356</v>
      </c>
      <c r="K139">
        <v>61</v>
      </c>
      <c r="L139" t="s">
        <v>63</v>
      </c>
      <c r="M139">
        <v>1</v>
      </c>
      <c r="N139" t="s">
        <v>91</v>
      </c>
      <c r="O139" t="s">
        <v>69</v>
      </c>
      <c r="P139" t="s">
        <v>50</v>
      </c>
      <c r="Q139" s="2">
        <v>7232.57</v>
      </c>
      <c r="R139" s="2">
        <v>3639.51</v>
      </c>
      <c r="S139" t="s">
        <v>51</v>
      </c>
      <c r="T139" t="s">
        <v>71</v>
      </c>
      <c r="U139" t="s">
        <v>83</v>
      </c>
      <c r="V139">
        <v>2.4</v>
      </c>
      <c r="W139" t="s">
        <v>76</v>
      </c>
      <c r="X139" t="s">
        <v>65</v>
      </c>
      <c r="Y139" t="s">
        <v>41</v>
      </c>
    </row>
    <row r="140" spans="1:25" x14ac:dyDescent="0.3">
      <c r="A140" t="s">
        <v>357</v>
      </c>
      <c r="B140" s="1">
        <v>45064</v>
      </c>
      <c r="C140" t="s">
        <v>78</v>
      </c>
      <c r="D140" t="s">
        <v>58</v>
      </c>
      <c r="E140" t="s">
        <v>120</v>
      </c>
      <c r="F140" t="s">
        <v>28</v>
      </c>
      <c r="G140" t="s">
        <v>29</v>
      </c>
      <c r="H140" t="s">
        <v>86</v>
      </c>
      <c r="I140">
        <v>9</v>
      </c>
      <c r="J140" t="s">
        <v>358</v>
      </c>
      <c r="K140">
        <v>37</v>
      </c>
      <c r="L140" t="s">
        <v>32</v>
      </c>
      <c r="M140">
        <v>2</v>
      </c>
      <c r="N140" t="s">
        <v>33</v>
      </c>
      <c r="O140" t="s">
        <v>69</v>
      </c>
      <c r="P140" t="s">
        <v>82</v>
      </c>
      <c r="Q140" s="2">
        <v>27479.54</v>
      </c>
      <c r="R140" s="2">
        <v>4844.7</v>
      </c>
      <c r="S140" t="s">
        <v>36</v>
      </c>
      <c r="T140" t="s">
        <v>71</v>
      </c>
      <c r="U140" t="s">
        <v>83</v>
      </c>
      <c r="V140">
        <v>3.2</v>
      </c>
      <c r="W140" t="s">
        <v>76</v>
      </c>
      <c r="X140" t="s">
        <v>55</v>
      </c>
      <c r="Y140" t="s">
        <v>41</v>
      </c>
    </row>
    <row r="141" spans="1:25" x14ac:dyDescent="0.3">
      <c r="A141" t="s">
        <v>359</v>
      </c>
      <c r="B141" s="1">
        <v>45065</v>
      </c>
      <c r="C141" t="s">
        <v>78</v>
      </c>
      <c r="D141" t="s">
        <v>58</v>
      </c>
      <c r="E141" t="s">
        <v>4084</v>
      </c>
      <c r="F141" t="s">
        <v>60</v>
      </c>
      <c r="G141" t="s">
        <v>29</v>
      </c>
      <c r="H141" t="s">
        <v>27</v>
      </c>
      <c r="I141">
        <v>3</v>
      </c>
      <c r="J141" t="s">
        <v>360</v>
      </c>
      <c r="K141">
        <v>64</v>
      </c>
      <c r="L141" t="s">
        <v>32</v>
      </c>
      <c r="M141">
        <v>2</v>
      </c>
      <c r="N141" t="s">
        <v>48</v>
      </c>
      <c r="O141" t="s">
        <v>81</v>
      </c>
      <c r="P141" t="s">
        <v>82</v>
      </c>
      <c r="Q141" s="2">
        <v>16351.67</v>
      </c>
      <c r="R141" s="2">
        <v>2847.91</v>
      </c>
      <c r="S141" t="s">
        <v>51</v>
      </c>
      <c r="T141" t="s">
        <v>52</v>
      </c>
      <c r="U141" t="s">
        <v>75</v>
      </c>
      <c r="V141">
        <v>4.5</v>
      </c>
      <c r="W141" t="s">
        <v>103</v>
      </c>
      <c r="X141" t="s">
        <v>55</v>
      </c>
      <c r="Y141" t="s">
        <v>72</v>
      </c>
    </row>
    <row r="142" spans="1:25" x14ac:dyDescent="0.3">
      <c r="A142" t="s">
        <v>361</v>
      </c>
      <c r="B142" s="1">
        <v>45066</v>
      </c>
      <c r="C142" t="s">
        <v>43</v>
      </c>
      <c r="D142" t="s">
        <v>58</v>
      </c>
      <c r="E142" t="s">
        <v>4085</v>
      </c>
      <c r="F142" t="s">
        <v>60</v>
      </c>
      <c r="G142" t="s">
        <v>29</v>
      </c>
      <c r="H142" t="s">
        <v>46</v>
      </c>
      <c r="I142">
        <v>4</v>
      </c>
      <c r="J142" t="s">
        <v>362</v>
      </c>
      <c r="K142">
        <v>53</v>
      </c>
      <c r="L142" t="s">
        <v>63</v>
      </c>
      <c r="M142">
        <v>6</v>
      </c>
      <c r="N142" t="s">
        <v>91</v>
      </c>
      <c r="O142" t="s">
        <v>49</v>
      </c>
      <c r="P142" t="s">
        <v>50</v>
      </c>
      <c r="Q142" s="2">
        <v>45997.95</v>
      </c>
      <c r="R142" s="2">
        <v>1175.8399999999999</v>
      </c>
      <c r="S142" t="s">
        <v>94</v>
      </c>
      <c r="T142" t="s">
        <v>37</v>
      </c>
      <c r="U142" t="s">
        <v>75</v>
      </c>
      <c r="V142">
        <v>2.7</v>
      </c>
      <c r="W142" t="s">
        <v>76</v>
      </c>
      <c r="X142" t="s">
        <v>55</v>
      </c>
      <c r="Y142" t="s">
        <v>41</v>
      </c>
    </row>
    <row r="143" spans="1:25" x14ac:dyDescent="0.3">
      <c r="A143" t="s">
        <v>363</v>
      </c>
      <c r="B143" s="1">
        <v>45067</v>
      </c>
      <c r="C143" t="s">
        <v>117</v>
      </c>
      <c r="D143" t="s">
        <v>4083</v>
      </c>
      <c r="E143" t="s">
        <v>120</v>
      </c>
      <c r="F143" t="s">
        <v>28</v>
      </c>
      <c r="G143" t="s">
        <v>29</v>
      </c>
      <c r="H143" t="s">
        <v>86</v>
      </c>
      <c r="I143">
        <v>3</v>
      </c>
      <c r="J143" t="s">
        <v>364</v>
      </c>
      <c r="K143">
        <v>24</v>
      </c>
      <c r="L143" t="s">
        <v>32</v>
      </c>
      <c r="M143">
        <v>3</v>
      </c>
      <c r="N143" t="s">
        <v>64</v>
      </c>
      <c r="O143" t="s">
        <v>49</v>
      </c>
      <c r="P143" t="s">
        <v>70</v>
      </c>
      <c r="Q143" s="2">
        <v>22932.16</v>
      </c>
      <c r="R143" s="2">
        <v>4216.03</v>
      </c>
      <c r="S143" t="s">
        <v>115</v>
      </c>
      <c r="T143" t="s">
        <v>37</v>
      </c>
      <c r="U143" t="s">
        <v>53</v>
      </c>
      <c r="V143">
        <v>2.6</v>
      </c>
      <c r="W143" t="s">
        <v>76</v>
      </c>
      <c r="X143" t="s">
        <v>84</v>
      </c>
      <c r="Y143" t="s">
        <v>41</v>
      </c>
    </row>
    <row r="144" spans="1:25" x14ac:dyDescent="0.3">
      <c r="A144" t="s">
        <v>365</v>
      </c>
      <c r="B144" s="1">
        <v>45068</v>
      </c>
      <c r="C144" t="s">
        <v>43</v>
      </c>
      <c r="D144" t="s">
        <v>58</v>
      </c>
      <c r="E144" t="s">
        <v>45</v>
      </c>
      <c r="F144" t="s">
        <v>28</v>
      </c>
      <c r="G144" t="s">
        <v>29</v>
      </c>
      <c r="H144" t="s">
        <v>67</v>
      </c>
      <c r="I144">
        <v>10</v>
      </c>
      <c r="J144" t="s">
        <v>366</v>
      </c>
      <c r="K144">
        <v>49</v>
      </c>
      <c r="L144" t="s">
        <v>32</v>
      </c>
      <c r="M144">
        <v>2</v>
      </c>
      <c r="N144" t="s">
        <v>64</v>
      </c>
      <c r="O144" t="s">
        <v>34</v>
      </c>
      <c r="P144" t="s">
        <v>82</v>
      </c>
      <c r="Q144" s="2">
        <v>33524.26</v>
      </c>
      <c r="R144" s="2">
        <v>4265.5200000000004</v>
      </c>
      <c r="S144" t="s">
        <v>36</v>
      </c>
      <c r="T144" t="s">
        <v>52</v>
      </c>
      <c r="U144" t="s">
        <v>83</v>
      </c>
      <c r="V144">
        <v>3.3</v>
      </c>
      <c r="W144" t="s">
        <v>76</v>
      </c>
      <c r="X144" t="s">
        <v>55</v>
      </c>
      <c r="Y144" t="s">
        <v>41</v>
      </c>
    </row>
    <row r="145" spans="1:25" x14ac:dyDescent="0.3">
      <c r="A145" t="s">
        <v>367</v>
      </c>
      <c r="B145" s="1">
        <v>45069</v>
      </c>
      <c r="C145" t="s">
        <v>26</v>
      </c>
      <c r="D145" t="s">
        <v>26</v>
      </c>
      <c r="E145" t="s">
        <v>120</v>
      </c>
      <c r="F145" t="s">
        <v>28</v>
      </c>
      <c r="G145" t="s">
        <v>29</v>
      </c>
      <c r="H145" t="s">
        <v>86</v>
      </c>
      <c r="I145">
        <v>7</v>
      </c>
      <c r="J145" t="s">
        <v>368</v>
      </c>
      <c r="K145">
        <v>65</v>
      </c>
      <c r="L145" t="s">
        <v>32</v>
      </c>
      <c r="M145">
        <v>5</v>
      </c>
      <c r="N145" t="s">
        <v>48</v>
      </c>
      <c r="O145" t="s">
        <v>81</v>
      </c>
      <c r="P145" t="s">
        <v>70</v>
      </c>
      <c r="Q145" s="2">
        <v>43712.93</v>
      </c>
      <c r="R145" s="2">
        <v>3663.93</v>
      </c>
      <c r="S145" t="s">
        <v>51</v>
      </c>
      <c r="T145" t="s">
        <v>52</v>
      </c>
      <c r="U145" t="s">
        <v>38</v>
      </c>
      <c r="V145">
        <v>2.2999999999999998</v>
      </c>
      <c r="W145" t="s">
        <v>76</v>
      </c>
      <c r="X145" t="s">
        <v>40</v>
      </c>
      <c r="Y145" t="s">
        <v>72</v>
      </c>
    </row>
    <row r="146" spans="1:25" x14ac:dyDescent="0.3">
      <c r="A146" t="s">
        <v>369</v>
      </c>
      <c r="B146" s="1">
        <v>45070</v>
      </c>
      <c r="C146" t="s">
        <v>26</v>
      </c>
      <c r="D146" t="s">
        <v>26</v>
      </c>
      <c r="E146" t="s">
        <v>120</v>
      </c>
      <c r="F146" t="s">
        <v>28</v>
      </c>
      <c r="G146" t="s">
        <v>29</v>
      </c>
      <c r="H146" t="s">
        <v>86</v>
      </c>
      <c r="I146">
        <v>10</v>
      </c>
      <c r="J146" t="s">
        <v>370</v>
      </c>
      <c r="K146">
        <v>20</v>
      </c>
      <c r="L146" t="s">
        <v>80</v>
      </c>
      <c r="M146">
        <v>1</v>
      </c>
      <c r="N146" t="s">
        <v>64</v>
      </c>
      <c r="O146" t="s">
        <v>34</v>
      </c>
      <c r="P146" t="s">
        <v>70</v>
      </c>
      <c r="Q146" s="2">
        <v>49266.13</v>
      </c>
      <c r="R146" s="2">
        <v>3075.66</v>
      </c>
      <c r="S146" t="s">
        <v>94</v>
      </c>
      <c r="T146" t="s">
        <v>52</v>
      </c>
      <c r="U146" t="s">
        <v>83</v>
      </c>
      <c r="V146">
        <v>3.8</v>
      </c>
      <c r="W146" t="s">
        <v>39</v>
      </c>
      <c r="X146" t="s">
        <v>106</v>
      </c>
      <c r="Y146" t="s">
        <v>72</v>
      </c>
    </row>
    <row r="147" spans="1:25" x14ac:dyDescent="0.3">
      <c r="A147" t="s">
        <v>371</v>
      </c>
      <c r="B147" s="1">
        <v>45071</v>
      </c>
      <c r="C147" t="s">
        <v>26</v>
      </c>
      <c r="D147" t="s">
        <v>26</v>
      </c>
      <c r="E147" t="s">
        <v>120</v>
      </c>
      <c r="F147" t="s">
        <v>28</v>
      </c>
      <c r="G147" t="s">
        <v>29</v>
      </c>
      <c r="H147" t="s">
        <v>86</v>
      </c>
      <c r="I147">
        <v>5</v>
      </c>
      <c r="J147" t="s">
        <v>372</v>
      </c>
      <c r="K147">
        <v>56</v>
      </c>
      <c r="L147" t="s">
        <v>63</v>
      </c>
      <c r="M147">
        <v>5</v>
      </c>
      <c r="N147" t="s">
        <v>48</v>
      </c>
      <c r="O147" t="s">
        <v>49</v>
      </c>
      <c r="P147" t="s">
        <v>35</v>
      </c>
      <c r="Q147" s="2">
        <v>27671.87</v>
      </c>
      <c r="R147" s="2">
        <v>4338.96</v>
      </c>
      <c r="S147" t="s">
        <v>51</v>
      </c>
      <c r="T147" t="s">
        <v>52</v>
      </c>
      <c r="U147" t="s">
        <v>83</v>
      </c>
      <c r="V147">
        <v>2</v>
      </c>
      <c r="W147" t="s">
        <v>76</v>
      </c>
      <c r="X147" t="s">
        <v>55</v>
      </c>
      <c r="Y147" t="s">
        <v>72</v>
      </c>
    </row>
    <row r="148" spans="1:25" x14ac:dyDescent="0.3">
      <c r="A148" t="s">
        <v>373</v>
      </c>
      <c r="B148" s="1">
        <v>45072</v>
      </c>
      <c r="C148" t="s">
        <v>26</v>
      </c>
      <c r="D148" t="s">
        <v>26</v>
      </c>
      <c r="E148" t="s">
        <v>4084</v>
      </c>
      <c r="F148" t="s">
        <v>60</v>
      </c>
      <c r="G148" t="s">
        <v>29</v>
      </c>
      <c r="H148" t="s">
        <v>27</v>
      </c>
      <c r="I148">
        <v>14</v>
      </c>
      <c r="J148" t="s">
        <v>374</v>
      </c>
      <c r="K148">
        <v>46</v>
      </c>
      <c r="L148" t="s">
        <v>63</v>
      </c>
      <c r="M148">
        <v>4</v>
      </c>
      <c r="N148" t="s">
        <v>48</v>
      </c>
      <c r="O148" t="s">
        <v>69</v>
      </c>
      <c r="P148" t="s">
        <v>70</v>
      </c>
      <c r="Q148" s="2">
        <v>25509.1</v>
      </c>
      <c r="R148" s="2">
        <v>816.46</v>
      </c>
      <c r="S148" t="s">
        <v>94</v>
      </c>
      <c r="T148" t="s">
        <v>52</v>
      </c>
      <c r="U148" t="s">
        <v>83</v>
      </c>
      <c r="V148">
        <v>4.3</v>
      </c>
      <c r="W148" t="s">
        <v>39</v>
      </c>
      <c r="X148" t="s">
        <v>84</v>
      </c>
      <c r="Y148" t="s">
        <v>41</v>
      </c>
    </row>
    <row r="149" spans="1:25" x14ac:dyDescent="0.3">
      <c r="A149" t="s">
        <v>375</v>
      </c>
      <c r="B149" s="1">
        <v>45073</v>
      </c>
      <c r="C149" t="s">
        <v>26</v>
      </c>
      <c r="D149" t="s">
        <v>26</v>
      </c>
      <c r="E149" t="s">
        <v>120</v>
      </c>
      <c r="F149" t="s">
        <v>28</v>
      </c>
      <c r="G149" t="s">
        <v>29</v>
      </c>
      <c r="H149" t="s">
        <v>86</v>
      </c>
      <c r="I149">
        <v>9</v>
      </c>
      <c r="J149" t="s">
        <v>376</v>
      </c>
      <c r="K149">
        <v>41</v>
      </c>
      <c r="L149" t="s">
        <v>63</v>
      </c>
      <c r="M149">
        <v>1</v>
      </c>
      <c r="N149" t="s">
        <v>48</v>
      </c>
      <c r="O149" t="s">
        <v>34</v>
      </c>
      <c r="P149" t="s">
        <v>35</v>
      </c>
      <c r="Q149" s="2">
        <v>8408.2800000000007</v>
      </c>
      <c r="R149" s="2">
        <v>4658</v>
      </c>
      <c r="S149" t="s">
        <v>115</v>
      </c>
      <c r="T149" t="s">
        <v>37</v>
      </c>
      <c r="U149" t="s">
        <v>75</v>
      </c>
      <c r="V149">
        <v>2.1</v>
      </c>
      <c r="W149" t="s">
        <v>76</v>
      </c>
      <c r="X149" t="s">
        <v>40</v>
      </c>
      <c r="Y149" t="s">
        <v>72</v>
      </c>
    </row>
    <row r="150" spans="1:25" x14ac:dyDescent="0.3">
      <c r="A150" t="s">
        <v>377</v>
      </c>
      <c r="B150" s="1">
        <v>45074</v>
      </c>
      <c r="C150" t="s">
        <v>57</v>
      </c>
      <c r="D150" t="s">
        <v>44</v>
      </c>
      <c r="E150" t="s">
        <v>4084</v>
      </c>
      <c r="F150" t="s">
        <v>60</v>
      </c>
      <c r="G150" t="s">
        <v>29</v>
      </c>
      <c r="H150" t="s">
        <v>30</v>
      </c>
      <c r="I150">
        <v>10</v>
      </c>
      <c r="J150" t="s">
        <v>378</v>
      </c>
      <c r="K150">
        <v>39</v>
      </c>
      <c r="L150" t="s">
        <v>32</v>
      </c>
      <c r="M150">
        <v>4</v>
      </c>
      <c r="N150" t="s">
        <v>91</v>
      </c>
      <c r="O150" t="s">
        <v>49</v>
      </c>
      <c r="P150" t="s">
        <v>70</v>
      </c>
      <c r="Q150" s="2">
        <v>5573.25</v>
      </c>
      <c r="R150" s="2">
        <v>4736.0200000000004</v>
      </c>
      <c r="S150" t="s">
        <v>36</v>
      </c>
      <c r="T150" t="s">
        <v>37</v>
      </c>
      <c r="U150" t="s">
        <v>38</v>
      </c>
      <c r="V150">
        <v>5</v>
      </c>
      <c r="W150" t="s">
        <v>103</v>
      </c>
      <c r="X150" t="s">
        <v>84</v>
      </c>
      <c r="Y150" t="s">
        <v>41</v>
      </c>
    </row>
    <row r="151" spans="1:25" x14ac:dyDescent="0.3">
      <c r="A151" t="s">
        <v>379</v>
      </c>
      <c r="B151" s="1">
        <v>45075</v>
      </c>
      <c r="C151" t="s">
        <v>78</v>
      </c>
      <c r="D151" t="s">
        <v>58</v>
      </c>
      <c r="E151" t="s">
        <v>45</v>
      </c>
      <c r="F151" t="s">
        <v>28</v>
      </c>
      <c r="G151" t="s">
        <v>29</v>
      </c>
      <c r="H151" t="s">
        <v>67</v>
      </c>
      <c r="I151">
        <v>8</v>
      </c>
      <c r="J151" t="s">
        <v>380</v>
      </c>
      <c r="K151">
        <v>23</v>
      </c>
      <c r="L151" t="s">
        <v>80</v>
      </c>
      <c r="M151">
        <v>6</v>
      </c>
      <c r="N151" t="s">
        <v>48</v>
      </c>
      <c r="O151" t="s">
        <v>49</v>
      </c>
      <c r="P151" t="s">
        <v>35</v>
      </c>
      <c r="Q151" s="2">
        <v>32396.09</v>
      </c>
      <c r="R151" s="2">
        <v>4359.96</v>
      </c>
      <c r="S151" t="s">
        <v>51</v>
      </c>
      <c r="T151" t="s">
        <v>71</v>
      </c>
      <c r="U151" t="s">
        <v>38</v>
      </c>
      <c r="V151">
        <v>2.2999999999999998</v>
      </c>
      <c r="W151" t="s">
        <v>76</v>
      </c>
      <c r="X151" t="s">
        <v>84</v>
      </c>
      <c r="Y151" t="s">
        <v>72</v>
      </c>
    </row>
    <row r="152" spans="1:25" x14ac:dyDescent="0.3">
      <c r="A152" t="s">
        <v>381</v>
      </c>
      <c r="B152" s="1">
        <v>45076</v>
      </c>
      <c r="C152" t="s">
        <v>26</v>
      </c>
      <c r="D152" t="s">
        <v>26</v>
      </c>
      <c r="E152" t="s">
        <v>4084</v>
      </c>
      <c r="F152" t="s">
        <v>60</v>
      </c>
      <c r="G152" t="s">
        <v>29</v>
      </c>
      <c r="H152" t="s">
        <v>27</v>
      </c>
      <c r="I152">
        <v>9</v>
      </c>
      <c r="J152" t="s">
        <v>382</v>
      </c>
      <c r="K152">
        <v>65</v>
      </c>
      <c r="L152" t="s">
        <v>63</v>
      </c>
      <c r="M152">
        <v>7</v>
      </c>
      <c r="N152" t="s">
        <v>64</v>
      </c>
      <c r="O152" t="s">
        <v>69</v>
      </c>
      <c r="P152" t="s">
        <v>82</v>
      </c>
      <c r="Q152" s="2">
        <v>7945.9</v>
      </c>
      <c r="R152" s="2">
        <v>1253.31</v>
      </c>
      <c r="S152" t="s">
        <v>36</v>
      </c>
      <c r="T152" t="s">
        <v>37</v>
      </c>
      <c r="U152" t="s">
        <v>75</v>
      </c>
      <c r="V152">
        <v>4.5</v>
      </c>
      <c r="W152" t="s">
        <v>103</v>
      </c>
      <c r="X152" t="s">
        <v>84</v>
      </c>
      <c r="Y152" t="s">
        <v>72</v>
      </c>
    </row>
    <row r="153" spans="1:25" x14ac:dyDescent="0.3">
      <c r="A153" t="s">
        <v>383</v>
      </c>
      <c r="B153" s="1">
        <v>45077</v>
      </c>
      <c r="C153" t="s">
        <v>117</v>
      </c>
      <c r="D153" t="s">
        <v>4083</v>
      </c>
      <c r="E153" t="s">
        <v>45</v>
      </c>
      <c r="F153" t="s">
        <v>28</v>
      </c>
      <c r="G153" t="s">
        <v>29</v>
      </c>
      <c r="H153" t="s">
        <v>67</v>
      </c>
      <c r="I153">
        <v>14</v>
      </c>
      <c r="J153" t="s">
        <v>384</v>
      </c>
      <c r="K153">
        <v>41</v>
      </c>
      <c r="L153" t="s">
        <v>32</v>
      </c>
      <c r="M153">
        <v>7</v>
      </c>
      <c r="N153" t="s">
        <v>33</v>
      </c>
      <c r="O153" t="s">
        <v>81</v>
      </c>
      <c r="P153" t="s">
        <v>50</v>
      </c>
      <c r="Q153" s="2">
        <v>22117.05</v>
      </c>
      <c r="R153" s="2">
        <v>4290.8900000000003</v>
      </c>
      <c r="S153" t="s">
        <v>115</v>
      </c>
      <c r="T153" t="s">
        <v>52</v>
      </c>
      <c r="U153" t="s">
        <v>75</v>
      </c>
      <c r="V153">
        <v>2.6</v>
      </c>
      <c r="W153" t="s">
        <v>76</v>
      </c>
      <c r="X153" t="s">
        <v>84</v>
      </c>
      <c r="Y153" t="s">
        <v>41</v>
      </c>
    </row>
    <row r="154" spans="1:25" x14ac:dyDescent="0.3">
      <c r="A154" t="s">
        <v>385</v>
      </c>
      <c r="B154" s="1">
        <v>45078</v>
      </c>
      <c r="C154" t="s">
        <v>117</v>
      </c>
      <c r="D154" t="s">
        <v>4083</v>
      </c>
      <c r="E154" t="s">
        <v>45</v>
      </c>
      <c r="F154" t="s">
        <v>28</v>
      </c>
      <c r="G154" t="s">
        <v>29</v>
      </c>
      <c r="H154" t="s">
        <v>67</v>
      </c>
      <c r="I154">
        <v>4</v>
      </c>
      <c r="J154" t="s">
        <v>386</v>
      </c>
      <c r="K154">
        <v>57</v>
      </c>
      <c r="L154" t="s">
        <v>80</v>
      </c>
      <c r="M154">
        <v>7</v>
      </c>
      <c r="N154" t="s">
        <v>91</v>
      </c>
      <c r="O154" t="s">
        <v>49</v>
      </c>
      <c r="P154" t="s">
        <v>50</v>
      </c>
      <c r="Q154" s="2">
        <v>5162.29</v>
      </c>
      <c r="R154" s="2">
        <v>2488.19</v>
      </c>
      <c r="S154" t="s">
        <v>94</v>
      </c>
      <c r="T154" t="s">
        <v>37</v>
      </c>
      <c r="U154" t="s">
        <v>38</v>
      </c>
      <c r="V154">
        <v>2</v>
      </c>
      <c r="W154" t="s">
        <v>76</v>
      </c>
      <c r="X154" t="s">
        <v>65</v>
      </c>
      <c r="Y154" t="s">
        <v>72</v>
      </c>
    </row>
    <row r="155" spans="1:25" x14ac:dyDescent="0.3">
      <c r="A155" t="s">
        <v>387</v>
      </c>
      <c r="B155" s="1">
        <v>45079</v>
      </c>
      <c r="C155" t="s">
        <v>117</v>
      </c>
      <c r="D155" t="s">
        <v>4083</v>
      </c>
      <c r="E155" t="s">
        <v>4084</v>
      </c>
      <c r="F155" t="s">
        <v>60</v>
      </c>
      <c r="G155" t="s">
        <v>29</v>
      </c>
      <c r="H155" t="s">
        <v>30</v>
      </c>
      <c r="I155">
        <v>10</v>
      </c>
      <c r="J155" t="s">
        <v>388</v>
      </c>
      <c r="K155">
        <v>40</v>
      </c>
      <c r="L155" t="s">
        <v>80</v>
      </c>
      <c r="M155">
        <v>2</v>
      </c>
      <c r="N155" t="s">
        <v>64</v>
      </c>
      <c r="O155" t="s">
        <v>34</v>
      </c>
      <c r="P155" t="s">
        <v>35</v>
      </c>
      <c r="Q155" s="2">
        <v>32685.24</v>
      </c>
      <c r="R155" s="2">
        <v>2974.65</v>
      </c>
      <c r="S155" t="s">
        <v>115</v>
      </c>
      <c r="T155" t="s">
        <v>37</v>
      </c>
      <c r="U155" t="s">
        <v>53</v>
      </c>
      <c r="V155">
        <v>1.9</v>
      </c>
      <c r="W155" t="s">
        <v>124</v>
      </c>
      <c r="X155" t="s">
        <v>106</v>
      </c>
      <c r="Y155" t="s">
        <v>41</v>
      </c>
    </row>
    <row r="156" spans="1:25" x14ac:dyDescent="0.3">
      <c r="A156" t="s">
        <v>389</v>
      </c>
      <c r="B156" s="1">
        <v>45080</v>
      </c>
      <c r="C156" t="s">
        <v>117</v>
      </c>
      <c r="D156" t="s">
        <v>4083</v>
      </c>
      <c r="E156" t="s">
        <v>4085</v>
      </c>
      <c r="F156" t="s">
        <v>60</v>
      </c>
      <c r="G156" t="s">
        <v>29</v>
      </c>
      <c r="H156" t="s">
        <v>59</v>
      </c>
      <c r="I156">
        <v>7</v>
      </c>
      <c r="J156" t="s">
        <v>390</v>
      </c>
      <c r="K156">
        <v>55</v>
      </c>
      <c r="L156" t="s">
        <v>63</v>
      </c>
      <c r="M156">
        <v>3</v>
      </c>
      <c r="N156" t="s">
        <v>48</v>
      </c>
      <c r="O156" t="s">
        <v>69</v>
      </c>
      <c r="P156" t="s">
        <v>82</v>
      </c>
      <c r="Q156" s="2">
        <v>24143.68</v>
      </c>
      <c r="R156" s="2">
        <v>4203</v>
      </c>
      <c r="S156" t="s">
        <v>115</v>
      </c>
      <c r="T156" t="s">
        <v>37</v>
      </c>
      <c r="U156" t="s">
        <v>83</v>
      </c>
      <c r="V156">
        <v>4.4000000000000004</v>
      </c>
      <c r="W156" t="s">
        <v>54</v>
      </c>
      <c r="X156" t="s">
        <v>65</v>
      </c>
      <c r="Y156" t="s">
        <v>72</v>
      </c>
    </row>
    <row r="157" spans="1:25" x14ac:dyDescent="0.3">
      <c r="A157" t="s">
        <v>391</v>
      </c>
      <c r="B157" s="1">
        <v>45081</v>
      </c>
      <c r="C157" t="s">
        <v>57</v>
      </c>
      <c r="D157" t="s">
        <v>44</v>
      </c>
      <c r="E157" t="s">
        <v>89</v>
      </c>
      <c r="F157" t="s">
        <v>28</v>
      </c>
      <c r="G157" t="s">
        <v>29</v>
      </c>
      <c r="H157" t="s">
        <v>61</v>
      </c>
      <c r="I157">
        <v>9</v>
      </c>
      <c r="J157" t="s">
        <v>392</v>
      </c>
      <c r="K157">
        <v>27</v>
      </c>
      <c r="L157" t="s">
        <v>63</v>
      </c>
      <c r="M157">
        <v>5</v>
      </c>
      <c r="N157" t="s">
        <v>48</v>
      </c>
      <c r="O157" t="s">
        <v>81</v>
      </c>
      <c r="P157" t="s">
        <v>35</v>
      </c>
      <c r="Q157" s="2">
        <v>10715.93</v>
      </c>
      <c r="R157" s="2">
        <v>147.91</v>
      </c>
      <c r="S157" t="s">
        <v>36</v>
      </c>
      <c r="T157" t="s">
        <v>71</v>
      </c>
      <c r="U157" t="s">
        <v>38</v>
      </c>
      <c r="V157">
        <v>2.2000000000000002</v>
      </c>
      <c r="W157" t="s">
        <v>76</v>
      </c>
      <c r="X157" t="s">
        <v>40</v>
      </c>
      <c r="Y157" t="s">
        <v>72</v>
      </c>
    </row>
    <row r="158" spans="1:25" x14ac:dyDescent="0.3">
      <c r="A158" t="s">
        <v>393</v>
      </c>
      <c r="B158" s="1">
        <v>45082</v>
      </c>
      <c r="C158" t="s">
        <v>117</v>
      </c>
      <c r="D158" t="s">
        <v>4083</v>
      </c>
      <c r="E158" t="s">
        <v>120</v>
      </c>
      <c r="F158" t="s">
        <v>28</v>
      </c>
      <c r="G158" t="s">
        <v>29</v>
      </c>
      <c r="H158" t="s">
        <v>86</v>
      </c>
      <c r="I158">
        <v>3</v>
      </c>
      <c r="J158" t="s">
        <v>394</v>
      </c>
      <c r="K158">
        <v>33</v>
      </c>
      <c r="L158" t="s">
        <v>32</v>
      </c>
      <c r="M158">
        <v>4</v>
      </c>
      <c r="N158" t="s">
        <v>33</v>
      </c>
      <c r="O158" t="s">
        <v>81</v>
      </c>
      <c r="P158" t="s">
        <v>35</v>
      </c>
      <c r="Q158" s="2">
        <v>18336.54</v>
      </c>
      <c r="R158" s="2">
        <v>1814.71</v>
      </c>
      <c r="S158" t="s">
        <v>115</v>
      </c>
      <c r="T158" t="s">
        <v>71</v>
      </c>
      <c r="U158" t="s">
        <v>75</v>
      </c>
      <c r="V158">
        <v>2.4</v>
      </c>
      <c r="W158" t="s">
        <v>76</v>
      </c>
      <c r="X158" t="s">
        <v>65</v>
      </c>
      <c r="Y158" t="s">
        <v>72</v>
      </c>
    </row>
    <row r="159" spans="1:25" x14ac:dyDescent="0.3">
      <c r="A159" t="s">
        <v>395</v>
      </c>
      <c r="B159" s="1">
        <v>45083</v>
      </c>
      <c r="C159" t="s">
        <v>26</v>
      </c>
      <c r="D159" t="s">
        <v>26</v>
      </c>
      <c r="E159" t="s">
        <v>89</v>
      </c>
      <c r="F159" t="s">
        <v>28</v>
      </c>
      <c r="G159" t="s">
        <v>29</v>
      </c>
      <c r="H159" t="s">
        <v>61</v>
      </c>
      <c r="I159">
        <v>7</v>
      </c>
      <c r="J159" t="s">
        <v>396</v>
      </c>
      <c r="K159">
        <v>28</v>
      </c>
      <c r="L159" t="s">
        <v>63</v>
      </c>
      <c r="M159">
        <v>2</v>
      </c>
      <c r="N159" t="s">
        <v>64</v>
      </c>
      <c r="O159" t="s">
        <v>81</v>
      </c>
      <c r="P159" t="s">
        <v>82</v>
      </c>
      <c r="Q159" s="2">
        <v>30634.73</v>
      </c>
      <c r="R159" s="2">
        <v>4078.47</v>
      </c>
      <c r="S159" t="s">
        <v>51</v>
      </c>
      <c r="T159" t="s">
        <v>52</v>
      </c>
      <c r="U159" t="s">
        <v>38</v>
      </c>
      <c r="V159">
        <v>1.8</v>
      </c>
      <c r="W159" t="s">
        <v>124</v>
      </c>
      <c r="X159" t="s">
        <v>40</v>
      </c>
      <c r="Y159" t="s">
        <v>41</v>
      </c>
    </row>
    <row r="160" spans="1:25" x14ac:dyDescent="0.3">
      <c r="A160" t="s">
        <v>397</v>
      </c>
      <c r="B160" s="1">
        <v>45084</v>
      </c>
      <c r="C160" t="s">
        <v>43</v>
      </c>
      <c r="D160" t="s">
        <v>58</v>
      </c>
      <c r="E160" t="s">
        <v>120</v>
      </c>
      <c r="F160" t="s">
        <v>28</v>
      </c>
      <c r="G160" t="s">
        <v>29</v>
      </c>
      <c r="H160" t="s">
        <v>86</v>
      </c>
      <c r="I160">
        <v>3</v>
      </c>
      <c r="J160" t="s">
        <v>398</v>
      </c>
      <c r="K160">
        <v>49</v>
      </c>
      <c r="L160" t="s">
        <v>32</v>
      </c>
      <c r="M160">
        <v>7</v>
      </c>
      <c r="N160" t="s">
        <v>91</v>
      </c>
      <c r="O160" t="s">
        <v>49</v>
      </c>
      <c r="P160" t="s">
        <v>70</v>
      </c>
      <c r="Q160" s="2">
        <v>34552.1</v>
      </c>
      <c r="R160" s="2">
        <v>4069.77</v>
      </c>
      <c r="S160" t="s">
        <v>94</v>
      </c>
      <c r="T160" t="s">
        <v>52</v>
      </c>
      <c r="U160" t="s">
        <v>83</v>
      </c>
      <c r="V160">
        <v>4.8</v>
      </c>
      <c r="W160" t="s">
        <v>103</v>
      </c>
      <c r="X160" t="s">
        <v>55</v>
      </c>
      <c r="Y160" t="s">
        <v>72</v>
      </c>
    </row>
    <row r="161" spans="1:25" x14ac:dyDescent="0.3">
      <c r="A161" t="s">
        <v>399</v>
      </c>
      <c r="B161" s="1">
        <v>45085</v>
      </c>
      <c r="C161" t="s">
        <v>117</v>
      </c>
      <c r="D161" t="s">
        <v>4083</v>
      </c>
      <c r="E161" t="s">
        <v>120</v>
      </c>
      <c r="F161" t="s">
        <v>28</v>
      </c>
      <c r="G161" t="s">
        <v>29</v>
      </c>
      <c r="H161" t="s">
        <v>86</v>
      </c>
      <c r="I161">
        <v>14</v>
      </c>
      <c r="J161" t="s">
        <v>400</v>
      </c>
      <c r="K161">
        <v>62</v>
      </c>
      <c r="L161" t="s">
        <v>80</v>
      </c>
      <c r="M161">
        <v>5</v>
      </c>
      <c r="N161" t="s">
        <v>64</v>
      </c>
      <c r="O161" t="s">
        <v>81</v>
      </c>
      <c r="P161" t="s">
        <v>70</v>
      </c>
      <c r="Q161" s="2">
        <v>25805.11</v>
      </c>
      <c r="R161" s="2">
        <v>4243.4399999999996</v>
      </c>
      <c r="S161" t="s">
        <v>115</v>
      </c>
      <c r="T161" t="s">
        <v>71</v>
      </c>
      <c r="U161" t="s">
        <v>38</v>
      </c>
      <c r="V161">
        <v>2</v>
      </c>
      <c r="W161" t="s">
        <v>76</v>
      </c>
      <c r="X161" t="s">
        <v>40</v>
      </c>
      <c r="Y161" t="s">
        <v>41</v>
      </c>
    </row>
    <row r="162" spans="1:25" x14ac:dyDescent="0.3">
      <c r="A162" t="s">
        <v>401</v>
      </c>
      <c r="B162" s="1">
        <v>45086</v>
      </c>
      <c r="C162" t="s">
        <v>57</v>
      </c>
      <c r="D162" t="s">
        <v>44</v>
      </c>
      <c r="E162" t="s">
        <v>45</v>
      </c>
      <c r="F162" t="s">
        <v>28</v>
      </c>
      <c r="G162" t="s">
        <v>29</v>
      </c>
      <c r="H162" t="s">
        <v>67</v>
      </c>
      <c r="I162">
        <v>10</v>
      </c>
      <c r="J162" t="s">
        <v>402</v>
      </c>
      <c r="K162">
        <v>23</v>
      </c>
      <c r="L162" t="s">
        <v>80</v>
      </c>
      <c r="M162">
        <v>5</v>
      </c>
      <c r="N162" t="s">
        <v>48</v>
      </c>
      <c r="O162" t="s">
        <v>49</v>
      </c>
      <c r="P162" t="s">
        <v>82</v>
      </c>
      <c r="Q162" s="2">
        <v>41178.160000000003</v>
      </c>
      <c r="R162" s="2">
        <v>846.08</v>
      </c>
      <c r="S162" t="s">
        <v>51</v>
      </c>
      <c r="T162" t="s">
        <v>37</v>
      </c>
      <c r="U162" t="s">
        <v>75</v>
      </c>
      <c r="V162">
        <v>2</v>
      </c>
      <c r="W162" t="s">
        <v>76</v>
      </c>
      <c r="X162" t="s">
        <v>65</v>
      </c>
      <c r="Y162" t="s">
        <v>41</v>
      </c>
    </row>
    <row r="163" spans="1:25" x14ac:dyDescent="0.3">
      <c r="A163" t="s">
        <v>403</v>
      </c>
      <c r="B163" s="1">
        <v>45087</v>
      </c>
      <c r="C163" t="s">
        <v>57</v>
      </c>
      <c r="D163" t="s">
        <v>44</v>
      </c>
      <c r="E163" t="s">
        <v>120</v>
      </c>
      <c r="F163" t="s">
        <v>28</v>
      </c>
      <c r="G163" t="s">
        <v>29</v>
      </c>
      <c r="H163" t="s">
        <v>86</v>
      </c>
      <c r="I163">
        <v>6</v>
      </c>
      <c r="J163" t="s">
        <v>404</v>
      </c>
      <c r="K163">
        <v>41</v>
      </c>
      <c r="L163" t="s">
        <v>80</v>
      </c>
      <c r="M163">
        <v>6</v>
      </c>
      <c r="N163" t="s">
        <v>91</v>
      </c>
      <c r="O163" t="s">
        <v>69</v>
      </c>
      <c r="P163" t="s">
        <v>35</v>
      </c>
      <c r="Q163" s="2">
        <v>10059.82</v>
      </c>
      <c r="R163" s="2">
        <v>3529.43</v>
      </c>
      <c r="S163" t="s">
        <v>94</v>
      </c>
      <c r="T163" t="s">
        <v>37</v>
      </c>
      <c r="U163" t="s">
        <v>53</v>
      </c>
      <c r="V163">
        <v>4.8</v>
      </c>
      <c r="W163" t="s">
        <v>103</v>
      </c>
      <c r="X163" t="s">
        <v>65</v>
      </c>
      <c r="Y163" t="s">
        <v>41</v>
      </c>
    </row>
    <row r="164" spans="1:25" x14ac:dyDescent="0.3">
      <c r="A164" t="s">
        <v>405</v>
      </c>
      <c r="B164" s="1">
        <v>45088</v>
      </c>
      <c r="C164" t="s">
        <v>117</v>
      </c>
      <c r="D164" t="s">
        <v>4083</v>
      </c>
      <c r="E164" t="s">
        <v>120</v>
      </c>
      <c r="F164" t="s">
        <v>28</v>
      </c>
      <c r="G164" t="s">
        <v>29</v>
      </c>
      <c r="H164" t="s">
        <v>86</v>
      </c>
      <c r="I164">
        <v>6</v>
      </c>
      <c r="J164" t="s">
        <v>406</v>
      </c>
      <c r="K164">
        <v>50</v>
      </c>
      <c r="L164" t="s">
        <v>80</v>
      </c>
      <c r="M164">
        <v>6</v>
      </c>
      <c r="N164" t="s">
        <v>48</v>
      </c>
      <c r="O164" t="s">
        <v>69</v>
      </c>
      <c r="P164" t="s">
        <v>50</v>
      </c>
      <c r="Q164" s="2">
        <v>8804.56</v>
      </c>
      <c r="R164" s="2">
        <v>732.52</v>
      </c>
      <c r="S164" t="s">
        <v>36</v>
      </c>
      <c r="T164" t="s">
        <v>71</v>
      </c>
      <c r="U164" t="s">
        <v>75</v>
      </c>
      <c r="V164">
        <v>4.5999999999999996</v>
      </c>
      <c r="W164" t="s">
        <v>103</v>
      </c>
      <c r="X164" t="s">
        <v>40</v>
      </c>
      <c r="Y164" t="s">
        <v>72</v>
      </c>
    </row>
    <row r="165" spans="1:25" x14ac:dyDescent="0.3">
      <c r="A165" t="s">
        <v>407</v>
      </c>
      <c r="B165" s="1">
        <v>45089</v>
      </c>
      <c r="C165" t="s">
        <v>43</v>
      </c>
      <c r="D165" t="s">
        <v>58</v>
      </c>
      <c r="E165" t="s">
        <v>4084</v>
      </c>
      <c r="F165" t="s">
        <v>60</v>
      </c>
      <c r="G165" t="s">
        <v>29</v>
      </c>
      <c r="H165" t="s">
        <v>30</v>
      </c>
      <c r="I165">
        <v>4</v>
      </c>
      <c r="J165" t="s">
        <v>408</v>
      </c>
      <c r="K165">
        <v>68</v>
      </c>
      <c r="L165" t="s">
        <v>63</v>
      </c>
      <c r="M165">
        <v>7</v>
      </c>
      <c r="N165" t="s">
        <v>48</v>
      </c>
      <c r="O165" t="s">
        <v>81</v>
      </c>
      <c r="P165" t="s">
        <v>35</v>
      </c>
      <c r="Q165" s="2">
        <v>6990.99</v>
      </c>
      <c r="R165" s="2">
        <v>3925.49</v>
      </c>
      <c r="S165" t="s">
        <v>94</v>
      </c>
      <c r="T165" t="s">
        <v>52</v>
      </c>
      <c r="U165" t="s">
        <v>53</v>
      </c>
      <c r="V165">
        <v>2</v>
      </c>
      <c r="W165" t="s">
        <v>76</v>
      </c>
      <c r="X165" t="s">
        <v>65</v>
      </c>
      <c r="Y165" t="s">
        <v>72</v>
      </c>
    </row>
    <row r="166" spans="1:25" x14ac:dyDescent="0.3">
      <c r="A166" t="s">
        <v>409</v>
      </c>
      <c r="B166" s="1">
        <v>45090</v>
      </c>
      <c r="C166" t="s">
        <v>117</v>
      </c>
      <c r="D166" t="s">
        <v>4083</v>
      </c>
      <c r="E166" t="s">
        <v>89</v>
      </c>
      <c r="F166" t="s">
        <v>28</v>
      </c>
      <c r="G166" t="s">
        <v>29</v>
      </c>
      <c r="H166" t="s">
        <v>61</v>
      </c>
      <c r="I166">
        <v>7</v>
      </c>
      <c r="J166" t="s">
        <v>410</v>
      </c>
      <c r="K166">
        <v>29</v>
      </c>
      <c r="L166" t="s">
        <v>63</v>
      </c>
      <c r="M166">
        <v>4</v>
      </c>
      <c r="N166" t="s">
        <v>64</v>
      </c>
      <c r="O166" t="s">
        <v>69</v>
      </c>
      <c r="P166" t="s">
        <v>70</v>
      </c>
      <c r="Q166" s="2">
        <v>29112.25</v>
      </c>
      <c r="R166" s="2">
        <v>1225.6300000000001</v>
      </c>
      <c r="S166" t="s">
        <v>36</v>
      </c>
      <c r="T166" t="s">
        <v>37</v>
      </c>
      <c r="U166" t="s">
        <v>83</v>
      </c>
      <c r="V166">
        <v>4.5</v>
      </c>
      <c r="W166" t="s">
        <v>103</v>
      </c>
      <c r="X166" t="s">
        <v>40</v>
      </c>
      <c r="Y166" t="s">
        <v>72</v>
      </c>
    </row>
    <row r="167" spans="1:25" x14ac:dyDescent="0.3">
      <c r="A167" t="s">
        <v>411</v>
      </c>
      <c r="B167" s="1">
        <v>45091</v>
      </c>
      <c r="C167" t="s">
        <v>57</v>
      </c>
      <c r="D167" t="s">
        <v>44</v>
      </c>
      <c r="E167" t="s">
        <v>4084</v>
      </c>
      <c r="F167" t="s">
        <v>60</v>
      </c>
      <c r="G167" t="s">
        <v>29</v>
      </c>
      <c r="H167" t="s">
        <v>27</v>
      </c>
      <c r="I167">
        <v>3</v>
      </c>
      <c r="J167" t="s">
        <v>412</v>
      </c>
      <c r="K167">
        <v>44</v>
      </c>
      <c r="L167" t="s">
        <v>32</v>
      </c>
      <c r="M167">
        <v>7</v>
      </c>
      <c r="N167" t="s">
        <v>33</v>
      </c>
      <c r="O167" t="s">
        <v>34</v>
      </c>
      <c r="P167" t="s">
        <v>82</v>
      </c>
      <c r="Q167" s="2">
        <v>36780.43</v>
      </c>
      <c r="R167" s="2">
        <v>3689.09</v>
      </c>
      <c r="S167" t="s">
        <v>94</v>
      </c>
      <c r="T167" t="s">
        <v>52</v>
      </c>
      <c r="U167" t="s">
        <v>75</v>
      </c>
      <c r="V167">
        <v>2</v>
      </c>
      <c r="W167" t="s">
        <v>76</v>
      </c>
      <c r="X167" t="s">
        <v>84</v>
      </c>
      <c r="Y167" t="s">
        <v>72</v>
      </c>
    </row>
    <row r="168" spans="1:25" x14ac:dyDescent="0.3">
      <c r="A168" t="s">
        <v>413</v>
      </c>
      <c r="B168" s="1">
        <v>45092</v>
      </c>
      <c r="C168" t="s">
        <v>78</v>
      </c>
      <c r="D168" t="s">
        <v>58</v>
      </c>
      <c r="E168" t="s">
        <v>120</v>
      </c>
      <c r="F168" t="s">
        <v>28</v>
      </c>
      <c r="G168" t="s">
        <v>29</v>
      </c>
      <c r="H168" t="s">
        <v>86</v>
      </c>
      <c r="I168">
        <v>11</v>
      </c>
      <c r="J168" t="s">
        <v>414</v>
      </c>
      <c r="K168">
        <v>55</v>
      </c>
      <c r="L168" t="s">
        <v>32</v>
      </c>
      <c r="M168">
        <v>7</v>
      </c>
      <c r="N168" t="s">
        <v>48</v>
      </c>
      <c r="O168" t="s">
        <v>34</v>
      </c>
      <c r="P168" t="s">
        <v>82</v>
      </c>
      <c r="Q168" s="2">
        <v>10873.46</v>
      </c>
      <c r="R168" s="2">
        <v>2275.0100000000002</v>
      </c>
      <c r="S168" t="s">
        <v>115</v>
      </c>
      <c r="T168" t="s">
        <v>37</v>
      </c>
      <c r="U168" t="s">
        <v>38</v>
      </c>
      <c r="V168">
        <v>1.3</v>
      </c>
      <c r="W168" t="s">
        <v>124</v>
      </c>
      <c r="X168" t="s">
        <v>106</v>
      </c>
      <c r="Y168" t="s">
        <v>72</v>
      </c>
    </row>
    <row r="169" spans="1:25" x14ac:dyDescent="0.3">
      <c r="A169" t="s">
        <v>415</v>
      </c>
      <c r="B169" s="1">
        <v>45093</v>
      </c>
      <c r="C169" t="s">
        <v>26</v>
      </c>
      <c r="D169" t="s">
        <v>26</v>
      </c>
      <c r="E169" t="s">
        <v>45</v>
      </c>
      <c r="F169" t="s">
        <v>28</v>
      </c>
      <c r="G169" t="s">
        <v>29</v>
      </c>
      <c r="H169" t="s">
        <v>67</v>
      </c>
      <c r="I169">
        <v>7</v>
      </c>
      <c r="J169" t="s">
        <v>416</v>
      </c>
      <c r="K169">
        <v>35</v>
      </c>
      <c r="L169" t="s">
        <v>32</v>
      </c>
      <c r="M169">
        <v>2</v>
      </c>
      <c r="N169" t="s">
        <v>64</v>
      </c>
      <c r="O169" t="s">
        <v>49</v>
      </c>
      <c r="P169" t="s">
        <v>82</v>
      </c>
      <c r="Q169" s="2">
        <v>33752.550000000003</v>
      </c>
      <c r="R169" s="2">
        <v>4931.32</v>
      </c>
      <c r="S169" t="s">
        <v>36</v>
      </c>
      <c r="T169" t="s">
        <v>52</v>
      </c>
      <c r="U169" t="s">
        <v>75</v>
      </c>
      <c r="V169">
        <v>4.3</v>
      </c>
      <c r="W169" t="s">
        <v>54</v>
      </c>
      <c r="X169" t="s">
        <v>40</v>
      </c>
      <c r="Y169" t="s">
        <v>41</v>
      </c>
    </row>
    <row r="170" spans="1:25" x14ac:dyDescent="0.3">
      <c r="A170" t="s">
        <v>417</v>
      </c>
      <c r="B170" s="1">
        <v>45094</v>
      </c>
      <c r="C170" t="s">
        <v>57</v>
      </c>
      <c r="D170" t="s">
        <v>44</v>
      </c>
      <c r="E170" t="s">
        <v>4084</v>
      </c>
      <c r="F170" t="s">
        <v>60</v>
      </c>
      <c r="G170" t="s">
        <v>29</v>
      </c>
      <c r="H170" t="s">
        <v>27</v>
      </c>
      <c r="I170">
        <v>8</v>
      </c>
      <c r="J170" t="s">
        <v>418</v>
      </c>
      <c r="K170">
        <v>62</v>
      </c>
      <c r="L170" t="s">
        <v>32</v>
      </c>
      <c r="M170">
        <v>3</v>
      </c>
      <c r="N170" t="s">
        <v>91</v>
      </c>
      <c r="O170" t="s">
        <v>81</v>
      </c>
      <c r="P170" t="s">
        <v>70</v>
      </c>
      <c r="Q170" s="2">
        <v>26462.65</v>
      </c>
      <c r="R170" s="2">
        <v>2899.47</v>
      </c>
      <c r="S170" t="s">
        <v>36</v>
      </c>
      <c r="T170" t="s">
        <v>37</v>
      </c>
      <c r="U170" t="s">
        <v>75</v>
      </c>
      <c r="V170">
        <v>4.0999999999999996</v>
      </c>
      <c r="W170" t="s">
        <v>54</v>
      </c>
      <c r="X170" t="s">
        <v>84</v>
      </c>
      <c r="Y170" t="s">
        <v>41</v>
      </c>
    </row>
    <row r="171" spans="1:25" x14ac:dyDescent="0.3">
      <c r="A171" t="s">
        <v>419</v>
      </c>
      <c r="B171" s="1">
        <v>45095</v>
      </c>
      <c r="C171" t="s">
        <v>117</v>
      </c>
      <c r="D171" t="s">
        <v>4083</v>
      </c>
      <c r="E171" t="s">
        <v>4084</v>
      </c>
      <c r="F171" t="s">
        <v>60</v>
      </c>
      <c r="G171" t="s">
        <v>29</v>
      </c>
      <c r="H171" t="s">
        <v>27</v>
      </c>
      <c r="I171">
        <v>4</v>
      </c>
      <c r="J171" t="s">
        <v>420</v>
      </c>
      <c r="K171">
        <v>56</v>
      </c>
      <c r="L171" t="s">
        <v>32</v>
      </c>
      <c r="M171">
        <v>7</v>
      </c>
      <c r="N171" t="s">
        <v>33</v>
      </c>
      <c r="O171" t="s">
        <v>49</v>
      </c>
      <c r="P171" t="s">
        <v>35</v>
      </c>
      <c r="Q171" s="2">
        <v>49430.5</v>
      </c>
      <c r="R171" s="2">
        <v>3162.9</v>
      </c>
      <c r="S171" t="s">
        <v>36</v>
      </c>
      <c r="T171" t="s">
        <v>52</v>
      </c>
      <c r="U171" t="s">
        <v>83</v>
      </c>
      <c r="V171">
        <v>2.2000000000000002</v>
      </c>
      <c r="W171" t="s">
        <v>76</v>
      </c>
      <c r="X171" t="s">
        <v>84</v>
      </c>
      <c r="Y171" t="s">
        <v>41</v>
      </c>
    </row>
    <row r="172" spans="1:25" x14ac:dyDescent="0.3">
      <c r="A172" t="s">
        <v>421</v>
      </c>
      <c r="B172" s="1">
        <v>45096</v>
      </c>
      <c r="C172" t="s">
        <v>26</v>
      </c>
      <c r="D172" t="s">
        <v>26</v>
      </c>
      <c r="E172" t="s">
        <v>4085</v>
      </c>
      <c r="F172" t="s">
        <v>60</v>
      </c>
      <c r="G172" t="s">
        <v>29</v>
      </c>
      <c r="H172" t="s">
        <v>46</v>
      </c>
      <c r="I172">
        <v>12</v>
      </c>
      <c r="J172" t="s">
        <v>422</v>
      </c>
      <c r="K172">
        <v>30</v>
      </c>
      <c r="L172" t="s">
        <v>80</v>
      </c>
      <c r="M172">
        <v>4</v>
      </c>
      <c r="N172" t="s">
        <v>48</v>
      </c>
      <c r="O172" t="s">
        <v>69</v>
      </c>
      <c r="P172" t="s">
        <v>82</v>
      </c>
      <c r="Q172" s="2">
        <v>37286.31</v>
      </c>
      <c r="R172" s="2">
        <v>1840.82</v>
      </c>
      <c r="S172" t="s">
        <v>115</v>
      </c>
      <c r="T172" t="s">
        <v>52</v>
      </c>
      <c r="U172" t="s">
        <v>53</v>
      </c>
      <c r="V172">
        <v>1.4</v>
      </c>
      <c r="W172" t="s">
        <v>124</v>
      </c>
      <c r="X172" t="s">
        <v>84</v>
      </c>
      <c r="Y172" t="s">
        <v>41</v>
      </c>
    </row>
    <row r="173" spans="1:25" x14ac:dyDescent="0.3">
      <c r="A173" t="s">
        <v>423</v>
      </c>
      <c r="B173" s="1">
        <v>45097</v>
      </c>
      <c r="C173" t="s">
        <v>117</v>
      </c>
      <c r="D173" t="s">
        <v>4083</v>
      </c>
      <c r="E173" t="s">
        <v>120</v>
      </c>
      <c r="F173" t="s">
        <v>28</v>
      </c>
      <c r="G173" t="s">
        <v>29</v>
      </c>
      <c r="H173" t="s">
        <v>86</v>
      </c>
      <c r="I173">
        <v>12</v>
      </c>
      <c r="J173" t="s">
        <v>424</v>
      </c>
      <c r="K173">
        <v>57</v>
      </c>
      <c r="L173" t="s">
        <v>80</v>
      </c>
      <c r="M173">
        <v>5</v>
      </c>
      <c r="N173" t="s">
        <v>48</v>
      </c>
      <c r="O173" t="s">
        <v>81</v>
      </c>
      <c r="P173" t="s">
        <v>50</v>
      </c>
      <c r="Q173" s="2">
        <v>34586.300000000003</v>
      </c>
      <c r="R173" s="2">
        <v>3672.6</v>
      </c>
      <c r="S173" t="s">
        <v>115</v>
      </c>
      <c r="T173" t="s">
        <v>52</v>
      </c>
      <c r="U173" t="s">
        <v>53</v>
      </c>
      <c r="V173">
        <v>1.8</v>
      </c>
      <c r="W173" t="s">
        <v>124</v>
      </c>
      <c r="X173" t="s">
        <v>84</v>
      </c>
      <c r="Y173" t="s">
        <v>41</v>
      </c>
    </row>
    <row r="174" spans="1:25" x14ac:dyDescent="0.3">
      <c r="A174" t="s">
        <v>425</v>
      </c>
      <c r="B174" s="1">
        <v>45098</v>
      </c>
      <c r="C174" t="s">
        <v>117</v>
      </c>
      <c r="D174" t="s">
        <v>4083</v>
      </c>
      <c r="E174" t="s">
        <v>45</v>
      </c>
      <c r="F174" t="s">
        <v>28</v>
      </c>
      <c r="G174" t="s">
        <v>29</v>
      </c>
      <c r="H174" t="s">
        <v>67</v>
      </c>
      <c r="I174">
        <v>3</v>
      </c>
      <c r="J174" t="s">
        <v>426</v>
      </c>
      <c r="K174">
        <v>47</v>
      </c>
      <c r="L174" t="s">
        <v>80</v>
      </c>
      <c r="M174">
        <v>5</v>
      </c>
      <c r="N174" t="s">
        <v>91</v>
      </c>
      <c r="O174" t="s">
        <v>49</v>
      </c>
      <c r="P174" t="s">
        <v>82</v>
      </c>
      <c r="Q174" s="2">
        <v>30670.240000000002</v>
      </c>
      <c r="R174" s="2">
        <v>2474.4299999999998</v>
      </c>
      <c r="S174" t="s">
        <v>94</v>
      </c>
      <c r="T174" t="s">
        <v>71</v>
      </c>
      <c r="U174" t="s">
        <v>38</v>
      </c>
      <c r="V174">
        <v>4.0999999999999996</v>
      </c>
      <c r="W174" t="s">
        <v>39</v>
      </c>
      <c r="X174" t="s">
        <v>40</v>
      </c>
      <c r="Y174" t="s">
        <v>41</v>
      </c>
    </row>
    <row r="175" spans="1:25" x14ac:dyDescent="0.3">
      <c r="A175" t="s">
        <v>427</v>
      </c>
      <c r="B175" s="1">
        <v>45099</v>
      </c>
      <c r="C175" t="s">
        <v>78</v>
      </c>
      <c r="D175" t="s">
        <v>58</v>
      </c>
      <c r="E175" t="s">
        <v>4084</v>
      </c>
      <c r="F175" t="s">
        <v>60</v>
      </c>
      <c r="G175" t="s">
        <v>29</v>
      </c>
      <c r="H175" t="s">
        <v>27</v>
      </c>
      <c r="I175">
        <v>6</v>
      </c>
      <c r="J175" t="s">
        <v>428</v>
      </c>
      <c r="K175">
        <v>66</v>
      </c>
      <c r="L175" t="s">
        <v>32</v>
      </c>
      <c r="M175">
        <v>1</v>
      </c>
      <c r="N175" t="s">
        <v>64</v>
      </c>
      <c r="O175" t="s">
        <v>81</v>
      </c>
      <c r="P175" t="s">
        <v>35</v>
      </c>
      <c r="Q175" s="2">
        <v>49881.48</v>
      </c>
      <c r="R175" s="2">
        <v>90.33</v>
      </c>
      <c r="S175" t="s">
        <v>94</v>
      </c>
      <c r="T175" t="s">
        <v>52</v>
      </c>
      <c r="U175" t="s">
        <v>75</v>
      </c>
      <c r="V175">
        <v>4.9000000000000004</v>
      </c>
      <c r="W175" t="s">
        <v>103</v>
      </c>
      <c r="X175" t="s">
        <v>65</v>
      </c>
      <c r="Y175" t="s">
        <v>72</v>
      </c>
    </row>
    <row r="176" spans="1:25" x14ac:dyDescent="0.3">
      <c r="A176" t="s">
        <v>429</v>
      </c>
      <c r="B176" s="1">
        <v>45100</v>
      </c>
      <c r="C176" t="s">
        <v>26</v>
      </c>
      <c r="D176" t="s">
        <v>26</v>
      </c>
      <c r="E176" t="s">
        <v>4084</v>
      </c>
      <c r="F176" t="s">
        <v>60</v>
      </c>
      <c r="G176" t="s">
        <v>29</v>
      </c>
      <c r="H176" t="s">
        <v>27</v>
      </c>
      <c r="I176">
        <v>9</v>
      </c>
      <c r="J176" t="s">
        <v>430</v>
      </c>
      <c r="K176">
        <v>58</v>
      </c>
      <c r="L176" t="s">
        <v>80</v>
      </c>
      <c r="M176">
        <v>7</v>
      </c>
      <c r="N176" t="s">
        <v>48</v>
      </c>
      <c r="O176" t="s">
        <v>81</v>
      </c>
      <c r="P176" t="s">
        <v>70</v>
      </c>
      <c r="Q176" s="2">
        <v>49120.66</v>
      </c>
      <c r="R176" s="2">
        <v>3042.91</v>
      </c>
      <c r="S176" t="s">
        <v>115</v>
      </c>
      <c r="T176" t="s">
        <v>71</v>
      </c>
      <c r="U176" t="s">
        <v>83</v>
      </c>
      <c r="V176">
        <v>2</v>
      </c>
      <c r="W176" t="s">
        <v>76</v>
      </c>
      <c r="X176" t="s">
        <v>84</v>
      </c>
      <c r="Y176" t="s">
        <v>41</v>
      </c>
    </row>
    <row r="177" spans="1:25" x14ac:dyDescent="0.3">
      <c r="A177" t="s">
        <v>431</v>
      </c>
      <c r="B177" s="1">
        <v>45101</v>
      </c>
      <c r="C177" t="s">
        <v>26</v>
      </c>
      <c r="D177" t="s">
        <v>26</v>
      </c>
      <c r="E177" t="s">
        <v>45</v>
      </c>
      <c r="F177" t="s">
        <v>28</v>
      </c>
      <c r="G177" t="s">
        <v>29</v>
      </c>
      <c r="H177" t="s">
        <v>67</v>
      </c>
      <c r="I177">
        <v>8</v>
      </c>
      <c r="J177" t="s">
        <v>432</v>
      </c>
      <c r="K177">
        <v>69</v>
      </c>
      <c r="L177" t="s">
        <v>80</v>
      </c>
      <c r="M177">
        <v>2</v>
      </c>
      <c r="N177" t="s">
        <v>91</v>
      </c>
      <c r="O177" t="s">
        <v>49</v>
      </c>
      <c r="P177" t="s">
        <v>50</v>
      </c>
      <c r="Q177" s="2">
        <v>29215.18</v>
      </c>
      <c r="R177" s="2">
        <v>4152.3</v>
      </c>
      <c r="S177" t="s">
        <v>115</v>
      </c>
      <c r="T177" t="s">
        <v>71</v>
      </c>
      <c r="U177" t="s">
        <v>53</v>
      </c>
      <c r="V177">
        <v>4.3</v>
      </c>
      <c r="W177" t="s">
        <v>54</v>
      </c>
      <c r="X177" t="s">
        <v>55</v>
      </c>
      <c r="Y177" t="s">
        <v>41</v>
      </c>
    </row>
    <row r="178" spans="1:25" x14ac:dyDescent="0.3">
      <c r="A178" t="s">
        <v>433</v>
      </c>
      <c r="B178" s="1">
        <v>45102</v>
      </c>
      <c r="C178" t="s">
        <v>78</v>
      </c>
      <c r="D178" t="s">
        <v>58</v>
      </c>
      <c r="E178" t="s">
        <v>120</v>
      </c>
      <c r="F178" t="s">
        <v>28</v>
      </c>
      <c r="G178" t="s">
        <v>29</v>
      </c>
      <c r="H178" t="s">
        <v>86</v>
      </c>
      <c r="I178">
        <v>12</v>
      </c>
      <c r="J178" t="s">
        <v>434</v>
      </c>
      <c r="K178">
        <v>30</v>
      </c>
      <c r="L178" t="s">
        <v>80</v>
      </c>
      <c r="M178">
        <v>1</v>
      </c>
      <c r="N178" t="s">
        <v>48</v>
      </c>
      <c r="O178" t="s">
        <v>81</v>
      </c>
      <c r="P178" t="s">
        <v>50</v>
      </c>
      <c r="Q178" s="2">
        <v>25483.25</v>
      </c>
      <c r="R178" s="2">
        <v>1184.01</v>
      </c>
      <c r="S178" t="s">
        <v>36</v>
      </c>
      <c r="T178" t="s">
        <v>52</v>
      </c>
      <c r="U178" t="s">
        <v>38</v>
      </c>
      <c r="V178">
        <v>1.9</v>
      </c>
      <c r="W178" t="s">
        <v>124</v>
      </c>
      <c r="X178" t="s">
        <v>84</v>
      </c>
      <c r="Y178" t="s">
        <v>41</v>
      </c>
    </row>
    <row r="179" spans="1:25" x14ac:dyDescent="0.3">
      <c r="A179" t="s">
        <v>435</v>
      </c>
      <c r="B179" s="1">
        <v>45103</v>
      </c>
      <c r="C179" t="s">
        <v>57</v>
      </c>
      <c r="D179" t="s">
        <v>44</v>
      </c>
      <c r="E179" t="s">
        <v>4085</v>
      </c>
      <c r="F179" t="s">
        <v>60</v>
      </c>
      <c r="G179" t="s">
        <v>29</v>
      </c>
      <c r="H179" t="s">
        <v>46</v>
      </c>
      <c r="I179">
        <v>3</v>
      </c>
      <c r="J179" t="s">
        <v>436</v>
      </c>
      <c r="K179">
        <v>51</v>
      </c>
      <c r="L179" t="s">
        <v>80</v>
      </c>
      <c r="M179">
        <v>6</v>
      </c>
      <c r="N179" t="s">
        <v>64</v>
      </c>
      <c r="O179" t="s">
        <v>69</v>
      </c>
      <c r="P179" t="s">
        <v>82</v>
      </c>
      <c r="Q179" s="2">
        <v>25795.17</v>
      </c>
      <c r="R179" s="2">
        <v>1105.32</v>
      </c>
      <c r="S179" t="s">
        <v>94</v>
      </c>
      <c r="T179" t="s">
        <v>71</v>
      </c>
      <c r="U179" t="s">
        <v>53</v>
      </c>
      <c r="V179">
        <v>3.7</v>
      </c>
      <c r="W179" t="s">
        <v>54</v>
      </c>
      <c r="X179" t="s">
        <v>65</v>
      </c>
      <c r="Y179" t="s">
        <v>41</v>
      </c>
    </row>
    <row r="180" spans="1:25" x14ac:dyDescent="0.3">
      <c r="A180" t="s">
        <v>437</v>
      </c>
      <c r="B180" s="1">
        <v>45104</v>
      </c>
      <c r="C180" t="s">
        <v>117</v>
      </c>
      <c r="D180" t="s">
        <v>4083</v>
      </c>
      <c r="E180" t="s">
        <v>4084</v>
      </c>
      <c r="F180" t="s">
        <v>60</v>
      </c>
      <c r="G180" t="s">
        <v>29</v>
      </c>
      <c r="H180" t="s">
        <v>30</v>
      </c>
      <c r="I180">
        <v>3</v>
      </c>
      <c r="J180" t="s">
        <v>438</v>
      </c>
      <c r="K180">
        <v>53</v>
      </c>
      <c r="L180" t="s">
        <v>63</v>
      </c>
      <c r="M180">
        <v>3</v>
      </c>
      <c r="N180" t="s">
        <v>33</v>
      </c>
      <c r="O180" t="s">
        <v>34</v>
      </c>
      <c r="P180" t="s">
        <v>35</v>
      </c>
      <c r="Q180" s="2">
        <v>24275.41</v>
      </c>
      <c r="R180" s="2">
        <v>3044.43</v>
      </c>
      <c r="S180" t="s">
        <v>94</v>
      </c>
      <c r="T180" t="s">
        <v>71</v>
      </c>
      <c r="U180" t="s">
        <v>38</v>
      </c>
      <c r="V180">
        <v>1.3</v>
      </c>
      <c r="W180" t="s">
        <v>124</v>
      </c>
      <c r="X180" t="s">
        <v>65</v>
      </c>
      <c r="Y180" t="s">
        <v>72</v>
      </c>
    </row>
    <row r="181" spans="1:25" x14ac:dyDescent="0.3">
      <c r="A181" t="s">
        <v>439</v>
      </c>
      <c r="B181" s="1">
        <v>45105</v>
      </c>
      <c r="C181" t="s">
        <v>43</v>
      </c>
      <c r="D181" t="s">
        <v>58</v>
      </c>
      <c r="E181" t="s">
        <v>4085</v>
      </c>
      <c r="F181" t="s">
        <v>60</v>
      </c>
      <c r="G181" t="s">
        <v>29</v>
      </c>
      <c r="H181" t="s">
        <v>46</v>
      </c>
      <c r="I181">
        <v>10</v>
      </c>
      <c r="J181" t="s">
        <v>440</v>
      </c>
      <c r="K181">
        <v>47</v>
      </c>
      <c r="L181" t="s">
        <v>32</v>
      </c>
      <c r="M181">
        <v>4</v>
      </c>
      <c r="N181" t="s">
        <v>64</v>
      </c>
      <c r="O181" t="s">
        <v>34</v>
      </c>
      <c r="P181" t="s">
        <v>82</v>
      </c>
      <c r="Q181" s="2">
        <v>28912.92</v>
      </c>
      <c r="R181" s="2">
        <v>4089.9</v>
      </c>
      <c r="S181" t="s">
        <v>36</v>
      </c>
      <c r="T181" t="s">
        <v>71</v>
      </c>
      <c r="U181" t="s">
        <v>53</v>
      </c>
      <c r="V181">
        <v>3.3</v>
      </c>
      <c r="W181" t="s">
        <v>39</v>
      </c>
      <c r="X181" t="s">
        <v>106</v>
      </c>
      <c r="Y181" t="s">
        <v>41</v>
      </c>
    </row>
    <row r="182" spans="1:25" x14ac:dyDescent="0.3">
      <c r="A182" t="s">
        <v>441</v>
      </c>
      <c r="B182" s="1">
        <v>45106</v>
      </c>
      <c r="C182" t="s">
        <v>117</v>
      </c>
      <c r="D182" t="s">
        <v>4083</v>
      </c>
      <c r="E182" t="s">
        <v>89</v>
      </c>
      <c r="F182" t="s">
        <v>28</v>
      </c>
      <c r="G182" t="s">
        <v>29</v>
      </c>
      <c r="H182" t="s">
        <v>61</v>
      </c>
      <c r="I182">
        <v>6</v>
      </c>
      <c r="J182" t="s">
        <v>442</v>
      </c>
      <c r="K182">
        <v>42</v>
      </c>
      <c r="L182" t="s">
        <v>32</v>
      </c>
      <c r="M182">
        <v>7</v>
      </c>
      <c r="N182" t="s">
        <v>64</v>
      </c>
      <c r="O182" t="s">
        <v>81</v>
      </c>
      <c r="P182" t="s">
        <v>50</v>
      </c>
      <c r="Q182" s="2">
        <v>17311.29</v>
      </c>
      <c r="R182" s="2">
        <v>1248.0999999999999</v>
      </c>
      <c r="S182" t="s">
        <v>36</v>
      </c>
      <c r="T182" t="s">
        <v>37</v>
      </c>
      <c r="U182" t="s">
        <v>38</v>
      </c>
      <c r="V182">
        <v>2.1</v>
      </c>
      <c r="W182" t="s">
        <v>76</v>
      </c>
      <c r="X182" t="s">
        <v>106</v>
      </c>
      <c r="Y182" t="s">
        <v>72</v>
      </c>
    </row>
    <row r="183" spans="1:25" x14ac:dyDescent="0.3">
      <c r="A183" t="s">
        <v>443</v>
      </c>
      <c r="B183" s="1">
        <v>45107</v>
      </c>
      <c r="C183" t="s">
        <v>117</v>
      </c>
      <c r="D183" t="s">
        <v>4083</v>
      </c>
      <c r="E183" t="s">
        <v>120</v>
      </c>
      <c r="F183" t="s">
        <v>28</v>
      </c>
      <c r="G183" t="s">
        <v>29</v>
      </c>
      <c r="H183" t="s">
        <v>86</v>
      </c>
      <c r="I183">
        <v>7</v>
      </c>
      <c r="J183" t="s">
        <v>444</v>
      </c>
      <c r="K183">
        <v>19</v>
      </c>
      <c r="L183" t="s">
        <v>63</v>
      </c>
      <c r="M183">
        <v>5</v>
      </c>
      <c r="N183" t="s">
        <v>64</v>
      </c>
      <c r="O183" t="s">
        <v>34</v>
      </c>
      <c r="P183" t="s">
        <v>82</v>
      </c>
      <c r="Q183" s="2">
        <v>46705.5</v>
      </c>
      <c r="R183" s="2">
        <v>4661.3100000000004</v>
      </c>
      <c r="S183" t="s">
        <v>36</v>
      </c>
      <c r="T183" t="s">
        <v>52</v>
      </c>
      <c r="U183" t="s">
        <v>53</v>
      </c>
      <c r="V183">
        <v>4.7</v>
      </c>
      <c r="W183" t="s">
        <v>103</v>
      </c>
      <c r="X183" t="s">
        <v>84</v>
      </c>
      <c r="Y183" t="s">
        <v>72</v>
      </c>
    </row>
    <row r="184" spans="1:25" x14ac:dyDescent="0.3">
      <c r="A184" t="s">
        <v>445</v>
      </c>
      <c r="B184" s="1">
        <v>45108</v>
      </c>
      <c r="C184" t="s">
        <v>57</v>
      </c>
      <c r="D184" t="s">
        <v>44</v>
      </c>
      <c r="E184" t="s">
        <v>89</v>
      </c>
      <c r="F184" t="s">
        <v>28</v>
      </c>
      <c r="G184" t="s">
        <v>29</v>
      </c>
      <c r="H184" t="s">
        <v>61</v>
      </c>
      <c r="I184">
        <v>9</v>
      </c>
      <c r="J184" t="s">
        <v>446</v>
      </c>
      <c r="K184">
        <v>53</v>
      </c>
      <c r="L184" t="s">
        <v>80</v>
      </c>
      <c r="M184">
        <v>2</v>
      </c>
      <c r="N184" t="s">
        <v>91</v>
      </c>
      <c r="O184" t="s">
        <v>81</v>
      </c>
      <c r="P184" t="s">
        <v>35</v>
      </c>
      <c r="Q184" s="2">
        <v>27060.35</v>
      </c>
      <c r="R184" s="2">
        <v>4636.9399999999996</v>
      </c>
      <c r="S184" t="s">
        <v>51</v>
      </c>
      <c r="T184" t="s">
        <v>71</v>
      </c>
      <c r="U184" t="s">
        <v>53</v>
      </c>
      <c r="V184">
        <v>2.2000000000000002</v>
      </c>
      <c r="W184" t="s">
        <v>76</v>
      </c>
      <c r="X184" t="s">
        <v>84</v>
      </c>
      <c r="Y184" t="s">
        <v>41</v>
      </c>
    </row>
    <row r="185" spans="1:25" x14ac:dyDescent="0.3">
      <c r="A185" t="s">
        <v>447</v>
      </c>
      <c r="B185" s="1">
        <v>45109</v>
      </c>
      <c r="C185" t="s">
        <v>117</v>
      </c>
      <c r="D185" t="s">
        <v>4083</v>
      </c>
      <c r="E185" t="s">
        <v>89</v>
      </c>
      <c r="F185" t="s">
        <v>28</v>
      </c>
      <c r="G185" t="s">
        <v>29</v>
      </c>
      <c r="H185" t="s">
        <v>61</v>
      </c>
      <c r="I185">
        <v>10</v>
      </c>
      <c r="J185" t="s">
        <v>448</v>
      </c>
      <c r="K185">
        <v>35</v>
      </c>
      <c r="L185" t="s">
        <v>80</v>
      </c>
      <c r="M185">
        <v>5</v>
      </c>
      <c r="N185" t="s">
        <v>48</v>
      </c>
      <c r="O185" t="s">
        <v>49</v>
      </c>
      <c r="P185" t="s">
        <v>70</v>
      </c>
      <c r="Q185" s="2">
        <v>42890.35</v>
      </c>
      <c r="R185" s="2">
        <v>1002.68</v>
      </c>
      <c r="S185" t="s">
        <v>51</v>
      </c>
      <c r="T185" t="s">
        <v>52</v>
      </c>
      <c r="U185" t="s">
        <v>75</v>
      </c>
      <c r="V185">
        <v>2.6</v>
      </c>
      <c r="W185" t="s">
        <v>76</v>
      </c>
      <c r="X185" t="s">
        <v>106</v>
      </c>
      <c r="Y185" t="s">
        <v>41</v>
      </c>
    </row>
    <row r="186" spans="1:25" x14ac:dyDescent="0.3">
      <c r="A186" t="s">
        <v>449</v>
      </c>
      <c r="B186" s="1">
        <v>45110</v>
      </c>
      <c r="C186" t="s">
        <v>78</v>
      </c>
      <c r="D186" t="s">
        <v>58</v>
      </c>
      <c r="E186" t="s">
        <v>89</v>
      </c>
      <c r="F186" t="s">
        <v>28</v>
      </c>
      <c r="G186" t="s">
        <v>29</v>
      </c>
      <c r="H186" t="s">
        <v>61</v>
      </c>
      <c r="I186">
        <v>12</v>
      </c>
      <c r="J186" t="s">
        <v>450</v>
      </c>
      <c r="K186">
        <v>22</v>
      </c>
      <c r="L186" t="s">
        <v>80</v>
      </c>
      <c r="M186">
        <v>7</v>
      </c>
      <c r="N186" t="s">
        <v>33</v>
      </c>
      <c r="O186" t="s">
        <v>69</v>
      </c>
      <c r="P186" t="s">
        <v>50</v>
      </c>
      <c r="Q186" s="2">
        <v>26388.67</v>
      </c>
      <c r="R186" s="2">
        <v>1318.92</v>
      </c>
      <c r="S186" t="s">
        <v>115</v>
      </c>
      <c r="T186" t="s">
        <v>71</v>
      </c>
      <c r="U186" t="s">
        <v>38</v>
      </c>
      <c r="V186">
        <v>4.4000000000000004</v>
      </c>
      <c r="W186" t="s">
        <v>39</v>
      </c>
      <c r="X186" t="s">
        <v>84</v>
      </c>
      <c r="Y186" t="s">
        <v>72</v>
      </c>
    </row>
    <row r="187" spans="1:25" x14ac:dyDescent="0.3">
      <c r="A187" t="s">
        <v>451</v>
      </c>
      <c r="B187" s="1">
        <v>45111</v>
      </c>
      <c r="C187" t="s">
        <v>78</v>
      </c>
      <c r="D187" t="s">
        <v>58</v>
      </c>
      <c r="E187" t="s">
        <v>120</v>
      </c>
      <c r="F187" t="s">
        <v>28</v>
      </c>
      <c r="G187" t="s">
        <v>29</v>
      </c>
      <c r="H187" t="s">
        <v>86</v>
      </c>
      <c r="I187">
        <v>9</v>
      </c>
      <c r="J187" t="s">
        <v>452</v>
      </c>
      <c r="K187">
        <v>36</v>
      </c>
      <c r="L187" t="s">
        <v>32</v>
      </c>
      <c r="M187">
        <v>6</v>
      </c>
      <c r="N187" t="s">
        <v>91</v>
      </c>
      <c r="O187" t="s">
        <v>34</v>
      </c>
      <c r="P187" t="s">
        <v>35</v>
      </c>
      <c r="Q187" s="2">
        <v>37323.06</v>
      </c>
      <c r="R187" s="2">
        <v>3502.99</v>
      </c>
      <c r="S187" t="s">
        <v>94</v>
      </c>
      <c r="T187" t="s">
        <v>52</v>
      </c>
      <c r="U187" t="s">
        <v>38</v>
      </c>
      <c r="V187">
        <v>2.8</v>
      </c>
      <c r="W187" t="s">
        <v>76</v>
      </c>
      <c r="X187" t="s">
        <v>55</v>
      </c>
      <c r="Y187" t="s">
        <v>41</v>
      </c>
    </row>
    <row r="188" spans="1:25" x14ac:dyDescent="0.3">
      <c r="A188" t="s">
        <v>453</v>
      </c>
      <c r="B188" s="1">
        <v>45112</v>
      </c>
      <c r="C188" t="s">
        <v>26</v>
      </c>
      <c r="D188" t="s">
        <v>26</v>
      </c>
      <c r="E188" t="s">
        <v>120</v>
      </c>
      <c r="F188" t="s">
        <v>28</v>
      </c>
      <c r="G188" t="s">
        <v>29</v>
      </c>
      <c r="H188" t="s">
        <v>86</v>
      </c>
      <c r="I188">
        <v>4</v>
      </c>
      <c r="J188" t="s">
        <v>454</v>
      </c>
      <c r="K188">
        <v>59</v>
      </c>
      <c r="L188" t="s">
        <v>32</v>
      </c>
      <c r="M188">
        <v>1</v>
      </c>
      <c r="N188" t="s">
        <v>64</v>
      </c>
      <c r="O188" t="s">
        <v>49</v>
      </c>
      <c r="P188" t="s">
        <v>82</v>
      </c>
      <c r="Q188" s="2">
        <v>20159.689999999999</v>
      </c>
      <c r="R188" s="2">
        <v>4758.67</v>
      </c>
      <c r="S188" t="s">
        <v>36</v>
      </c>
      <c r="T188" t="s">
        <v>71</v>
      </c>
      <c r="U188" t="s">
        <v>75</v>
      </c>
      <c r="V188">
        <v>2</v>
      </c>
      <c r="W188" t="s">
        <v>76</v>
      </c>
      <c r="X188" t="s">
        <v>40</v>
      </c>
      <c r="Y188" t="s">
        <v>41</v>
      </c>
    </row>
    <row r="189" spans="1:25" x14ac:dyDescent="0.3">
      <c r="A189" t="s">
        <v>455</v>
      </c>
      <c r="B189" s="1">
        <v>45113</v>
      </c>
      <c r="C189" t="s">
        <v>43</v>
      </c>
      <c r="D189" t="s">
        <v>58</v>
      </c>
      <c r="E189" t="s">
        <v>45</v>
      </c>
      <c r="F189" t="s">
        <v>28</v>
      </c>
      <c r="G189" t="s">
        <v>29</v>
      </c>
      <c r="H189" t="s">
        <v>67</v>
      </c>
      <c r="I189">
        <v>6</v>
      </c>
      <c r="J189" t="s">
        <v>456</v>
      </c>
      <c r="K189">
        <v>35</v>
      </c>
      <c r="L189" t="s">
        <v>32</v>
      </c>
      <c r="M189">
        <v>7</v>
      </c>
      <c r="N189" t="s">
        <v>33</v>
      </c>
      <c r="O189" t="s">
        <v>69</v>
      </c>
      <c r="P189" t="s">
        <v>50</v>
      </c>
      <c r="Q189" s="2">
        <v>33116.31</v>
      </c>
      <c r="R189" s="2">
        <v>3549.41</v>
      </c>
      <c r="S189" t="s">
        <v>36</v>
      </c>
      <c r="T189" t="s">
        <v>37</v>
      </c>
      <c r="U189" t="s">
        <v>75</v>
      </c>
      <c r="V189">
        <v>3.2</v>
      </c>
      <c r="W189" t="s">
        <v>39</v>
      </c>
      <c r="X189" t="s">
        <v>106</v>
      </c>
      <c r="Y189" t="s">
        <v>41</v>
      </c>
    </row>
    <row r="190" spans="1:25" x14ac:dyDescent="0.3">
      <c r="A190" t="s">
        <v>457</v>
      </c>
      <c r="B190" s="1">
        <v>45114</v>
      </c>
      <c r="C190" t="s">
        <v>117</v>
      </c>
      <c r="D190" t="s">
        <v>4083</v>
      </c>
      <c r="E190" t="s">
        <v>4085</v>
      </c>
      <c r="F190" t="s">
        <v>60</v>
      </c>
      <c r="G190" t="s">
        <v>29</v>
      </c>
      <c r="H190" t="s">
        <v>59</v>
      </c>
      <c r="I190">
        <v>12</v>
      </c>
      <c r="J190" t="s">
        <v>458</v>
      </c>
      <c r="K190">
        <v>49</v>
      </c>
      <c r="L190" t="s">
        <v>32</v>
      </c>
      <c r="M190">
        <v>1</v>
      </c>
      <c r="N190" t="s">
        <v>64</v>
      </c>
      <c r="O190" t="s">
        <v>34</v>
      </c>
      <c r="P190" t="s">
        <v>82</v>
      </c>
      <c r="Q190" s="2">
        <v>27426.720000000001</v>
      </c>
      <c r="R190" s="2">
        <v>2224.5</v>
      </c>
      <c r="S190" t="s">
        <v>94</v>
      </c>
      <c r="T190" t="s">
        <v>37</v>
      </c>
      <c r="U190" t="s">
        <v>53</v>
      </c>
      <c r="V190">
        <v>4.4000000000000004</v>
      </c>
      <c r="W190" t="s">
        <v>39</v>
      </c>
      <c r="X190" t="s">
        <v>106</v>
      </c>
      <c r="Y190" t="s">
        <v>72</v>
      </c>
    </row>
    <row r="191" spans="1:25" x14ac:dyDescent="0.3">
      <c r="A191" t="s">
        <v>459</v>
      </c>
      <c r="B191" s="1">
        <v>45115</v>
      </c>
      <c r="C191" t="s">
        <v>117</v>
      </c>
      <c r="D191" t="s">
        <v>4083</v>
      </c>
      <c r="E191" t="s">
        <v>4085</v>
      </c>
      <c r="F191" t="s">
        <v>60</v>
      </c>
      <c r="G191" t="s">
        <v>29</v>
      </c>
      <c r="H191" t="s">
        <v>46</v>
      </c>
      <c r="I191">
        <v>14</v>
      </c>
      <c r="J191" t="s">
        <v>460</v>
      </c>
      <c r="K191">
        <v>38</v>
      </c>
      <c r="L191" t="s">
        <v>32</v>
      </c>
      <c r="M191">
        <v>4</v>
      </c>
      <c r="N191" t="s">
        <v>64</v>
      </c>
      <c r="O191" t="s">
        <v>34</v>
      </c>
      <c r="P191" t="s">
        <v>82</v>
      </c>
      <c r="Q191" s="2">
        <v>21520.14</v>
      </c>
      <c r="R191" s="2">
        <v>845.01</v>
      </c>
      <c r="S191" t="s">
        <v>51</v>
      </c>
      <c r="T191" t="s">
        <v>37</v>
      </c>
      <c r="U191" t="s">
        <v>53</v>
      </c>
      <c r="V191">
        <v>2.7</v>
      </c>
      <c r="W191" t="s">
        <v>76</v>
      </c>
      <c r="X191" t="s">
        <v>65</v>
      </c>
      <c r="Y191" t="s">
        <v>41</v>
      </c>
    </row>
    <row r="192" spans="1:25" x14ac:dyDescent="0.3">
      <c r="A192" t="s">
        <v>461</v>
      </c>
      <c r="B192" s="1">
        <v>45116</v>
      </c>
      <c r="C192" t="s">
        <v>57</v>
      </c>
      <c r="D192" t="s">
        <v>44</v>
      </c>
      <c r="E192" t="s">
        <v>45</v>
      </c>
      <c r="F192" t="s">
        <v>28</v>
      </c>
      <c r="G192" t="s">
        <v>29</v>
      </c>
      <c r="H192" t="s">
        <v>67</v>
      </c>
      <c r="I192">
        <v>3</v>
      </c>
      <c r="J192" t="s">
        <v>462</v>
      </c>
      <c r="K192">
        <v>27</v>
      </c>
      <c r="L192" t="s">
        <v>63</v>
      </c>
      <c r="M192">
        <v>2</v>
      </c>
      <c r="N192" t="s">
        <v>64</v>
      </c>
      <c r="O192" t="s">
        <v>69</v>
      </c>
      <c r="P192" t="s">
        <v>70</v>
      </c>
      <c r="Q192" s="2">
        <v>44670.03</v>
      </c>
      <c r="R192" s="2">
        <v>2305.0500000000002</v>
      </c>
      <c r="S192" t="s">
        <v>94</v>
      </c>
      <c r="T192" t="s">
        <v>71</v>
      </c>
      <c r="U192" t="s">
        <v>53</v>
      </c>
      <c r="V192">
        <v>1.5</v>
      </c>
      <c r="W192" t="s">
        <v>124</v>
      </c>
      <c r="X192" t="s">
        <v>84</v>
      </c>
      <c r="Y192" t="s">
        <v>72</v>
      </c>
    </row>
    <row r="193" spans="1:25" x14ac:dyDescent="0.3">
      <c r="A193" t="s">
        <v>463</v>
      </c>
      <c r="B193" s="1">
        <v>45117</v>
      </c>
      <c r="C193" t="s">
        <v>78</v>
      </c>
      <c r="D193" t="s">
        <v>58</v>
      </c>
      <c r="E193" t="s">
        <v>45</v>
      </c>
      <c r="F193" t="s">
        <v>28</v>
      </c>
      <c r="G193" t="s">
        <v>29</v>
      </c>
      <c r="H193" t="s">
        <v>67</v>
      </c>
      <c r="I193">
        <v>12</v>
      </c>
      <c r="J193" t="s">
        <v>464</v>
      </c>
      <c r="K193">
        <v>54</v>
      </c>
      <c r="L193" t="s">
        <v>32</v>
      </c>
      <c r="M193">
        <v>6</v>
      </c>
      <c r="N193" t="s">
        <v>33</v>
      </c>
      <c r="O193" t="s">
        <v>49</v>
      </c>
      <c r="P193" t="s">
        <v>82</v>
      </c>
      <c r="Q193" s="2">
        <v>10072.030000000001</v>
      </c>
      <c r="R193" s="2">
        <v>3033.84</v>
      </c>
      <c r="S193" t="s">
        <v>115</v>
      </c>
      <c r="T193" t="s">
        <v>52</v>
      </c>
      <c r="U193" t="s">
        <v>75</v>
      </c>
      <c r="V193">
        <v>2.5</v>
      </c>
      <c r="W193" t="s">
        <v>76</v>
      </c>
      <c r="X193" t="s">
        <v>106</v>
      </c>
      <c r="Y193" t="s">
        <v>72</v>
      </c>
    </row>
    <row r="194" spans="1:25" x14ac:dyDescent="0.3">
      <c r="A194" t="s">
        <v>465</v>
      </c>
      <c r="B194" s="1">
        <v>45118</v>
      </c>
      <c r="C194" t="s">
        <v>43</v>
      </c>
      <c r="D194" t="s">
        <v>58</v>
      </c>
      <c r="E194" t="s">
        <v>89</v>
      </c>
      <c r="F194" t="s">
        <v>28</v>
      </c>
      <c r="G194" t="s">
        <v>29</v>
      </c>
      <c r="H194" t="s">
        <v>61</v>
      </c>
      <c r="I194">
        <v>11</v>
      </c>
      <c r="J194" t="s">
        <v>466</v>
      </c>
      <c r="K194">
        <v>66</v>
      </c>
      <c r="L194" t="s">
        <v>80</v>
      </c>
      <c r="M194">
        <v>2</v>
      </c>
      <c r="N194" t="s">
        <v>48</v>
      </c>
      <c r="O194" t="s">
        <v>49</v>
      </c>
      <c r="P194" t="s">
        <v>82</v>
      </c>
      <c r="Q194" s="2">
        <v>26911.54</v>
      </c>
      <c r="R194" s="2">
        <v>1654.76</v>
      </c>
      <c r="S194" t="s">
        <v>51</v>
      </c>
      <c r="T194" t="s">
        <v>71</v>
      </c>
      <c r="U194" t="s">
        <v>53</v>
      </c>
      <c r="V194">
        <v>4.8</v>
      </c>
      <c r="W194" t="s">
        <v>103</v>
      </c>
      <c r="X194" t="s">
        <v>106</v>
      </c>
      <c r="Y194" t="s">
        <v>72</v>
      </c>
    </row>
    <row r="195" spans="1:25" x14ac:dyDescent="0.3">
      <c r="A195" t="s">
        <v>467</v>
      </c>
      <c r="B195" s="1">
        <v>45119</v>
      </c>
      <c r="C195" t="s">
        <v>26</v>
      </c>
      <c r="D195" t="s">
        <v>26</v>
      </c>
      <c r="E195" t="s">
        <v>45</v>
      </c>
      <c r="F195" t="s">
        <v>28</v>
      </c>
      <c r="G195" t="s">
        <v>29</v>
      </c>
      <c r="H195" t="s">
        <v>67</v>
      </c>
      <c r="I195">
        <v>5</v>
      </c>
      <c r="J195" t="s">
        <v>468</v>
      </c>
      <c r="K195">
        <v>39</v>
      </c>
      <c r="L195" t="s">
        <v>32</v>
      </c>
      <c r="M195">
        <v>4</v>
      </c>
      <c r="N195" t="s">
        <v>64</v>
      </c>
      <c r="O195" t="s">
        <v>34</v>
      </c>
      <c r="P195" t="s">
        <v>35</v>
      </c>
      <c r="Q195" s="2">
        <v>13746.61</v>
      </c>
      <c r="R195" s="2">
        <v>2551.29</v>
      </c>
      <c r="S195" t="s">
        <v>94</v>
      </c>
      <c r="T195" t="s">
        <v>37</v>
      </c>
      <c r="U195" t="s">
        <v>75</v>
      </c>
      <c r="V195">
        <v>1.3</v>
      </c>
      <c r="W195" t="s">
        <v>124</v>
      </c>
      <c r="X195" t="s">
        <v>55</v>
      </c>
      <c r="Y195" t="s">
        <v>41</v>
      </c>
    </row>
    <row r="196" spans="1:25" x14ac:dyDescent="0.3">
      <c r="A196" t="s">
        <v>469</v>
      </c>
      <c r="B196" s="1">
        <v>45120</v>
      </c>
      <c r="C196" t="s">
        <v>78</v>
      </c>
      <c r="D196" t="s">
        <v>58</v>
      </c>
      <c r="E196" t="s">
        <v>4084</v>
      </c>
      <c r="F196" t="s">
        <v>60</v>
      </c>
      <c r="G196" t="s">
        <v>29</v>
      </c>
      <c r="H196" t="s">
        <v>30</v>
      </c>
      <c r="I196">
        <v>14</v>
      </c>
      <c r="J196" t="s">
        <v>470</v>
      </c>
      <c r="K196">
        <v>30</v>
      </c>
      <c r="L196" t="s">
        <v>63</v>
      </c>
      <c r="M196">
        <v>6</v>
      </c>
      <c r="N196" t="s">
        <v>48</v>
      </c>
      <c r="O196" t="s">
        <v>69</v>
      </c>
      <c r="P196" t="s">
        <v>82</v>
      </c>
      <c r="Q196" s="2">
        <v>43747.48</v>
      </c>
      <c r="R196" s="2">
        <v>651.07000000000005</v>
      </c>
      <c r="S196" t="s">
        <v>94</v>
      </c>
      <c r="T196" t="s">
        <v>71</v>
      </c>
      <c r="U196" t="s">
        <v>53</v>
      </c>
      <c r="V196">
        <v>2.6</v>
      </c>
      <c r="W196" t="s">
        <v>76</v>
      </c>
      <c r="X196" t="s">
        <v>84</v>
      </c>
      <c r="Y196" t="s">
        <v>72</v>
      </c>
    </row>
    <row r="197" spans="1:25" x14ac:dyDescent="0.3">
      <c r="A197" t="s">
        <v>471</v>
      </c>
      <c r="B197" s="1">
        <v>45121</v>
      </c>
      <c r="C197" t="s">
        <v>26</v>
      </c>
      <c r="D197" t="s">
        <v>26</v>
      </c>
      <c r="E197" t="s">
        <v>4085</v>
      </c>
      <c r="F197" t="s">
        <v>60</v>
      </c>
      <c r="G197" t="s">
        <v>29</v>
      </c>
      <c r="H197" t="s">
        <v>46</v>
      </c>
      <c r="I197">
        <v>5</v>
      </c>
      <c r="J197" t="s">
        <v>472</v>
      </c>
      <c r="K197">
        <v>34</v>
      </c>
      <c r="L197" t="s">
        <v>80</v>
      </c>
      <c r="M197">
        <v>6</v>
      </c>
      <c r="N197" t="s">
        <v>33</v>
      </c>
      <c r="O197" t="s">
        <v>49</v>
      </c>
      <c r="P197" t="s">
        <v>70</v>
      </c>
      <c r="Q197" s="2">
        <v>16406.12</v>
      </c>
      <c r="R197" s="2">
        <v>2260.94</v>
      </c>
      <c r="S197" t="s">
        <v>115</v>
      </c>
      <c r="T197" t="s">
        <v>52</v>
      </c>
      <c r="U197" t="s">
        <v>75</v>
      </c>
      <c r="V197">
        <v>3.6</v>
      </c>
      <c r="W197" t="s">
        <v>54</v>
      </c>
      <c r="X197" t="s">
        <v>40</v>
      </c>
      <c r="Y197" t="s">
        <v>41</v>
      </c>
    </row>
    <row r="198" spans="1:25" x14ac:dyDescent="0.3">
      <c r="A198" t="s">
        <v>473</v>
      </c>
      <c r="B198" s="1">
        <v>45122</v>
      </c>
      <c r="C198" t="s">
        <v>57</v>
      </c>
      <c r="D198" t="s">
        <v>44</v>
      </c>
      <c r="E198" t="s">
        <v>45</v>
      </c>
      <c r="F198" t="s">
        <v>28</v>
      </c>
      <c r="G198" t="s">
        <v>29</v>
      </c>
      <c r="H198" t="s">
        <v>67</v>
      </c>
      <c r="I198">
        <v>12</v>
      </c>
      <c r="J198" t="s">
        <v>474</v>
      </c>
      <c r="K198">
        <v>26</v>
      </c>
      <c r="L198" t="s">
        <v>63</v>
      </c>
      <c r="M198">
        <v>1</v>
      </c>
      <c r="N198" t="s">
        <v>33</v>
      </c>
      <c r="O198" t="s">
        <v>69</v>
      </c>
      <c r="P198" t="s">
        <v>82</v>
      </c>
      <c r="Q198" s="2">
        <v>33504.370000000003</v>
      </c>
      <c r="R198" s="2">
        <v>453.88</v>
      </c>
      <c r="S198" t="s">
        <v>94</v>
      </c>
      <c r="T198" t="s">
        <v>37</v>
      </c>
      <c r="U198" t="s">
        <v>38</v>
      </c>
      <c r="V198">
        <v>1.3</v>
      </c>
      <c r="W198" t="s">
        <v>124</v>
      </c>
      <c r="X198" t="s">
        <v>55</v>
      </c>
      <c r="Y198" t="s">
        <v>72</v>
      </c>
    </row>
    <row r="199" spans="1:25" x14ac:dyDescent="0.3">
      <c r="A199" t="s">
        <v>475</v>
      </c>
      <c r="B199" s="1">
        <v>45123</v>
      </c>
      <c r="C199" t="s">
        <v>57</v>
      </c>
      <c r="D199" t="s">
        <v>44</v>
      </c>
      <c r="E199" t="s">
        <v>4084</v>
      </c>
      <c r="F199" t="s">
        <v>60</v>
      </c>
      <c r="G199" t="s">
        <v>29</v>
      </c>
      <c r="H199" t="s">
        <v>27</v>
      </c>
      <c r="I199">
        <v>11</v>
      </c>
      <c r="J199" t="s">
        <v>476</v>
      </c>
      <c r="K199">
        <v>41</v>
      </c>
      <c r="L199" t="s">
        <v>80</v>
      </c>
      <c r="M199">
        <v>1</v>
      </c>
      <c r="N199" t="s">
        <v>64</v>
      </c>
      <c r="O199" t="s">
        <v>69</v>
      </c>
      <c r="P199" t="s">
        <v>82</v>
      </c>
      <c r="Q199" s="2">
        <v>12450.36</v>
      </c>
      <c r="R199" s="2">
        <v>245.44</v>
      </c>
      <c r="S199" t="s">
        <v>51</v>
      </c>
      <c r="T199" t="s">
        <v>71</v>
      </c>
      <c r="U199" t="s">
        <v>83</v>
      </c>
      <c r="V199">
        <v>2.4</v>
      </c>
      <c r="W199" t="s">
        <v>76</v>
      </c>
      <c r="X199" t="s">
        <v>40</v>
      </c>
      <c r="Y199" t="s">
        <v>41</v>
      </c>
    </row>
    <row r="200" spans="1:25" x14ac:dyDescent="0.3">
      <c r="A200" t="s">
        <v>477</v>
      </c>
      <c r="B200" s="1">
        <v>45124</v>
      </c>
      <c r="C200" t="s">
        <v>117</v>
      </c>
      <c r="D200" t="s">
        <v>4083</v>
      </c>
      <c r="E200" t="s">
        <v>4084</v>
      </c>
      <c r="F200" t="s">
        <v>60</v>
      </c>
      <c r="G200" t="s">
        <v>29</v>
      </c>
      <c r="H200" t="s">
        <v>27</v>
      </c>
      <c r="I200">
        <v>12</v>
      </c>
      <c r="J200" t="s">
        <v>478</v>
      </c>
      <c r="K200">
        <v>61</v>
      </c>
      <c r="L200" t="s">
        <v>32</v>
      </c>
      <c r="M200">
        <v>1</v>
      </c>
      <c r="N200" t="s">
        <v>48</v>
      </c>
      <c r="O200" t="s">
        <v>34</v>
      </c>
      <c r="P200" t="s">
        <v>82</v>
      </c>
      <c r="Q200" s="2">
        <v>23221.119999999999</v>
      </c>
      <c r="R200" s="2">
        <v>4286.2</v>
      </c>
      <c r="S200" t="s">
        <v>36</v>
      </c>
      <c r="T200" t="s">
        <v>52</v>
      </c>
      <c r="U200" t="s">
        <v>53</v>
      </c>
      <c r="V200">
        <v>4.8</v>
      </c>
      <c r="W200" t="s">
        <v>103</v>
      </c>
      <c r="X200" t="s">
        <v>65</v>
      </c>
      <c r="Y200" t="s">
        <v>41</v>
      </c>
    </row>
    <row r="201" spans="1:25" x14ac:dyDescent="0.3">
      <c r="A201" t="s">
        <v>479</v>
      </c>
      <c r="B201" s="1">
        <v>45125</v>
      </c>
      <c r="C201" t="s">
        <v>43</v>
      </c>
      <c r="D201" t="s">
        <v>58</v>
      </c>
      <c r="E201" t="s">
        <v>4084</v>
      </c>
      <c r="F201" t="s">
        <v>60</v>
      </c>
      <c r="G201" t="s">
        <v>29</v>
      </c>
      <c r="H201" t="s">
        <v>30</v>
      </c>
      <c r="I201">
        <v>5</v>
      </c>
      <c r="J201" t="s">
        <v>480</v>
      </c>
      <c r="K201">
        <v>31</v>
      </c>
      <c r="L201" t="s">
        <v>63</v>
      </c>
      <c r="M201">
        <v>5</v>
      </c>
      <c r="N201" t="s">
        <v>48</v>
      </c>
      <c r="O201" t="s">
        <v>69</v>
      </c>
      <c r="P201" t="s">
        <v>50</v>
      </c>
      <c r="Q201" s="2">
        <v>45471.07</v>
      </c>
      <c r="R201" s="2">
        <v>1025.4100000000001</v>
      </c>
      <c r="S201" t="s">
        <v>36</v>
      </c>
      <c r="T201" t="s">
        <v>37</v>
      </c>
      <c r="U201" t="s">
        <v>53</v>
      </c>
      <c r="V201">
        <v>1.1000000000000001</v>
      </c>
      <c r="W201" t="s">
        <v>124</v>
      </c>
      <c r="X201" t="s">
        <v>106</v>
      </c>
      <c r="Y201" t="s">
        <v>72</v>
      </c>
    </row>
    <row r="202" spans="1:25" x14ac:dyDescent="0.3">
      <c r="A202" t="s">
        <v>481</v>
      </c>
      <c r="B202" s="1">
        <v>45126</v>
      </c>
      <c r="C202" t="s">
        <v>26</v>
      </c>
      <c r="D202" t="s">
        <v>26</v>
      </c>
      <c r="E202" t="s">
        <v>4084</v>
      </c>
      <c r="F202" t="s">
        <v>60</v>
      </c>
      <c r="G202" t="s">
        <v>29</v>
      </c>
      <c r="H202" t="s">
        <v>27</v>
      </c>
      <c r="I202">
        <v>10</v>
      </c>
      <c r="J202" t="s">
        <v>482</v>
      </c>
      <c r="K202">
        <v>63</v>
      </c>
      <c r="L202" t="s">
        <v>80</v>
      </c>
      <c r="M202">
        <v>3</v>
      </c>
      <c r="N202" t="s">
        <v>64</v>
      </c>
      <c r="O202" t="s">
        <v>69</v>
      </c>
      <c r="P202" t="s">
        <v>70</v>
      </c>
      <c r="Q202" s="2">
        <v>12472.9</v>
      </c>
      <c r="R202" s="2">
        <v>2875.78</v>
      </c>
      <c r="S202" t="s">
        <v>36</v>
      </c>
      <c r="T202" t="s">
        <v>52</v>
      </c>
      <c r="U202" t="s">
        <v>75</v>
      </c>
      <c r="V202">
        <v>4</v>
      </c>
      <c r="W202" t="s">
        <v>54</v>
      </c>
      <c r="X202" t="s">
        <v>55</v>
      </c>
      <c r="Y202" t="s">
        <v>72</v>
      </c>
    </row>
    <row r="203" spans="1:25" x14ac:dyDescent="0.3">
      <c r="A203" t="s">
        <v>483</v>
      </c>
      <c r="B203" s="1">
        <v>45127</v>
      </c>
      <c r="C203" t="s">
        <v>78</v>
      </c>
      <c r="D203" t="s">
        <v>58</v>
      </c>
      <c r="E203" t="s">
        <v>89</v>
      </c>
      <c r="F203" t="s">
        <v>28</v>
      </c>
      <c r="G203" t="s">
        <v>29</v>
      </c>
      <c r="H203" t="s">
        <v>61</v>
      </c>
      <c r="I203">
        <v>4</v>
      </c>
      <c r="J203" t="s">
        <v>484</v>
      </c>
      <c r="K203">
        <v>25</v>
      </c>
      <c r="L203" t="s">
        <v>32</v>
      </c>
      <c r="M203">
        <v>7</v>
      </c>
      <c r="N203" t="s">
        <v>91</v>
      </c>
      <c r="O203" t="s">
        <v>81</v>
      </c>
      <c r="P203" t="s">
        <v>50</v>
      </c>
      <c r="Q203" s="2">
        <v>34843.81</v>
      </c>
      <c r="R203" s="2">
        <v>744.91</v>
      </c>
      <c r="S203" t="s">
        <v>51</v>
      </c>
      <c r="T203" t="s">
        <v>52</v>
      </c>
      <c r="U203" t="s">
        <v>38</v>
      </c>
      <c r="V203">
        <v>4.4000000000000004</v>
      </c>
      <c r="W203" t="s">
        <v>39</v>
      </c>
      <c r="X203" t="s">
        <v>40</v>
      </c>
      <c r="Y203" t="s">
        <v>72</v>
      </c>
    </row>
    <row r="204" spans="1:25" x14ac:dyDescent="0.3">
      <c r="A204" t="s">
        <v>485</v>
      </c>
      <c r="B204" s="1">
        <v>45128</v>
      </c>
      <c r="C204" t="s">
        <v>57</v>
      </c>
      <c r="D204" t="s">
        <v>44</v>
      </c>
      <c r="E204" t="s">
        <v>4084</v>
      </c>
      <c r="F204" t="s">
        <v>60</v>
      </c>
      <c r="G204" t="s">
        <v>29</v>
      </c>
      <c r="H204" t="s">
        <v>27</v>
      </c>
      <c r="I204">
        <v>5</v>
      </c>
      <c r="J204" t="s">
        <v>486</v>
      </c>
      <c r="K204">
        <v>54</v>
      </c>
      <c r="L204" t="s">
        <v>80</v>
      </c>
      <c r="M204">
        <v>1</v>
      </c>
      <c r="N204" t="s">
        <v>91</v>
      </c>
      <c r="O204" t="s">
        <v>69</v>
      </c>
      <c r="P204" t="s">
        <v>70</v>
      </c>
      <c r="Q204" s="2">
        <v>14202.97</v>
      </c>
      <c r="R204" s="2">
        <v>1312.64</v>
      </c>
      <c r="S204" t="s">
        <v>94</v>
      </c>
      <c r="T204" t="s">
        <v>37</v>
      </c>
      <c r="U204" t="s">
        <v>38</v>
      </c>
      <c r="V204">
        <v>2.1</v>
      </c>
      <c r="W204" t="s">
        <v>76</v>
      </c>
      <c r="X204" t="s">
        <v>84</v>
      </c>
      <c r="Y204" t="s">
        <v>41</v>
      </c>
    </row>
    <row r="205" spans="1:25" x14ac:dyDescent="0.3">
      <c r="A205" t="s">
        <v>487</v>
      </c>
      <c r="B205" s="1">
        <v>45129</v>
      </c>
      <c r="C205" t="s">
        <v>117</v>
      </c>
      <c r="D205" t="s">
        <v>4083</v>
      </c>
      <c r="E205" t="s">
        <v>89</v>
      </c>
      <c r="F205" t="s">
        <v>28</v>
      </c>
      <c r="G205" t="s">
        <v>29</v>
      </c>
      <c r="H205" t="s">
        <v>61</v>
      </c>
      <c r="I205">
        <v>4</v>
      </c>
      <c r="J205" t="s">
        <v>488</v>
      </c>
      <c r="K205">
        <v>36</v>
      </c>
      <c r="L205" t="s">
        <v>63</v>
      </c>
      <c r="M205">
        <v>3</v>
      </c>
      <c r="N205" t="s">
        <v>33</v>
      </c>
      <c r="O205" t="s">
        <v>49</v>
      </c>
      <c r="P205" t="s">
        <v>70</v>
      </c>
      <c r="Q205" s="2">
        <v>23708.71</v>
      </c>
      <c r="R205" s="2">
        <v>1806.7</v>
      </c>
      <c r="S205" t="s">
        <v>94</v>
      </c>
      <c r="T205" t="s">
        <v>71</v>
      </c>
      <c r="U205" t="s">
        <v>53</v>
      </c>
      <c r="V205">
        <v>1.9</v>
      </c>
      <c r="W205" t="s">
        <v>124</v>
      </c>
      <c r="X205" t="s">
        <v>65</v>
      </c>
      <c r="Y205" t="s">
        <v>41</v>
      </c>
    </row>
    <row r="206" spans="1:25" x14ac:dyDescent="0.3">
      <c r="A206" t="s">
        <v>489</v>
      </c>
      <c r="B206" s="1">
        <v>45130</v>
      </c>
      <c r="C206" t="s">
        <v>117</v>
      </c>
      <c r="D206" t="s">
        <v>4083</v>
      </c>
      <c r="E206" t="s">
        <v>89</v>
      </c>
      <c r="F206" t="s">
        <v>28</v>
      </c>
      <c r="G206" t="s">
        <v>29</v>
      </c>
      <c r="H206" t="s">
        <v>61</v>
      </c>
      <c r="I206">
        <v>3</v>
      </c>
      <c r="J206" t="s">
        <v>490</v>
      </c>
      <c r="K206">
        <v>45</v>
      </c>
      <c r="L206" t="s">
        <v>63</v>
      </c>
      <c r="M206">
        <v>3</v>
      </c>
      <c r="N206" t="s">
        <v>33</v>
      </c>
      <c r="O206" t="s">
        <v>34</v>
      </c>
      <c r="P206" t="s">
        <v>35</v>
      </c>
      <c r="Q206" s="2">
        <v>29327.759999999998</v>
      </c>
      <c r="R206" s="2">
        <v>718.38</v>
      </c>
      <c r="S206" t="s">
        <v>94</v>
      </c>
      <c r="T206" t="s">
        <v>71</v>
      </c>
      <c r="U206" t="s">
        <v>75</v>
      </c>
      <c r="V206">
        <v>4.7</v>
      </c>
      <c r="W206" t="s">
        <v>103</v>
      </c>
      <c r="X206" t="s">
        <v>65</v>
      </c>
      <c r="Y206" t="s">
        <v>41</v>
      </c>
    </row>
    <row r="207" spans="1:25" x14ac:dyDescent="0.3">
      <c r="A207" t="s">
        <v>491</v>
      </c>
      <c r="B207" s="1">
        <v>45131</v>
      </c>
      <c r="C207" t="s">
        <v>26</v>
      </c>
      <c r="D207" t="s">
        <v>26</v>
      </c>
      <c r="E207" t="s">
        <v>4084</v>
      </c>
      <c r="F207" t="s">
        <v>60</v>
      </c>
      <c r="G207" t="s">
        <v>29</v>
      </c>
      <c r="H207" t="s">
        <v>27</v>
      </c>
      <c r="I207">
        <v>4</v>
      </c>
      <c r="J207" t="s">
        <v>492</v>
      </c>
      <c r="K207">
        <v>63</v>
      </c>
      <c r="L207" t="s">
        <v>63</v>
      </c>
      <c r="M207">
        <v>2</v>
      </c>
      <c r="N207" t="s">
        <v>91</v>
      </c>
      <c r="O207" t="s">
        <v>34</v>
      </c>
      <c r="P207" t="s">
        <v>50</v>
      </c>
      <c r="Q207" s="2">
        <v>30978.79</v>
      </c>
      <c r="R207" s="2">
        <v>229.81</v>
      </c>
      <c r="S207" t="s">
        <v>94</v>
      </c>
      <c r="T207" t="s">
        <v>71</v>
      </c>
      <c r="U207" t="s">
        <v>75</v>
      </c>
      <c r="V207">
        <v>4.0999999999999996</v>
      </c>
      <c r="W207" t="s">
        <v>39</v>
      </c>
      <c r="X207" t="s">
        <v>106</v>
      </c>
      <c r="Y207" t="s">
        <v>72</v>
      </c>
    </row>
    <row r="208" spans="1:25" x14ac:dyDescent="0.3">
      <c r="A208" t="s">
        <v>493</v>
      </c>
      <c r="B208" s="1">
        <v>45132</v>
      </c>
      <c r="C208" t="s">
        <v>57</v>
      </c>
      <c r="D208" t="s">
        <v>44</v>
      </c>
      <c r="E208" t="s">
        <v>4085</v>
      </c>
      <c r="F208" t="s">
        <v>60</v>
      </c>
      <c r="G208" t="s">
        <v>29</v>
      </c>
      <c r="H208" t="s">
        <v>59</v>
      </c>
      <c r="I208">
        <v>10</v>
      </c>
      <c r="J208" t="s">
        <v>494</v>
      </c>
      <c r="K208">
        <v>58</v>
      </c>
      <c r="L208" t="s">
        <v>63</v>
      </c>
      <c r="M208">
        <v>4</v>
      </c>
      <c r="N208" t="s">
        <v>91</v>
      </c>
      <c r="O208" t="s">
        <v>69</v>
      </c>
      <c r="P208" t="s">
        <v>70</v>
      </c>
      <c r="Q208" s="2">
        <v>32113.01</v>
      </c>
      <c r="R208" s="2">
        <v>4385.8</v>
      </c>
      <c r="S208" t="s">
        <v>36</v>
      </c>
      <c r="T208" t="s">
        <v>71</v>
      </c>
      <c r="U208" t="s">
        <v>83</v>
      </c>
      <c r="V208">
        <v>1.5</v>
      </c>
      <c r="W208" t="s">
        <v>124</v>
      </c>
      <c r="X208" t="s">
        <v>106</v>
      </c>
      <c r="Y208" t="s">
        <v>41</v>
      </c>
    </row>
    <row r="209" spans="1:25" x14ac:dyDescent="0.3">
      <c r="A209" t="s">
        <v>495</v>
      </c>
      <c r="B209" s="1">
        <v>45133</v>
      </c>
      <c r="C209" t="s">
        <v>43</v>
      </c>
      <c r="D209" t="s">
        <v>58</v>
      </c>
      <c r="E209" t="s">
        <v>4084</v>
      </c>
      <c r="F209" t="s">
        <v>60</v>
      </c>
      <c r="G209" t="s">
        <v>29</v>
      </c>
      <c r="H209" t="s">
        <v>30</v>
      </c>
      <c r="I209">
        <v>11</v>
      </c>
      <c r="J209" t="s">
        <v>496</v>
      </c>
      <c r="K209">
        <v>47</v>
      </c>
      <c r="L209" t="s">
        <v>32</v>
      </c>
      <c r="M209">
        <v>5</v>
      </c>
      <c r="N209" t="s">
        <v>91</v>
      </c>
      <c r="O209" t="s">
        <v>69</v>
      </c>
      <c r="P209" t="s">
        <v>70</v>
      </c>
      <c r="Q209" s="2">
        <v>33805.910000000003</v>
      </c>
      <c r="R209" s="2">
        <v>59.16</v>
      </c>
      <c r="S209" t="s">
        <v>51</v>
      </c>
      <c r="T209" t="s">
        <v>52</v>
      </c>
      <c r="U209" t="s">
        <v>38</v>
      </c>
      <c r="V209">
        <v>1.8</v>
      </c>
      <c r="W209" t="s">
        <v>124</v>
      </c>
      <c r="X209" t="s">
        <v>40</v>
      </c>
      <c r="Y209" t="s">
        <v>41</v>
      </c>
    </row>
    <row r="210" spans="1:25" x14ac:dyDescent="0.3">
      <c r="A210" t="s">
        <v>497</v>
      </c>
      <c r="B210" s="1">
        <v>45134</v>
      </c>
      <c r="C210" t="s">
        <v>57</v>
      </c>
      <c r="D210" t="s">
        <v>44</v>
      </c>
      <c r="E210" t="s">
        <v>4084</v>
      </c>
      <c r="F210" t="s">
        <v>60</v>
      </c>
      <c r="G210" t="s">
        <v>29</v>
      </c>
      <c r="H210" t="s">
        <v>27</v>
      </c>
      <c r="I210">
        <v>4</v>
      </c>
      <c r="J210" t="s">
        <v>498</v>
      </c>
      <c r="K210">
        <v>24</v>
      </c>
      <c r="L210" t="s">
        <v>80</v>
      </c>
      <c r="M210">
        <v>3</v>
      </c>
      <c r="N210" t="s">
        <v>64</v>
      </c>
      <c r="O210" t="s">
        <v>49</v>
      </c>
      <c r="P210" t="s">
        <v>35</v>
      </c>
      <c r="Q210" s="2">
        <v>17229.59</v>
      </c>
      <c r="R210" s="2">
        <v>306.60000000000002</v>
      </c>
      <c r="S210" t="s">
        <v>115</v>
      </c>
      <c r="T210" t="s">
        <v>71</v>
      </c>
      <c r="U210" t="s">
        <v>83</v>
      </c>
      <c r="V210">
        <v>3.5</v>
      </c>
      <c r="W210" t="s">
        <v>54</v>
      </c>
      <c r="X210" t="s">
        <v>40</v>
      </c>
      <c r="Y210" t="s">
        <v>41</v>
      </c>
    </row>
    <row r="211" spans="1:25" x14ac:dyDescent="0.3">
      <c r="A211" t="s">
        <v>499</v>
      </c>
      <c r="B211" s="1">
        <v>45135</v>
      </c>
      <c r="C211" t="s">
        <v>26</v>
      </c>
      <c r="D211" t="s">
        <v>26</v>
      </c>
      <c r="E211" t="s">
        <v>4084</v>
      </c>
      <c r="F211" t="s">
        <v>60</v>
      </c>
      <c r="G211" t="s">
        <v>29</v>
      </c>
      <c r="H211" t="s">
        <v>30</v>
      </c>
      <c r="I211">
        <v>9</v>
      </c>
      <c r="J211" t="s">
        <v>500</v>
      </c>
      <c r="K211">
        <v>43</v>
      </c>
      <c r="L211" t="s">
        <v>32</v>
      </c>
      <c r="M211">
        <v>7</v>
      </c>
      <c r="N211" t="s">
        <v>64</v>
      </c>
      <c r="O211" t="s">
        <v>81</v>
      </c>
      <c r="P211" t="s">
        <v>50</v>
      </c>
      <c r="Q211" s="2">
        <v>23061.54</v>
      </c>
      <c r="R211" s="2">
        <v>4025.36</v>
      </c>
      <c r="S211" t="s">
        <v>51</v>
      </c>
      <c r="T211" t="s">
        <v>71</v>
      </c>
      <c r="U211" t="s">
        <v>38</v>
      </c>
      <c r="V211">
        <v>2.7</v>
      </c>
      <c r="W211" t="s">
        <v>76</v>
      </c>
      <c r="X211" t="s">
        <v>65</v>
      </c>
      <c r="Y211" t="s">
        <v>72</v>
      </c>
    </row>
    <row r="212" spans="1:25" x14ac:dyDescent="0.3">
      <c r="A212" t="s">
        <v>501</v>
      </c>
      <c r="B212" s="1">
        <v>45136</v>
      </c>
      <c r="C212" t="s">
        <v>26</v>
      </c>
      <c r="D212" t="s">
        <v>26</v>
      </c>
      <c r="E212" t="s">
        <v>4085</v>
      </c>
      <c r="F212" t="s">
        <v>60</v>
      </c>
      <c r="G212" t="s">
        <v>29</v>
      </c>
      <c r="H212" t="s">
        <v>46</v>
      </c>
      <c r="I212">
        <v>7</v>
      </c>
      <c r="J212" t="s">
        <v>502</v>
      </c>
      <c r="K212">
        <v>57</v>
      </c>
      <c r="L212" t="s">
        <v>63</v>
      </c>
      <c r="M212">
        <v>5</v>
      </c>
      <c r="N212" t="s">
        <v>64</v>
      </c>
      <c r="O212" t="s">
        <v>34</v>
      </c>
      <c r="P212" t="s">
        <v>82</v>
      </c>
      <c r="Q212" s="2">
        <v>6679.34</v>
      </c>
      <c r="R212" s="2">
        <v>1410.04</v>
      </c>
      <c r="S212" t="s">
        <v>94</v>
      </c>
      <c r="T212" t="s">
        <v>52</v>
      </c>
      <c r="U212" t="s">
        <v>53</v>
      </c>
      <c r="V212">
        <v>3</v>
      </c>
      <c r="W212" t="s">
        <v>76</v>
      </c>
      <c r="X212" t="s">
        <v>40</v>
      </c>
      <c r="Y212" t="s">
        <v>72</v>
      </c>
    </row>
    <row r="213" spans="1:25" x14ac:dyDescent="0.3">
      <c r="A213" t="s">
        <v>503</v>
      </c>
      <c r="B213" s="1">
        <v>45137</v>
      </c>
      <c r="C213" t="s">
        <v>57</v>
      </c>
      <c r="D213" t="s">
        <v>44</v>
      </c>
      <c r="E213" t="s">
        <v>120</v>
      </c>
      <c r="F213" t="s">
        <v>28</v>
      </c>
      <c r="G213" t="s">
        <v>29</v>
      </c>
      <c r="H213" t="s">
        <v>86</v>
      </c>
      <c r="I213">
        <v>5</v>
      </c>
      <c r="J213" t="s">
        <v>504</v>
      </c>
      <c r="K213">
        <v>63</v>
      </c>
      <c r="L213" t="s">
        <v>80</v>
      </c>
      <c r="M213">
        <v>2</v>
      </c>
      <c r="N213" t="s">
        <v>64</v>
      </c>
      <c r="O213" t="s">
        <v>81</v>
      </c>
      <c r="P213" t="s">
        <v>35</v>
      </c>
      <c r="Q213" s="2">
        <v>39594.06</v>
      </c>
      <c r="R213" s="2">
        <v>3614.1</v>
      </c>
      <c r="S213" t="s">
        <v>94</v>
      </c>
      <c r="T213" t="s">
        <v>52</v>
      </c>
      <c r="U213" t="s">
        <v>53</v>
      </c>
      <c r="V213">
        <v>4.8</v>
      </c>
      <c r="W213" t="s">
        <v>103</v>
      </c>
      <c r="X213" t="s">
        <v>106</v>
      </c>
      <c r="Y213" t="s">
        <v>41</v>
      </c>
    </row>
    <row r="214" spans="1:25" x14ac:dyDescent="0.3">
      <c r="A214" t="s">
        <v>505</v>
      </c>
      <c r="B214" s="1">
        <v>45138</v>
      </c>
      <c r="C214" t="s">
        <v>26</v>
      </c>
      <c r="D214" t="s">
        <v>26</v>
      </c>
      <c r="E214" t="s">
        <v>120</v>
      </c>
      <c r="F214" t="s">
        <v>28</v>
      </c>
      <c r="G214" t="s">
        <v>29</v>
      </c>
      <c r="H214" t="s">
        <v>86</v>
      </c>
      <c r="I214">
        <v>11</v>
      </c>
      <c r="J214" t="s">
        <v>506</v>
      </c>
      <c r="K214">
        <v>63</v>
      </c>
      <c r="L214" t="s">
        <v>63</v>
      </c>
      <c r="M214">
        <v>1</v>
      </c>
      <c r="N214" t="s">
        <v>64</v>
      </c>
      <c r="O214" t="s">
        <v>49</v>
      </c>
      <c r="P214" t="s">
        <v>70</v>
      </c>
      <c r="Q214" s="2">
        <v>42669.48</v>
      </c>
      <c r="R214" s="2">
        <v>731.13</v>
      </c>
      <c r="S214" t="s">
        <v>51</v>
      </c>
      <c r="T214" t="s">
        <v>37</v>
      </c>
      <c r="U214" t="s">
        <v>75</v>
      </c>
      <c r="V214">
        <v>2.7</v>
      </c>
      <c r="W214" t="s">
        <v>76</v>
      </c>
      <c r="X214" t="s">
        <v>65</v>
      </c>
      <c r="Y214" t="s">
        <v>72</v>
      </c>
    </row>
    <row r="215" spans="1:25" x14ac:dyDescent="0.3">
      <c r="A215" t="s">
        <v>507</v>
      </c>
      <c r="B215" s="1">
        <v>45139</v>
      </c>
      <c r="C215" t="s">
        <v>57</v>
      </c>
      <c r="D215" t="s">
        <v>44</v>
      </c>
      <c r="E215" t="s">
        <v>89</v>
      </c>
      <c r="F215" t="s">
        <v>28</v>
      </c>
      <c r="G215" t="s">
        <v>29</v>
      </c>
      <c r="H215" t="s">
        <v>61</v>
      </c>
      <c r="I215">
        <v>8</v>
      </c>
      <c r="J215" t="s">
        <v>508</v>
      </c>
      <c r="K215">
        <v>28</v>
      </c>
      <c r="L215" t="s">
        <v>32</v>
      </c>
      <c r="M215">
        <v>6</v>
      </c>
      <c r="N215" t="s">
        <v>64</v>
      </c>
      <c r="O215" t="s">
        <v>34</v>
      </c>
      <c r="P215" t="s">
        <v>50</v>
      </c>
      <c r="Q215" s="2">
        <v>13965.65</v>
      </c>
      <c r="R215" s="2">
        <v>1186.4100000000001</v>
      </c>
      <c r="S215" t="s">
        <v>51</v>
      </c>
      <c r="T215" t="s">
        <v>52</v>
      </c>
      <c r="U215" t="s">
        <v>75</v>
      </c>
      <c r="V215">
        <v>4.5</v>
      </c>
      <c r="W215" t="s">
        <v>103</v>
      </c>
      <c r="X215" t="s">
        <v>65</v>
      </c>
      <c r="Y215" t="s">
        <v>72</v>
      </c>
    </row>
    <row r="216" spans="1:25" x14ac:dyDescent="0.3">
      <c r="A216" t="s">
        <v>509</v>
      </c>
      <c r="B216" s="1">
        <v>45140</v>
      </c>
      <c r="C216" t="s">
        <v>78</v>
      </c>
      <c r="D216" t="s">
        <v>58</v>
      </c>
      <c r="E216" t="s">
        <v>89</v>
      </c>
      <c r="F216" t="s">
        <v>28</v>
      </c>
      <c r="G216" t="s">
        <v>29</v>
      </c>
      <c r="H216" t="s">
        <v>61</v>
      </c>
      <c r="I216">
        <v>13</v>
      </c>
      <c r="J216" t="s">
        <v>510</v>
      </c>
      <c r="K216">
        <v>31</v>
      </c>
      <c r="L216" t="s">
        <v>32</v>
      </c>
      <c r="M216">
        <v>3</v>
      </c>
      <c r="N216" t="s">
        <v>33</v>
      </c>
      <c r="O216" t="s">
        <v>49</v>
      </c>
      <c r="P216" t="s">
        <v>70</v>
      </c>
      <c r="Q216" s="2">
        <v>14064.98</v>
      </c>
      <c r="R216" s="2">
        <v>2863.88</v>
      </c>
      <c r="S216" t="s">
        <v>36</v>
      </c>
      <c r="T216" t="s">
        <v>37</v>
      </c>
      <c r="U216" t="s">
        <v>75</v>
      </c>
      <c r="V216">
        <v>3.6</v>
      </c>
      <c r="W216" t="s">
        <v>54</v>
      </c>
      <c r="X216" t="s">
        <v>84</v>
      </c>
      <c r="Y216" t="s">
        <v>72</v>
      </c>
    </row>
    <row r="217" spans="1:25" x14ac:dyDescent="0.3">
      <c r="A217" t="s">
        <v>511</v>
      </c>
      <c r="B217" s="1">
        <v>45141</v>
      </c>
      <c r="C217" t="s">
        <v>57</v>
      </c>
      <c r="D217" t="s">
        <v>44</v>
      </c>
      <c r="E217" t="s">
        <v>4085</v>
      </c>
      <c r="F217" t="s">
        <v>60</v>
      </c>
      <c r="G217" t="s">
        <v>29</v>
      </c>
      <c r="H217" t="s">
        <v>59</v>
      </c>
      <c r="I217">
        <v>3</v>
      </c>
      <c r="J217" t="s">
        <v>512</v>
      </c>
      <c r="K217">
        <v>38</v>
      </c>
      <c r="L217" t="s">
        <v>32</v>
      </c>
      <c r="M217">
        <v>4</v>
      </c>
      <c r="N217" t="s">
        <v>48</v>
      </c>
      <c r="O217" t="s">
        <v>69</v>
      </c>
      <c r="P217" t="s">
        <v>35</v>
      </c>
      <c r="Q217" s="2">
        <v>6891.64</v>
      </c>
      <c r="R217" s="2">
        <v>4943.18</v>
      </c>
      <c r="S217" t="s">
        <v>94</v>
      </c>
      <c r="T217" t="s">
        <v>37</v>
      </c>
      <c r="U217" t="s">
        <v>38</v>
      </c>
      <c r="V217">
        <v>1.5</v>
      </c>
      <c r="W217" t="s">
        <v>124</v>
      </c>
      <c r="X217" t="s">
        <v>84</v>
      </c>
      <c r="Y217" t="s">
        <v>72</v>
      </c>
    </row>
    <row r="218" spans="1:25" x14ac:dyDescent="0.3">
      <c r="A218" t="s">
        <v>513</v>
      </c>
      <c r="B218" s="1">
        <v>45142</v>
      </c>
      <c r="C218" t="s">
        <v>57</v>
      </c>
      <c r="D218" t="s">
        <v>44</v>
      </c>
      <c r="E218" t="s">
        <v>45</v>
      </c>
      <c r="F218" t="s">
        <v>28</v>
      </c>
      <c r="G218" t="s">
        <v>29</v>
      </c>
      <c r="H218" t="s">
        <v>67</v>
      </c>
      <c r="I218">
        <v>7</v>
      </c>
      <c r="J218" t="s">
        <v>514</v>
      </c>
      <c r="K218">
        <v>25</v>
      </c>
      <c r="L218" t="s">
        <v>80</v>
      </c>
      <c r="M218">
        <v>6</v>
      </c>
      <c r="N218" t="s">
        <v>33</v>
      </c>
      <c r="O218" t="s">
        <v>49</v>
      </c>
      <c r="P218" t="s">
        <v>35</v>
      </c>
      <c r="Q218" s="2">
        <v>48667.27</v>
      </c>
      <c r="R218" s="2">
        <v>367.22</v>
      </c>
      <c r="S218" t="s">
        <v>51</v>
      </c>
      <c r="T218" t="s">
        <v>71</v>
      </c>
      <c r="U218" t="s">
        <v>75</v>
      </c>
      <c r="V218">
        <v>4</v>
      </c>
      <c r="W218" t="s">
        <v>54</v>
      </c>
      <c r="X218" t="s">
        <v>40</v>
      </c>
      <c r="Y218" t="s">
        <v>72</v>
      </c>
    </row>
    <row r="219" spans="1:25" x14ac:dyDescent="0.3">
      <c r="A219" t="s">
        <v>515</v>
      </c>
      <c r="B219" s="1">
        <v>45143</v>
      </c>
      <c r="C219" t="s">
        <v>26</v>
      </c>
      <c r="D219" t="s">
        <v>26</v>
      </c>
      <c r="E219" t="s">
        <v>120</v>
      </c>
      <c r="F219" t="s">
        <v>28</v>
      </c>
      <c r="G219" t="s">
        <v>29</v>
      </c>
      <c r="H219" t="s">
        <v>86</v>
      </c>
      <c r="I219">
        <v>9</v>
      </c>
      <c r="J219" t="s">
        <v>516</v>
      </c>
      <c r="K219">
        <v>20</v>
      </c>
      <c r="L219" t="s">
        <v>80</v>
      </c>
      <c r="M219">
        <v>2</v>
      </c>
      <c r="N219" t="s">
        <v>48</v>
      </c>
      <c r="O219" t="s">
        <v>69</v>
      </c>
      <c r="P219" t="s">
        <v>50</v>
      </c>
      <c r="Q219" s="2">
        <v>41323.4</v>
      </c>
      <c r="R219" s="2">
        <v>2002.77</v>
      </c>
      <c r="S219" t="s">
        <v>94</v>
      </c>
      <c r="T219" t="s">
        <v>71</v>
      </c>
      <c r="U219" t="s">
        <v>53</v>
      </c>
      <c r="V219">
        <v>3.1</v>
      </c>
      <c r="W219" t="s">
        <v>39</v>
      </c>
      <c r="X219" t="s">
        <v>40</v>
      </c>
      <c r="Y219" t="s">
        <v>72</v>
      </c>
    </row>
    <row r="220" spans="1:25" x14ac:dyDescent="0.3">
      <c r="A220" t="s">
        <v>517</v>
      </c>
      <c r="B220" s="1">
        <v>45144</v>
      </c>
      <c r="C220" t="s">
        <v>26</v>
      </c>
      <c r="D220" t="s">
        <v>26</v>
      </c>
      <c r="E220" t="s">
        <v>89</v>
      </c>
      <c r="F220" t="s">
        <v>28</v>
      </c>
      <c r="G220" t="s">
        <v>29</v>
      </c>
      <c r="H220" t="s">
        <v>61</v>
      </c>
      <c r="I220">
        <v>6</v>
      </c>
      <c r="J220" t="s">
        <v>518</v>
      </c>
      <c r="K220">
        <v>45</v>
      </c>
      <c r="L220" t="s">
        <v>63</v>
      </c>
      <c r="M220">
        <v>5</v>
      </c>
      <c r="N220" t="s">
        <v>33</v>
      </c>
      <c r="O220" t="s">
        <v>81</v>
      </c>
      <c r="P220" t="s">
        <v>35</v>
      </c>
      <c r="Q220" s="2">
        <v>21231.64</v>
      </c>
      <c r="R220" s="2">
        <v>215.4</v>
      </c>
      <c r="S220" t="s">
        <v>51</v>
      </c>
      <c r="T220" t="s">
        <v>71</v>
      </c>
      <c r="U220" t="s">
        <v>83</v>
      </c>
      <c r="V220">
        <v>1.9</v>
      </c>
      <c r="W220" t="s">
        <v>124</v>
      </c>
      <c r="X220" t="s">
        <v>106</v>
      </c>
      <c r="Y220" t="s">
        <v>72</v>
      </c>
    </row>
    <row r="221" spans="1:25" x14ac:dyDescent="0.3">
      <c r="A221" t="s">
        <v>519</v>
      </c>
      <c r="B221" s="1">
        <v>45145</v>
      </c>
      <c r="C221" t="s">
        <v>117</v>
      </c>
      <c r="D221" t="s">
        <v>4083</v>
      </c>
      <c r="E221" t="s">
        <v>120</v>
      </c>
      <c r="F221" t="s">
        <v>28</v>
      </c>
      <c r="G221" t="s">
        <v>29</v>
      </c>
      <c r="H221" t="s">
        <v>86</v>
      </c>
      <c r="I221">
        <v>10</v>
      </c>
      <c r="J221" t="s">
        <v>520</v>
      </c>
      <c r="K221">
        <v>46</v>
      </c>
      <c r="L221" t="s">
        <v>80</v>
      </c>
      <c r="M221">
        <v>7</v>
      </c>
      <c r="N221" t="s">
        <v>33</v>
      </c>
      <c r="O221" t="s">
        <v>34</v>
      </c>
      <c r="P221" t="s">
        <v>35</v>
      </c>
      <c r="Q221" s="2">
        <v>26685.87</v>
      </c>
      <c r="R221" s="2">
        <v>996.13</v>
      </c>
      <c r="S221" t="s">
        <v>94</v>
      </c>
      <c r="T221" t="s">
        <v>52</v>
      </c>
      <c r="U221" t="s">
        <v>53</v>
      </c>
      <c r="V221">
        <v>2.2000000000000002</v>
      </c>
      <c r="W221" t="s">
        <v>76</v>
      </c>
      <c r="X221" t="s">
        <v>106</v>
      </c>
      <c r="Y221" t="s">
        <v>72</v>
      </c>
    </row>
    <row r="222" spans="1:25" x14ac:dyDescent="0.3">
      <c r="A222" t="s">
        <v>521</v>
      </c>
      <c r="B222" s="1">
        <v>45146</v>
      </c>
      <c r="C222" t="s">
        <v>117</v>
      </c>
      <c r="D222" t="s">
        <v>4083</v>
      </c>
      <c r="E222" t="s">
        <v>4085</v>
      </c>
      <c r="F222" t="s">
        <v>60</v>
      </c>
      <c r="G222" t="s">
        <v>29</v>
      </c>
      <c r="H222" t="s">
        <v>46</v>
      </c>
      <c r="I222">
        <v>12</v>
      </c>
      <c r="J222" t="s">
        <v>522</v>
      </c>
      <c r="K222">
        <v>40</v>
      </c>
      <c r="L222" t="s">
        <v>80</v>
      </c>
      <c r="M222">
        <v>1</v>
      </c>
      <c r="N222" t="s">
        <v>64</v>
      </c>
      <c r="O222" t="s">
        <v>34</v>
      </c>
      <c r="P222" t="s">
        <v>82</v>
      </c>
      <c r="Q222" s="2">
        <v>18138.509999999998</v>
      </c>
      <c r="R222" s="2">
        <v>4537.3599999999997</v>
      </c>
      <c r="S222" t="s">
        <v>51</v>
      </c>
      <c r="T222" t="s">
        <v>52</v>
      </c>
      <c r="U222" t="s">
        <v>53</v>
      </c>
      <c r="V222">
        <v>3.2</v>
      </c>
      <c r="W222" t="s">
        <v>76</v>
      </c>
      <c r="X222" t="s">
        <v>84</v>
      </c>
      <c r="Y222" t="s">
        <v>72</v>
      </c>
    </row>
    <row r="223" spans="1:25" x14ac:dyDescent="0.3">
      <c r="A223" t="s">
        <v>523</v>
      </c>
      <c r="B223" s="1">
        <v>45147</v>
      </c>
      <c r="C223" t="s">
        <v>78</v>
      </c>
      <c r="D223" t="s">
        <v>58</v>
      </c>
      <c r="E223" t="s">
        <v>4085</v>
      </c>
      <c r="F223" t="s">
        <v>60</v>
      </c>
      <c r="G223" t="s">
        <v>29</v>
      </c>
      <c r="H223" t="s">
        <v>46</v>
      </c>
      <c r="I223">
        <v>7</v>
      </c>
      <c r="J223" t="s">
        <v>524</v>
      </c>
      <c r="K223">
        <v>35</v>
      </c>
      <c r="L223" t="s">
        <v>32</v>
      </c>
      <c r="M223">
        <v>5</v>
      </c>
      <c r="N223" t="s">
        <v>64</v>
      </c>
      <c r="O223" t="s">
        <v>81</v>
      </c>
      <c r="P223" t="s">
        <v>70</v>
      </c>
      <c r="Q223" s="2">
        <v>31875.98</v>
      </c>
      <c r="R223" s="2">
        <v>482.3</v>
      </c>
      <c r="S223" t="s">
        <v>94</v>
      </c>
      <c r="T223" t="s">
        <v>71</v>
      </c>
      <c r="U223" t="s">
        <v>53</v>
      </c>
      <c r="V223">
        <v>3.4</v>
      </c>
      <c r="W223" t="s">
        <v>76</v>
      </c>
      <c r="X223" t="s">
        <v>65</v>
      </c>
      <c r="Y223" t="s">
        <v>41</v>
      </c>
    </row>
    <row r="224" spans="1:25" x14ac:dyDescent="0.3">
      <c r="A224" t="s">
        <v>525</v>
      </c>
      <c r="B224" s="1">
        <v>45148</v>
      </c>
      <c r="C224" t="s">
        <v>117</v>
      </c>
      <c r="D224" t="s">
        <v>4083</v>
      </c>
      <c r="E224" t="s">
        <v>45</v>
      </c>
      <c r="F224" t="s">
        <v>28</v>
      </c>
      <c r="G224" t="s">
        <v>29</v>
      </c>
      <c r="H224" t="s">
        <v>67</v>
      </c>
      <c r="I224">
        <v>11</v>
      </c>
      <c r="J224" t="s">
        <v>526</v>
      </c>
      <c r="K224">
        <v>52</v>
      </c>
      <c r="L224" t="s">
        <v>63</v>
      </c>
      <c r="M224">
        <v>4</v>
      </c>
      <c r="N224" t="s">
        <v>48</v>
      </c>
      <c r="O224" t="s">
        <v>69</v>
      </c>
      <c r="P224" t="s">
        <v>82</v>
      </c>
      <c r="Q224" s="2">
        <v>37278.879999999997</v>
      </c>
      <c r="R224" s="2">
        <v>4284.28</v>
      </c>
      <c r="S224" t="s">
        <v>115</v>
      </c>
      <c r="T224" t="s">
        <v>71</v>
      </c>
      <c r="U224" t="s">
        <v>83</v>
      </c>
      <c r="V224">
        <v>4.9000000000000004</v>
      </c>
      <c r="W224" t="s">
        <v>103</v>
      </c>
      <c r="X224" t="s">
        <v>55</v>
      </c>
      <c r="Y224" t="s">
        <v>41</v>
      </c>
    </row>
    <row r="225" spans="1:25" x14ac:dyDescent="0.3">
      <c r="A225" t="s">
        <v>527</v>
      </c>
      <c r="B225" s="1">
        <v>45149</v>
      </c>
      <c r="C225" t="s">
        <v>57</v>
      </c>
      <c r="D225" t="s">
        <v>44</v>
      </c>
      <c r="E225" t="s">
        <v>45</v>
      </c>
      <c r="F225" t="s">
        <v>28</v>
      </c>
      <c r="G225" t="s">
        <v>29</v>
      </c>
      <c r="H225" t="s">
        <v>67</v>
      </c>
      <c r="I225">
        <v>11</v>
      </c>
      <c r="J225" t="s">
        <v>528</v>
      </c>
      <c r="K225">
        <v>30</v>
      </c>
      <c r="L225" t="s">
        <v>32</v>
      </c>
      <c r="M225">
        <v>3</v>
      </c>
      <c r="N225" t="s">
        <v>48</v>
      </c>
      <c r="O225" t="s">
        <v>34</v>
      </c>
      <c r="P225" t="s">
        <v>82</v>
      </c>
      <c r="Q225" s="2">
        <v>25131.58</v>
      </c>
      <c r="R225" s="2">
        <v>889.02</v>
      </c>
      <c r="S225" t="s">
        <v>36</v>
      </c>
      <c r="T225" t="s">
        <v>52</v>
      </c>
      <c r="U225" t="s">
        <v>53</v>
      </c>
      <c r="V225">
        <v>4.4000000000000004</v>
      </c>
      <c r="W225" t="s">
        <v>54</v>
      </c>
      <c r="X225" t="s">
        <v>55</v>
      </c>
      <c r="Y225" t="s">
        <v>72</v>
      </c>
    </row>
    <row r="226" spans="1:25" x14ac:dyDescent="0.3">
      <c r="A226" t="s">
        <v>529</v>
      </c>
      <c r="B226" s="1">
        <v>45150</v>
      </c>
      <c r="C226" t="s">
        <v>26</v>
      </c>
      <c r="D226" t="s">
        <v>26</v>
      </c>
      <c r="E226" t="s">
        <v>4085</v>
      </c>
      <c r="F226" t="s">
        <v>60</v>
      </c>
      <c r="G226" t="s">
        <v>29</v>
      </c>
      <c r="H226" t="s">
        <v>59</v>
      </c>
      <c r="I226">
        <v>11</v>
      </c>
      <c r="J226" t="s">
        <v>530</v>
      </c>
      <c r="K226">
        <v>29</v>
      </c>
      <c r="L226" t="s">
        <v>63</v>
      </c>
      <c r="M226">
        <v>4</v>
      </c>
      <c r="N226" t="s">
        <v>64</v>
      </c>
      <c r="O226" t="s">
        <v>49</v>
      </c>
      <c r="P226" t="s">
        <v>50</v>
      </c>
      <c r="Q226" s="2">
        <v>44311.74</v>
      </c>
      <c r="R226" s="2">
        <v>4308.92</v>
      </c>
      <c r="S226" t="s">
        <v>115</v>
      </c>
      <c r="T226" t="s">
        <v>37</v>
      </c>
      <c r="U226" t="s">
        <v>38</v>
      </c>
      <c r="V226">
        <v>1.8</v>
      </c>
      <c r="W226" t="s">
        <v>124</v>
      </c>
      <c r="X226" t="s">
        <v>40</v>
      </c>
      <c r="Y226" t="s">
        <v>72</v>
      </c>
    </row>
    <row r="227" spans="1:25" x14ac:dyDescent="0.3">
      <c r="A227" t="s">
        <v>531</v>
      </c>
      <c r="B227" s="1">
        <v>45151</v>
      </c>
      <c r="C227" t="s">
        <v>117</v>
      </c>
      <c r="D227" t="s">
        <v>4083</v>
      </c>
      <c r="E227" t="s">
        <v>89</v>
      </c>
      <c r="F227" t="s">
        <v>28</v>
      </c>
      <c r="G227" t="s">
        <v>29</v>
      </c>
      <c r="H227" t="s">
        <v>61</v>
      </c>
      <c r="I227">
        <v>3</v>
      </c>
      <c r="J227" t="s">
        <v>532</v>
      </c>
      <c r="K227">
        <v>64</v>
      </c>
      <c r="L227" t="s">
        <v>63</v>
      </c>
      <c r="M227">
        <v>5</v>
      </c>
      <c r="N227" t="s">
        <v>33</v>
      </c>
      <c r="O227" t="s">
        <v>69</v>
      </c>
      <c r="P227" t="s">
        <v>35</v>
      </c>
      <c r="Q227" s="2">
        <v>28266.16</v>
      </c>
      <c r="R227" s="2">
        <v>2690.11</v>
      </c>
      <c r="S227" t="s">
        <v>36</v>
      </c>
      <c r="T227" t="s">
        <v>37</v>
      </c>
      <c r="U227" t="s">
        <v>38</v>
      </c>
      <c r="V227">
        <v>4.0999999999999996</v>
      </c>
      <c r="W227" t="s">
        <v>39</v>
      </c>
      <c r="X227" t="s">
        <v>55</v>
      </c>
      <c r="Y227" t="s">
        <v>72</v>
      </c>
    </row>
    <row r="228" spans="1:25" x14ac:dyDescent="0.3">
      <c r="A228" t="s">
        <v>533</v>
      </c>
      <c r="B228" s="1">
        <v>45152</v>
      </c>
      <c r="C228" t="s">
        <v>117</v>
      </c>
      <c r="D228" t="s">
        <v>4083</v>
      </c>
      <c r="E228" t="s">
        <v>120</v>
      </c>
      <c r="F228" t="s">
        <v>28</v>
      </c>
      <c r="G228" t="s">
        <v>29</v>
      </c>
      <c r="H228" t="s">
        <v>86</v>
      </c>
      <c r="I228">
        <v>4</v>
      </c>
      <c r="J228" t="s">
        <v>534</v>
      </c>
      <c r="K228">
        <v>67</v>
      </c>
      <c r="L228" t="s">
        <v>80</v>
      </c>
      <c r="M228">
        <v>5</v>
      </c>
      <c r="N228" t="s">
        <v>48</v>
      </c>
      <c r="O228" t="s">
        <v>34</v>
      </c>
      <c r="P228" t="s">
        <v>70</v>
      </c>
      <c r="Q228" s="2">
        <v>11491.4</v>
      </c>
      <c r="R228" s="2">
        <v>4391.03</v>
      </c>
      <c r="S228" t="s">
        <v>36</v>
      </c>
      <c r="T228" t="s">
        <v>71</v>
      </c>
      <c r="U228" t="s">
        <v>83</v>
      </c>
      <c r="V228">
        <v>1</v>
      </c>
      <c r="W228" t="s">
        <v>124</v>
      </c>
      <c r="X228" t="s">
        <v>55</v>
      </c>
      <c r="Y228" t="s">
        <v>72</v>
      </c>
    </row>
    <row r="229" spans="1:25" x14ac:dyDescent="0.3">
      <c r="A229" t="s">
        <v>535</v>
      </c>
      <c r="B229" s="1">
        <v>45153</v>
      </c>
      <c r="C229" t="s">
        <v>78</v>
      </c>
      <c r="D229" t="s">
        <v>58</v>
      </c>
      <c r="E229" t="s">
        <v>4084</v>
      </c>
      <c r="F229" t="s">
        <v>60</v>
      </c>
      <c r="G229" t="s">
        <v>29</v>
      </c>
      <c r="H229" t="s">
        <v>30</v>
      </c>
      <c r="I229">
        <v>5</v>
      </c>
      <c r="J229" t="s">
        <v>536</v>
      </c>
      <c r="K229">
        <v>22</v>
      </c>
      <c r="L229" t="s">
        <v>32</v>
      </c>
      <c r="M229">
        <v>6</v>
      </c>
      <c r="N229" t="s">
        <v>91</v>
      </c>
      <c r="O229" t="s">
        <v>49</v>
      </c>
      <c r="P229" t="s">
        <v>70</v>
      </c>
      <c r="Q229" s="2">
        <v>33003.11</v>
      </c>
      <c r="R229" s="2">
        <v>758.52</v>
      </c>
      <c r="S229" t="s">
        <v>51</v>
      </c>
      <c r="T229" t="s">
        <v>71</v>
      </c>
      <c r="U229" t="s">
        <v>38</v>
      </c>
      <c r="V229">
        <v>1.5</v>
      </c>
      <c r="W229" t="s">
        <v>124</v>
      </c>
      <c r="X229" t="s">
        <v>84</v>
      </c>
      <c r="Y229" t="s">
        <v>41</v>
      </c>
    </row>
    <row r="230" spans="1:25" x14ac:dyDescent="0.3">
      <c r="A230" t="s">
        <v>537</v>
      </c>
      <c r="B230" s="1">
        <v>45154</v>
      </c>
      <c r="C230" t="s">
        <v>78</v>
      </c>
      <c r="D230" t="s">
        <v>58</v>
      </c>
      <c r="E230" t="s">
        <v>45</v>
      </c>
      <c r="F230" t="s">
        <v>28</v>
      </c>
      <c r="G230" t="s">
        <v>29</v>
      </c>
      <c r="H230" t="s">
        <v>67</v>
      </c>
      <c r="I230">
        <v>6</v>
      </c>
      <c r="J230" t="s">
        <v>538</v>
      </c>
      <c r="K230">
        <v>56</v>
      </c>
      <c r="L230" t="s">
        <v>80</v>
      </c>
      <c r="M230">
        <v>4</v>
      </c>
      <c r="N230" t="s">
        <v>91</v>
      </c>
      <c r="O230" t="s">
        <v>49</v>
      </c>
      <c r="P230" t="s">
        <v>70</v>
      </c>
      <c r="Q230" s="2">
        <v>25800.39</v>
      </c>
      <c r="R230" s="2">
        <v>3810.18</v>
      </c>
      <c r="S230" t="s">
        <v>115</v>
      </c>
      <c r="T230" t="s">
        <v>71</v>
      </c>
      <c r="U230" t="s">
        <v>75</v>
      </c>
      <c r="V230">
        <v>1.8</v>
      </c>
      <c r="W230" t="s">
        <v>124</v>
      </c>
      <c r="X230" t="s">
        <v>65</v>
      </c>
      <c r="Y230" t="s">
        <v>72</v>
      </c>
    </row>
    <row r="231" spans="1:25" x14ac:dyDescent="0.3">
      <c r="A231" t="s">
        <v>539</v>
      </c>
      <c r="B231" s="1">
        <v>45155</v>
      </c>
      <c r="C231" t="s">
        <v>57</v>
      </c>
      <c r="D231" t="s">
        <v>44</v>
      </c>
      <c r="E231" t="s">
        <v>4084</v>
      </c>
      <c r="F231" t="s">
        <v>60</v>
      </c>
      <c r="G231" t="s">
        <v>29</v>
      </c>
      <c r="H231" t="s">
        <v>27</v>
      </c>
      <c r="I231">
        <v>12</v>
      </c>
      <c r="J231" t="s">
        <v>540</v>
      </c>
      <c r="K231">
        <v>28</v>
      </c>
      <c r="L231" t="s">
        <v>80</v>
      </c>
      <c r="M231">
        <v>4</v>
      </c>
      <c r="N231" t="s">
        <v>91</v>
      </c>
      <c r="O231" t="s">
        <v>34</v>
      </c>
      <c r="P231" t="s">
        <v>35</v>
      </c>
      <c r="Q231" s="2">
        <v>47105.23</v>
      </c>
      <c r="R231" s="2">
        <v>3403.49</v>
      </c>
      <c r="S231" t="s">
        <v>36</v>
      </c>
      <c r="T231" t="s">
        <v>37</v>
      </c>
      <c r="U231" t="s">
        <v>38</v>
      </c>
      <c r="V231">
        <v>3.4</v>
      </c>
      <c r="W231" t="s">
        <v>76</v>
      </c>
      <c r="X231" t="s">
        <v>106</v>
      </c>
      <c r="Y231" t="s">
        <v>41</v>
      </c>
    </row>
    <row r="232" spans="1:25" x14ac:dyDescent="0.3">
      <c r="A232" t="s">
        <v>541</v>
      </c>
      <c r="B232" s="1">
        <v>45156</v>
      </c>
      <c r="C232" t="s">
        <v>26</v>
      </c>
      <c r="D232" t="s">
        <v>26</v>
      </c>
      <c r="E232" t="s">
        <v>89</v>
      </c>
      <c r="F232" t="s">
        <v>28</v>
      </c>
      <c r="G232" t="s">
        <v>29</v>
      </c>
      <c r="H232" t="s">
        <v>61</v>
      </c>
      <c r="I232">
        <v>11</v>
      </c>
      <c r="J232" t="s">
        <v>542</v>
      </c>
      <c r="K232">
        <v>28</v>
      </c>
      <c r="L232" t="s">
        <v>80</v>
      </c>
      <c r="M232">
        <v>4</v>
      </c>
      <c r="N232" t="s">
        <v>48</v>
      </c>
      <c r="O232" t="s">
        <v>81</v>
      </c>
      <c r="P232" t="s">
        <v>70</v>
      </c>
      <c r="Q232" s="2">
        <v>22635.23</v>
      </c>
      <c r="R232" s="2">
        <v>2714.67</v>
      </c>
      <c r="S232" t="s">
        <v>94</v>
      </c>
      <c r="T232" t="s">
        <v>71</v>
      </c>
      <c r="U232" t="s">
        <v>53</v>
      </c>
      <c r="V232">
        <v>1.8</v>
      </c>
      <c r="W232" t="s">
        <v>124</v>
      </c>
      <c r="X232" t="s">
        <v>84</v>
      </c>
      <c r="Y232" t="s">
        <v>41</v>
      </c>
    </row>
    <row r="233" spans="1:25" x14ac:dyDescent="0.3">
      <c r="A233" t="s">
        <v>543</v>
      </c>
      <c r="B233" s="1">
        <v>45157</v>
      </c>
      <c r="C233" t="s">
        <v>78</v>
      </c>
      <c r="D233" t="s">
        <v>58</v>
      </c>
      <c r="E233" t="s">
        <v>45</v>
      </c>
      <c r="F233" t="s">
        <v>28</v>
      </c>
      <c r="G233" t="s">
        <v>29</v>
      </c>
      <c r="H233" t="s">
        <v>67</v>
      </c>
      <c r="I233">
        <v>12</v>
      </c>
      <c r="J233" t="s">
        <v>544</v>
      </c>
      <c r="K233">
        <v>64</v>
      </c>
      <c r="L233" t="s">
        <v>63</v>
      </c>
      <c r="M233">
        <v>1</v>
      </c>
      <c r="N233" t="s">
        <v>64</v>
      </c>
      <c r="O233" t="s">
        <v>81</v>
      </c>
      <c r="P233" t="s">
        <v>70</v>
      </c>
      <c r="Q233" s="2">
        <v>23128.959999999999</v>
      </c>
      <c r="R233" s="2">
        <v>4052.94</v>
      </c>
      <c r="S233" t="s">
        <v>51</v>
      </c>
      <c r="T233" t="s">
        <v>37</v>
      </c>
      <c r="U233" t="s">
        <v>38</v>
      </c>
      <c r="V233">
        <v>2.5</v>
      </c>
      <c r="W233" t="s">
        <v>76</v>
      </c>
      <c r="X233" t="s">
        <v>106</v>
      </c>
      <c r="Y233" t="s">
        <v>41</v>
      </c>
    </row>
    <row r="234" spans="1:25" x14ac:dyDescent="0.3">
      <c r="A234" t="s">
        <v>545</v>
      </c>
      <c r="B234" s="1">
        <v>45158</v>
      </c>
      <c r="C234" t="s">
        <v>117</v>
      </c>
      <c r="D234" t="s">
        <v>4083</v>
      </c>
      <c r="E234" t="s">
        <v>4084</v>
      </c>
      <c r="F234" t="s">
        <v>60</v>
      </c>
      <c r="G234" t="s">
        <v>29</v>
      </c>
      <c r="H234" t="s">
        <v>27</v>
      </c>
      <c r="I234">
        <v>8</v>
      </c>
      <c r="J234" t="s">
        <v>546</v>
      </c>
      <c r="K234">
        <v>59</v>
      </c>
      <c r="L234" t="s">
        <v>32</v>
      </c>
      <c r="M234">
        <v>7</v>
      </c>
      <c r="N234" t="s">
        <v>64</v>
      </c>
      <c r="O234" t="s">
        <v>34</v>
      </c>
      <c r="P234" t="s">
        <v>35</v>
      </c>
      <c r="Q234" s="2">
        <v>34284.800000000003</v>
      </c>
      <c r="R234" s="2">
        <v>3241.38</v>
      </c>
      <c r="S234" t="s">
        <v>51</v>
      </c>
      <c r="T234" t="s">
        <v>52</v>
      </c>
      <c r="U234" t="s">
        <v>75</v>
      </c>
      <c r="V234">
        <v>2</v>
      </c>
      <c r="W234" t="s">
        <v>76</v>
      </c>
      <c r="X234" t="s">
        <v>84</v>
      </c>
      <c r="Y234" t="s">
        <v>41</v>
      </c>
    </row>
    <row r="235" spans="1:25" x14ac:dyDescent="0.3">
      <c r="A235" t="s">
        <v>547</v>
      </c>
      <c r="B235" s="1">
        <v>45159</v>
      </c>
      <c r="C235" t="s">
        <v>26</v>
      </c>
      <c r="D235" t="s">
        <v>26</v>
      </c>
      <c r="E235" t="s">
        <v>89</v>
      </c>
      <c r="F235" t="s">
        <v>28</v>
      </c>
      <c r="G235" t="s">
        <v>29</v>
      </c>
      <c r="H235" t="s">
        <v>61</v>
      </c>
      <c r="I235">
        <v>3</v>
      </c>
      <c r="J235" t="s">
        <v>548</v>
      </c>
      <c r="K235">
        <v>64</v>
      </c>
      <c r="L235" t="s">
        <v>32</v>
      </c>
      <c r="M235">
        <v>5</v>
      </c>
      <c r="N235" t="s">
        <v>64</v>
      </c>
      <c r="O235" t="s">
        <v>49</v>
      </c>
      <c r="P235" t="s">
        <v>50</v>
      </c>
      <c r="Q235" s="2">
        <v>28714.38</v>
      </c>
      <c r="R235" s="2">
        <v>4385.2299999999996</v>
      </c>
      <c r="S235" t="s">
        <v>94</v>
      </c>
      <c r="T235" t="s">
        <v>52</v>
      </c>
      <c r="U235" t="s">
        <v>75</v>
      </c>
      <c r="V235">
        <v>2.2999999999999998</v>
      </c>
      <c r="W235" t="s">
        <v>76</v>
      </c>
      <c r="X235" t="s">
        <v>84</v>
      </c>
      <c r="Y235" t="s">
        <v>41</v>
      </c>
    </row>
    <row r="236" spans="1:25" x14ac:dyDescent="0.3">
      <c r="A236" t="s">
        <v>549</v>
      </c>
      <c r="B236" s="1">
        <v>45160</v>
      </c>
      <c r="C236" t="s">
        <v>26</v>
      </c>
      <c r="D236" t="s">
        <v>26</v>
      </c>
      <c r="E236" t="s">
        <v>120</v>
      </c>
      <c r="F236" t="s">
        <v>28</v>
      </c>
      <c r="G236" t="s">
        <v>29</v>
      </c>
      <c r="H236" t="s">
        <v>86</v>
      </c>
      <c r="I236">
        <v>14</v>
      </c>
      <c r="J236" t="s">
        <v>550</v>
      </c>
      <c r="K236">
        <v>48</v>
      </c>
      <c r="L236" t="s">
        <v>80</v>
      </c>
      <c r="M236">
        <v>2</v>
      </c>
      <c r="N236" t="s">
        <v>48</v>
      </c>
      <c r="O236" t="s">
        <v>81</v>
      </c>
      <c r="P236" t="s">
        <v>70</v>
      </c>
      <c r="Q236" s="2">
        <v>21850.240000000002</v>
      </c>
      <c r="R236" s="2">
        <v>1905.31</v>
      </c>
      <c r="S236" t="s">
        <v>94</v>
      </c>
      <c r="T236" t="s">
        <v>52</v>
      </c>
      <c r="U236" t="s">
        <v>75</v>
      </c>
      <c r="V236">
        <v>4.8</v>
      </c>
      <c r="W236" t="s">
        <v>103</v>
      </c>
      <c r="X236" t="s">
        <v>55</v>
      </c>
      <c r="Y236" t="s">
        <v>41</v>
      </c>
    </row>
    <row r="237" spans="1:25" x14ac:dyDescent="0.3">
      <c r="A237" t="s">
        <v>551</v>
      </c>
      <c r="B237" s="1">
        <v>45161</v>
      </c>
      <c r="C237" t="s">
        <v>117</v>
      </c>
      <c r="D237" t="s">
        <v>4083</v>
      </c>
      <c r="E237" t="s">
        <v>89</v>
      </c>
      <c r="F237" t="s">
        <v>28</v>
      </c>
      <c r="G237" t="s">
        <v>29</v>
      </c>
      <c r="H237" t="s">
        <v>61</v>
      </c>
      <c r="I237">
        <v>11</v>
      </c>
      <c r="J237" t="s">
        <v>552</v>
      </c>
      <c r="K237">
        <v>48</v>
      </c>
      <c r="L237" t="s">
        <v>63</v>
      </c>
      <c r="M237">
        <v>1</v>
      </c>
      <c r="N237" t="s">
        <v>48</v>
      </c>
      <c r="O237" t="s">
        <v>81</v>
      </c>
      <c r="P237" t="s">
        <v>35</v>
      </c>
      <c r="Q237" s="2">
        <v>49539.85</v>
      </c>
      <c r="R237" s="2">
        <v>2949.62</v>
      </c>
      <c r="S237" t="s">
        <v>36</v>
      </c>
      <c r="T237" t="s">
        <v>71</v>
      </c>
      <c r="U237" t="s">
        <v>53</v>
      </c>
      <c r="V237">
        <v>5</v>
      </c>
      <c r="W237" t="s">
        <v>103</v>
      </c>
      <c r="X237" t="s">
        <v>106</v>
      </c>
      <c r="Y237" t="s">
        <v>72</v>
      </c>
    </row>
    <row r="238" spans="1:25" x14ac:dyDescent="0.3">
      <c r="A238" t="s">
        <v>553</v>
      </c>
      <c r="B238" s="1">
        <v>45162</v>
      </c>
      <c r="C238" t="s">
        <v>78</v>
      </c>
      <c r="D238" t="s">
        <v>58</v>
      </c>
      <c r="E238" t="s">
        <v>45</v>
      </c>
      <c r="F238" t="s">
        <v>28</v>
      </c>
      <c r="G238" t="s">
        <v>29</v>
      </c>
      <c r="H238" t="s">
        <v>67</v>
      </c>
      <c r="I238">
        <v>8</v>
      </c>
      <c r="J238" t="s">
        <v>554</v>
      </c>
      <c r="K238">
        <v>30</v>
      </c>
      <c r="L238" t="s">
        <v>32</v>
      </c>
      <c r="M238">
        <v>1</v>
      </c>
      <c r="N238" t="s">
        <v>91</v>
      </c>
      <c r="O238" t="s">
        <v>81</v>
      </c>
      <c r="P238" t="s">
        <v>82</v>
      </c>
      <c r="Q238" s="2">
        <v>18598.349999999999</v>
      </c>
      <c r="R238" s="2">
        <v>4353</v>
      </c>
      <c r="S238" t="s">
        <v>94</v>
      </c>
      <c r="T238" t="s">
        <v>52</v>
      </c>
      <c r="U238" t="s">
        <v>75</v>
      </c>
      <c r="V238">
        <v>3.7</v>
      </c>
      <c r="W238" t="s">
        <v>54</v>
      </c>
      <c r="X238" t="s">
        <v>84</v>
      </c>
      <c r="Y238" t="s">
        <v>72</v>
      </c>
    </row>
    <row r="239" spans="1:25" x14ac:dyDescent="0.3">
      <c r="A239" t="s">
        <v>555</v>
      </c>
      <c r="B239" s="1">
        <v>45163</v>
      </c>
      <c r="C239" t="s">
        <v>117</v>
      </c>
      <c r="D239" t="s">
        <v>4083</v>
      </c>
      <c r="E239" t="s">
        <v>4085</v>
      </c>
      <c r="F239" t="s">
        <v>60</v>
      </c>
      <c r="G239" t="s">
        <v>29</v>
      </c>
      <c r="H239" t="s">
        <v>46</v>
      </c>
      <c r="I239">
        <v>6</v>
      </c>
      <c r="J239" t="s">
        <v>556</v>
      </c>
      <c r="K239">
        <v>31</v>
      </c>
      <c r="L239" t="s">
        <v>32</v>
      </c>
      <c r="M239">
        <v>1</v>
      </c>
      <c r="N239" t="s">
        <v>48</v>
      </c>
      <c r="O239" t="s">
        <v>69</v>
      </c>
      <c r="P239" t="s">
        <v>35</v>
      </c>
      <c r="Q239" s="2">
        <v>17488.8</v>
      </c>
      <c r="R239" s="2">
        <v>1074.07</v>
      </c>
      <c r="S239" t="s">
        <v>51</v>
      </c>
      <c r="T239" t="s">
        <v>37</v>
      </c>
      <c r="U239" t="s">
        <v>53</v>
      </c>
      <c r="V239">
        <v>3.3</v>
      </c>
      <c r="W239" t="s">
        <v>39</v>
      </c>
      <c r="X239" t="s">
        <v>55</v>
      </c>
      <c r="Y239" t="s">
        <v>41</v>
      </c>
    </row>
    <row r="240" spans="1:25" x14ac:dyDescent="0.3">
      <c r="A240" t="s">
        <v>557</v>
      </c>
      <c r="B240" s="1">
        <v>45164</v>
      </c>
      <c r="C240" t="s">
        <v>26</v>
      </c>
      <c r="D240" t="s">
        <v>26</v>
      </c>
      <c r="E240" t="s">
        <v>120</v>
      </c>
      <c r="F240" t="s">
        <v>28</v>
      </c>
      <c r="G240" t="s">
        <v>29</v>
      </c>
      <c r="H240" t="s">
        <v>86</v>
      </c>
      <c r="I240">
        <v>6</v>
      </c>
      <c r="J240" t="s">
        <v>558</v>
      </c>
      <c r="K240">
        <v>66</v>
      </c>
      <c r="L240" t="s">
        <v>80</v>
      </c>
      <c r="M240">
        <v>6</v>
      </c>
      <c r="N240" t="s">
        <v>91</v>
      </c>
      <c r="O240" t="s">
        <v>81</v>
      </c>
      <c r="P240" t="s">
        <v>82</v>
      </c>
      <c r="Q240" s="2">
        <v>43899.24</v>
      </c>
      <c r="R240" s="2">
        <v>2428.71</v>
      </c>
      <c r="S240" t="s">
        <v>94</v>
      </c>
      <c r="T240" t="s">
        <v>37</v>
      </c>
      <c r="U240" t="s">
        <v>75</v>
      </c>
      <c r="V240">
        <v>3.8</v>
      </c>
      <c r="W240" t="s">
        <v>54</v>
      </c>
      <c r="X240" t="s">
        <v>40</v>
      </c>
      <c r="Y240" t="s">
        <v>72</v>
      </c>
    </row>
    <row r="241" spans="1:25" x14ac:dyDescent="0.3">
      <c r="A241" t="s">
        <v>559</v>
      </c>
      <c r="B241" s="1">
        <v>45165</v>
      </c>
      <c r="C241" t="s">
        <v>43</v>
      </c>
      <c r="D241" t="s">
        <v>58</v>
      </c>
      <c r="E241" t="s">
        <v>4084</v>
      </c>
      <c r="F241" t="s">
        <v>60</v>
      </c>
      <c r="G241" t="s">
        <v>29</v>
      </c>
      <c r="H241" t="s">
        <v>27</v>
      </c>
      <c r="I241">
        <v>5</v>
      </c>
      <c r="J241" t="s">
        <v>560</v>
      </c>
      <c r="K241">
        <v>62</v>
      </c>
      <c r="L241" t="s">
        <v>63</v>
      </c>
      <c r="M241">
        <v>7</v>
      </c>
      <c r="N241" t="s">
        <v>91</v>
      </c>
      <c r="O241" t="s">
        <v>34</v>
      </c>
      <c r="P241" t="s">
        <v>35</v>
      </c>
      <c r="Q241" s="2">
        <v>5151.78</v>
      </c>
      <c r="R241" s="2">
        <v>4803.71</v>
      </c>
      <c r="S241" t="s">
        <v>115</v>
      </c>
      <c r="T241" t="s">
        <v>37</v>
      </c>
      <c r="U241" t="s">
        <v>53</v>
      </c>
      <c r="V241">
        <v>4.0999999999999996</v>
      </c>
      <c r="W241" t="s">
        <v>54</v>
      </c>
      <c r="X241" t="s">
        <v>106</v>
      </c>
      <c r="Y241" t="s">
        <v>41</v>
      </c>
    </row>
    <row r="242" spans="1:25" x14ac:dyDescent="0.3">
      <c r="A242" t="s">
        <v>561</v>
      </c>
      <c r="B242" s="1">
        <v>45166</v>
      </c>
      <c r="C242" t="s">
        <v>43</v>
      </c>
      <c r="D242" t="s">
        <v>58</v>
      </c>
      <c r="E242" t="s">
        <v>45</v>
      </c>
      <c r="F242" t="s">
        <v>28</v>
      </c>
      <c r="G242" t="s">
        <v>29</v>
      </c>
      <c r="H242" t="s">
        <v>67</v>
      </c>
      <c r="I242">
        <v>9</v>
      </c>
      <c r="J242" t="s">
        <v>562</v>
      </c>
      <c r="K242">
        <v>59</v>
      </c>
      <c r="L242" t="s">
        <v>80</v>
      </c>
      <c r="M242">
        <v>7</v>
      </c>
      <c r="N242" t="s">
        <v>64</v>
      </c>
      <c r="O242" t="s">
        <v>34</v>
      </c>
      <c r="P242" t="s">
        <v>70</v>
      </c>
      <c r="Q242" s="2">
        <v>14056.39</v>
      </c>
      <c r="R242" s="2">
        <v>2368.0100000000002</v>
      </c>
      <c r="S242" t="s">
        <v>51</v>
      </c>
      <c r="T242" t="s">
        <v>71</v>
      </c>
      <c r="U242" t="s">
        <v>53</v>
      </c>
      <c r="V242">
        <v>4</v>
      </c>
      <c r="W242" t="s">
        <v>54</v>
      </c>
      <c r="X242" t="s">
        <v>84</v>
      </c>
      <c r="Y242" t="s">
        <v>72</v>
      </c>
    </row>
    <row r="243" spans="1:25" x14ac:dyDescent="0.3">
      <c r="A243" t="s">
        <v>563</v>
      </c>
      <c r="B243" s="1">
        <v>45167</v>
      </c>
      <c r="C243" t="s">
        <v>57</v>
      </c>
      <c r="D243" t="s">
        <v>44</v>
      </c>
      <c r="E243" t="s">
        <v>4085</v>
      </c>
      <c r="F243" t="s">
        <v>60</v>
      </c>
      <c r="G243" t="s">
        <v>29</v>
      </c>
      <c r="H243" t="s">
        <v>59</v>
      </c>
      <c r="I243">
        <v>5</v>
      </c>
      <c r="J243" t="s">
        <v>564</v>
      </c>
      <c r="K243">
        <v>42</v>
      </c>
      <c r="L243" t="s">
        <v>32</v>
      </c>
      <c r="M243">
        <v>2</v>
      </c>
      <c r="N243" t="s">
        <v>48</v>
      </c>
      <c r="O243" t="s">
        <v>69</v>
      </c>
      <c r="P243" t="s">
        <v>50</v>
      </c>
      <c r="Q243" s="2">
        <v>31570.1</v>
      </c>
      <c r="R243" s="2">
        <v>1264.1500000000001</v>
      </c>
      <c r="S243" t="s">
        <v>94</v>
      </c>
      <c r="T243" t="s">
        <v>71</v>
      </c>
      <c r="U243" t="s">
        <v>53</v>
      </c>
      <c r="V243">
        <v>1.3</v>
      </c>
      <c r="W243" t="s">
        <v>124</v>
      </c>
      <c r="X243" t="s">
        <v>40</v>
      </c>
      <c r="Y243" t="s">
        <v>41</v>
      </c>
    </row>
    <row r="244" spans="1:25" x14ac:dyDescent="0.3">
      <c r="A244" t="s">
        <v>565</v>
      </c>
      <c r="B244" s="1">
        <v>45168</v>
      </c>
      <c r="C244" t="s">
        <v>117</v>
      </c>
      <c r="D244" t="s">
        <v>4083</v>
      </c>
      <c r="E244" t="s">
        <v>89</v>
      </c>
      <c r="F244" t="s">
        <v>28</v>
      </c>
      <c r="G244" t="s">
        <v>29</v>
      </c>
      <c r="H244" t="s">
        <v>61</v>
      </c>
      <c r="I244">
        <v>4</v>
      </c>
      <c r="J244" t="s">
        <v>566</v>
      </c>
      <c r="K244">
        <v>50</v>
      </c>
      <c r="L244" t="s">
        <v>63</v>
      </c>
      <c r="M244">
        <v>4</v>
      </c>
      <c r="N244" t="s">
        <v>64</v>
      </c>
      <c r="O244" t="s">
        <v>69</v>
      </c>
      <c r="P244" t="s">
        <v>50</v>
      </c>
      <c r="Q244" s="2">
        <v>12310.27</v>
      </c>
      <c r="R244" s="2">
        <v>1755.38</v>
      </c>
      <c r="S244" t="s">
        <v>51</v>
      </c>
      <c r="T244" t="s">
        <v>37</v>
      </c>
      <c r="U244" t="s">
        <v>38</v>
      </c>
      <c r="V244">
        <v>2.2000000000000002</v>
      </c>
      <c r="W244" t="s">
        <v>76</v>
      </c>
      <c r="X244" t="s">
        <v>55</v>
      </c>
      <c r="Y244" t="s">
        <v>41</v>
      </c>
    </row>
    <row r="245" spans="1:25" x14ac:dyDescent="0.3">
      <c r="A245" t="s">
        <v>567</v>
      </c>
      <c r="B245" s="1">
        <v>45169</v>
      </c>
      <c r="C245" t="s">
        <v>117</v>
      </c>
      <c r="D245" t="s">
        <v>4083</v>
      </c>
      <c r="E245" t="s">
        <v>4085</v>
      </c>
      <c r="F245" t="s">
        <v>60</v>
      </c>
      <c r="G245" t="s">
        <v>29</v>
      </c>
      <c r="H245" t="s">
        <v>59</v>
      </c>
      <c r="I245">
        <v>12</v>
      </c>
      <c r="J245" t="s">
        <v>568</v>
      </c>
      <c r="K245">
        <v>50</v>
      </c>
      <c r="L245" t="s">
        <v>80</v>
      </c>
      <c r="M245">
        <v>6</v>
      </c>
      <c r="N245" t="s">
        <v>64</v>
      </c>
      <c r="O245" t="s">
        <v>34</v>
      </c>
      <c r="P245" t="s">
        <v>70</v>
      </c>
      <c r="Q245" s="2">
        <v>49361.18</v>
      </c>
      <c r="R245" s="2">
        <v>4425.42</v>
      </c>
      <c r="S245" t="s">
        <v>36</v>
      </c>
      <c r="T245" t="s">
        <v>37</v>
      </c>
      <c r="U245" t="s">
        <v>75</v>
      </c>
      <c r="V245">
        <v>2.4</v>
      </c>
      <c r="W245" t="s">
        <v>76</v>
      </c>
      <c r="X245" t="s">
        <v>84</v>
      </c>
      <c r="Y245" t="s">
        <v>72</v>
      </c>
    </row>
    <row r="246" spans="1:25" x14ac:dyDescent="0.3">
      <c r="A246" t="s">
        <v>569</v>
      </c>
      <c r="B246" s="1">
        <v>45170</v>
      </c>
      <c r="C246" t="s">
        <v>57</v>
      </c>
      <c r="D246" t="s">
        <v>44</v>
      </c>
      <c r="E246" t="s">
        <v>45</v>
      </c>
      <c r="F246" t="s">
        <v>28</v>
      </c>
      <c r="G246" t="s">
        <v>29</v>
      </c>
      <c r="H246" t="s">
        <v>67</v>
      </c>
      <c r="I246">
        <v>10</v>
      </c>
      <c r="J246" t="s">
        <v>570</v>
      </c>
      <c r="K246">
        <v>32</v>
      </c>
      <c r="L246" t="s">
        <v>32</v>
      </c>
      <c r="M246">
        <v>5</v>
      </c>
      <c r="N246" t="s">
        <v>48</v>
      </c>
      <c r="O246" t="s">
        <v>69</v>
      </c>
      <c r="P246" t="s">
        <v>82</v>
      </c>
      <c r="Q246" s="2">
        <v>25888.799999999999</v>
      </c>
      <c r="R246" s="2">
        <v>4774.42</v>
      </c>
      <c r="S246" t="s">
        <v>115</v>
      </c>
      <c r="T246" t="s">
        <v>37</v>
      </c>
      <c r="U246" t="s">
        <v>53</v>
      </c>
      <c r="V246">
        <v>2.5</v>
      </c>
      <c r="W246" t="s">
        <v>76</v>
      </c>
      <c r="X246" t="s">
        <v>55</v>
      </c>
      <c r="Y246" t="s">
        <v>41</v>
      </c>
    </row>
    <row r="247" spans="1:25" x14ac:dyDescent="0.3">
      <c r="A247" t="s">
        <v>571</v>
      </c>
      <c r="B247" s="1">
        <v>45171</v>
      </c>
      <c r="C247" t="s">
        <v>57</v>
      </c>
      <c r="D247" t="s">
        <v>44</v>
      </c>
      <c r="E247" t="s">
        <v>45</v>
      </c>
      <c r="F247" t="s">
        <v>28</v>
      </c>
      <c r="G247" t="s">
        <v>29</v>
      </c>
      <c r="H247" t="s">
        <v>67</v>
      </c>
      <c r="I247">
        <v>6</v>
      </c>
      <c r="J247" t="s">
        <v>572</v>
      </c>
      <c r="K247">
        <v>33</v>
      </c>
      <c r="L247" t="s">
        <v>80</v>
      </c>
      <c r="M247">
        <v>3</v>
      </c>
      <c r="N247" t="s">
        <v>48</v>
      </c>
      <c r="O247" t="s">
        <v>81</v>
      </c>
      <c r="P247" t="s">
        <v>35</v>
      </c>
      <c r="Q247" s="2">
        <v>31881.38</v>
      </c>
      <c r="R247" s="2">
        <v>4750.54</v>
      </c>
      <c r="S247" t="s">
        <v>36</v>
      </c>
      <c r="T247" t="s">
        <v>37</v>
      </c>
      <c r="U247" t="s">
        <v>75</v>
      </c>
      <c r="V247">
        <v>2.4</v>
      </c>
      <c r="W247" t="s">
        <v>76</v>
      </c>
      <c r="X247" t="s">
        <v>55</v>
      </c>
      <c r="Y247" t="s">
        <v>72</v>
      </c>
    </row>
    <row r="248" spans="1:25" x14ac:dyDescent="0.3">
      <c r="A248" t="s">
        <v>573</v>
      </c>
      <c r="B248" s="1">
        <v>45172</v>
      </c>
      <c r="C248" t="s">
        <v>57</v>
      </c>
      <c r="D248" t="s">
        <v>44</v>
      </c>
      <c r="E248" t="s">
        <v>4085</v>
      </c>
      <c r="F248" t="s">
        <v>60</v>
      </c>
      <c r="G248" t="s">
        <v>29</v>
      </c>
      <c r="H248" t="s">
        <v>59</v>
      </c>
      <c r="I248">
        <v>10</v>
      </c>
      <c r="J248" t="s">
        <v>574</v>
      </c>
      <c r="K248">
        <v>61</v>
      </c>
      <c r="L248" t="s">
        <v>80</v>
      </c>
      <c r="M248">
        <v>6</v>
      </c>
      <c r="N248" t="s">
        <v>33</v>
      </c>
      <c r="O248" t="s">
        <v>49</v>
      </c>
      <c r="P248" t="s">
        <v>70</v>
      </c>
      <c r="Q248" s="2">
        <v>12216.81</v>
      </c>
      <c r="R248" s="2">
        <v>3494.71</v>
      </c>
      <c r="S248" t="s">
        <v>115</v>
      </c>
      <c r="T248" t="s">
        <v>52</v>
      </c>
      <c r="U248" t="s">
        <v>38</v>
      </c>
      <c r="V248">
        <v>4.0999999999999996</v>
      </c>
      <c r="W248" t="s">
        <v>54</v>
      </c>
      <c r="X248" t="s">
        <v>55</v>
      </c>
      <c r="Y248" t="s">
        <v>41</v>
      </c>
    </row>
    <row r="249" spans="1:25" x14ac:dyDescent="0.3">
      <c r="A249" t="s">
        <v>575</v>
      </c>
      <c r="B249" s="1">
        <v>45173</v>
      </c>
      <c r="C249" t="s">
        <v>26</v>
      </c>
      <c r="D249" t="s">
        <v>26</v>
      </c>
      <c r="E249" t="s">
        <v>89</v>
      </c>
      <c r="F249" t="s">
        <v>28</v>
      </c>
      <c r="G249" t="s">
        <v>29</v>
      </c>
      <c r="H249" t="s">
        <v>61</v>
      </c>
      <c r="I249">
        <v>3</v>
      </c>
      <c r="J249" t="s">
        <v>576</v>
      </c>
      <c r="K249">
        <v>55</v>
      </c>
      <c r="L249" t="s">
        <v>80</v>
      </c>
      <c r="M249">
        <v>3</v>
      </c>
      <c r="N249" t="s">
        <v>91</v>
      </c>
      <c r="O249" t="s">
        <v>49</v>
      </c>
      <c r="P249" t="s">
        <v>35</v>
      </c>
      <c r="Q249" s="2">
        <v>18022.009999999998</v>
      </c>
      <c r="R249" s="2">
        <v>2548.0100000000002</v>
      </c>
      <c r="S249" t="s">
        <v>94</v>
      </c>
      <c r="T249" t="s">
        <v>37</v>
      </c>
      <c r="U249" t="s">
        <v>83</v>
      </c>
      <c r="V249">
        <v>4</v>
      </c>
      <c r="W249" t="s">
        <v>54</v>
      </c>
      <c r="X249" t="s">
        <v>106</v>
      </c>
      <c r="Y249" t="s">
        <v>72</v>
      </c>
    </row>
    <row r="250" spans="1:25" x14ac:dyDescent="0.3">
      <c r="A250" t="s">
        <v>577</v>
      </c>
      <c r="B250" s="1">
        <v>45174</v>
      </c>
      <c r="C250" t="s">
        <v>117</v>
      </c>
      <c r="D250" t="s">
        <v>4083</v>
      </c>
      <c r="E250" t="s">
        <v>4085</v>
      </c>
      <c r="F250" t="s">
        <v>60</v>
      </c>
      <c r="G250" t="s">
        <v>29</v>
      </c>
      <c r="H250" t="s">
        <v>59</v>
      </c>
      <c r="I250">
        <v>7</v>
      </c>
      <c r="J250" t="s">
        <v>578</v>
      </c>
      <c r="K250">
        <v>23</v>
      </c>
      <c r="L250" t="s">
        <v>63</v>
      </c>
      <c r="M250">
        <v>5</v>
      </c>
      <c r="N250" t="s">
        <v>33</v>
      </c>
      <c r="O250" t="s">
        <v>49</v>
      </c>
      <c r="P250" t="s">
        <v>70</v>
      </c>
      <c r="Q250" s="2">
        <v>32658.12</v>
      </c>
      <c r="R250" s="2">
        <v>913.44</v>
      </c>
      <c r="S250" t="s">
        <v>51</v>
      </c>
      <c r="T250" t="s">
        <v>71</v>
      </c>
      <c r="U250" t="s">
        <v>75</v>
      </c>
      <c r="V250">
        <v>1</v>
      </c>
      <c r="W250" t="s">
        <v>124</v>
      </c>
      <c r="X250" t="s">
        <v>40</v>
      </c>
      <c r="Y250" t="s">
        <v>72</v>
      </c>
    </row>
    <row r="251" spans="1:25" x14ac:dyDescent="0.3">
      <c r="A251" t="s">
        <v>579</v>
      </c>
      <c r="B251" s="1">
        <v>45175</v>
      </c>
      <c r="C251" t="s">
        <v>26</v>
      </c>
      <c r="D251" t="s">
        <v>26</v>
      </c>
      <c r="E251" t="s">
        <v>45</v>
      </c>
      <c r="F251" t="s">
        <v>28</v>
      </c>
      <c r="G251" t="s">
        <v>29</v>
      </c>
      <c r="H251" t="s">
        <v>67</v>
      </c>
      <c r="I251">
        <v>11</v>
      </c>
      <c r="J251" t="s">
        <v>580</v>
      </c>
      <c r="K251">
        <v>61</v>
      </c>
      <c r="L251" t="s">
        <v>32</v>
      </c>
      <c r="M251">
        <v>2</v>
      </c>
      <c r="N251" t="s">
        <v>91</v>
      </c>
      <c r="O251" t="s">
        <v>34</v>
      </c>
      <c r="P251" t="s">
        <v>70</v>
      </c>
      <c r="Q251" s="2">
        <v>29729.9</v>
      </c>
      <c r="R251" s="2">
        <v>616.11</v>
      </c>
      <c r="S251" t="s">
        <v>94</v>
      </c>
      <c r="T251" t="s">
        <v>71</v>
      </c>
      <c r="U251" t="s">
        <v>75</v>
      </c>
      <c r="V251">
        <v>2.2000000000000002</v>
      </c>
      <c r="W251" t="s">
        <v>76</v>
      </c>
      <c r="X251" t="s">
        <v>40</v>
      </c>
      <c r="Y251" t="s">
        <v>72</v>
      </c>
    </row>
    <row r="252" spans="1:25" x14ac:dyDescent="0.3">
      <c r="A252" t="s">
        <v>581</v>
      </c>
      <c r="B252" s="1">
        <v>45176</v>
      </c>
      <c r="C252" t="s">
        <v>57</v>
      </c>
      <c r="D252" t="s">
        <v>44</v>
      </c>
      <c r="E252" t="s">
        <v>45</v>
      </c>
      <c r="F252" t="s">
        <v>28</v>
      </c>
      <c r="G252" t="s">
        <v>29</v>
      </c>
      <c r="H252" t="s">
        <v>67</v>
      </c>
      <c r="I252">
        <v>3</v>
      </c>
      <c r="J252" t="s">
        <v>582</v>
      </c>
      <c r="K252">
        <v>42</v>
      </c>
      <c r="L252" t="s">
        <v>32</v>
      </c>
      <c r="M252">
        <v>7</v>
      </c>
      <c r="N252" t="s">
        <v>91</v>
      </c>
      <c r="O252" t="s">
        <v>69</v>
      </c>
      <c r="P252" t="s">
        <v>35</v>
      </c>
      <c r="Q252" s="2">
        <v>40296.379999999997</v>
      </c>
      <c r="R252" s="2">
        <v>298.83</v>
      </c>
      <c r="S252" t="s">
        <v>36</v>
      </c>
      <c r="T252" t="s">
        <v>71</v>
      </c>
      <c r="U252" t="s">
        <v>38</v>
      </c>
      <c r="V252">
        <v>3.5</v>
      </c>
      <c r="W252" t="s">
        <v>54</v>
      </c>
      <c r="X252" t="s">
        <v>65</v>
      </c>
      <c r="Y252" t="s">
        <v>72</v>
      </c>
    </row>
    <row r="253" spans="1:25" x14ac:dyDescent="0.3">
      <c r="A253" t="s">
        <v>583</v>
      </c>
      <c r="B253" s="1">
        <v>45177</v>
      </c>
      <c r="C253" t="s">
        <v>117</v>
      </c>
      <c r="D253" t="s">
        <v>4083</v>
      </c>
      <c r="E253" t="s">
        <v>4084</v>
      </c>
      <c r="F253" t="s">
        <v>60</v>
      </c>
      <c r="G253" t="s">
        <v>29</v>
      </c>
      <c r="H253" t="s">
        <v>30</v>
      </c>
      <c r="I253">
        <v>13</v>
      </c>
      <c r="J253" t="s">
        <v>584</v>
      </c>
      <c r="K253">
        <v>32</v>
      </c>
      <c r="L253" t="s">
        <v>32</v>
      </c>
      <c r="M253">
        <v>3</v>
      </c>
      <c r="N253" t="s">
        <v>91</v>
      </c>
      <c r="O253" t="s">
        <v>49</v>
      </c>
      <c r="P253" t="s">
        <v>50</v>
      </c>
      <c r="Q253" s="2">
        <v>17115.490000000002</v>
      </c>
      <c r="R253" s="2">
        <v>88.57</v>
      </c>
      <c r="S253" t="s">
        <v>51</v>
      </c>
      <c r="T253" t="s">
        <v>71</v>
      </c>
      <c r="U253" t="s">
        <v>53</v>
      </c>
      <c r="V253">
        <v>1.5</v>
      </c>
      <c r="W253" t="s">
        <v>124</v>
      </c>
      <c r="X253" t="s">
        <v>84</v>
      </c>
      <c r="Y253" t="s">
        <v>72</v>
      </c>
    </row>
    <row r="254" spans="1:25" x14ac:dyDescent="0.3">
      <c r="A254" t="s">
        <v>585</v>
      </c>
      <c r="B254" s="1">
        <v>45178</v>
      </c>
      <c r="C254" t="s">
        <v>26</v>
      </c>
      <c r="D254" t="s">
        <v>26</v>
      </c>
      <c r="E254" t="s">
        <v>4084</v>
      </c>
      <c r="F254" t="s">
        <v>60</v>
      </c>
      <c r="G254" t="s">
        <v>29</v>
      </c>
      <c r="H254" t="s">
        <v>27</v>
      </c>
      <c r="I254">
        <v>6</v>
      </c>
      <c r="J254" t="s">
        <v>586</v>
      </c>
      <c r="K254">
        <v>21</v>
      </c>
      <c r="L254" t="s">
        <v>32</v>
      </c>
      <c r="M254">
        <v>1</v>
      </c>
      <c r="N254" t="s">
        <v>64</v>
      </c>
      <c r="O254" t="s">
        <v>81</v>
      </c>
      <c r="P254" t="s">
        <v>50</v>
      </c>
      <c r="Q254" s="2">
        <v>34409.4</v>
      </c>
      <c r="R254" s="2">
        <v>4390.58</v>
      </c>
      <c r="S254" t="s">
        <v>94</v>
      </c>
      <c r="T254" t="s">
        <v>71</v>
      </c>
      <c r="U254" t="s">
        <v>75</v>
      </c>
      <c r="V254">
        <v>1.3</v>
      </c>
      <c r="W254" t="s">
        <v>124</v>
      </c>
      <c r="X254" t="s">
        <v>55</v>
      </c>
      <c r="Y254" t="s">
        <v>41</v>
      </c>
    </row>
    <row r="255" spans="1:25" x14ac:dyDescent="0.3">
      <c r="A255" t="s">
        <v>587</v>
      </c>
      <c r="B255" s="1">
        <v>45179</v>
      </c>
      <c r="C255" t="s">
        <v>26</v>
      </c>
      <c r="D255" t="s">
        <v>26</v>
      </c>
      <c r="E255" t="s">
        <v>120</v>
      </c>
      <c r="F255" t="s">
        <v>28</v>
      </c>
      <c r="G255" t="s">
        <v>29</v>
      </c>
      <c r="H255" t="s">
        <v>86</v>
      </c>
      <c r="I255">
        <v>8</v>
      </c>
      <c r="J255" t="s">
        <v>588</v>
      </c>
      <c r="K255">
        <v>21</v>
      </c>
      <c r="L255" t="s">
        <v>63</v>
      </c>
      <c r="M255">
        <v>6</v>
      </c>
      <c r="N255" t="s">
        <v>64</v>
      </c>
      <c r="O255" t="s">
        <v>81</v>
      </c>
      <c r="P255" t="s">
        <v>82</v>
      </c>
      <c r="Q255" s="2">
        <v>18093.900000000001</v>
      </c>
      <c r="R255" s="2">
        <v>4045.43</v>
      </c>
      <c r="S255" t="s">
        <v>94</v>
      </c>
      <c r="T255" t="s">
        <v>37</v>
      </c>
      <c r="U255" t="s">
        <v>83</v>
      </c>
      <c r="V255">
        <v>4.3</v>
      </c>
      <c r="W255" t="s">
        <v>54</v>
      </c>
      <c r="X255" t="s">
        <v>84</v>
      </c>
      <c r="Y255" t="s">
        <v>41</v>
      </c>
    </row>
    <row r="256" spans="1:25" x14ac:dyDescent="0.3">
      <c r="A256" t="s">
        <v>589</v>
      </c>
      <c r="B256" s="1">
        <v>45180</v>
      </c>
      <c r="C256" t="s">
        <v>57</v>
      </c>
      <c r="D256" t="s">
        <v>44</v>
      </c>
      <c r="E256" t="s">
        <v>45</v>
      </c>
      <c r="F256" t="s">
        <v>28</v>
      </c>
      <c r="G256" t="s">
        <v>29</v>
      </c>
      <c r="H256" t="s">
        <v>67</v>
      </c>
      <c r="I256">
        <v>12</v>
      </c>
      <c r="J256" t="s">
        <v>590</v>
      </c>
      <c r="K256">
        <v>47</v>
      </c>
      <c r="L256" t="s">
        <v>80</v>
      </c>
      <c r="M256">
        <v>3</v>
      </c>
      <c r="N256" t="s">
        <v>48</v>
      </c>
      <c r="O256" t="s">
        <v>81</v>
      </c>
      <c r="P256" t="s">
        <v>35</v>
      </c>
      <c r="Q256" s="2">
        <v>31403.87</v>
      </c>
      <c r="R256" s="2">
        <v>2839.11</v>
      </c>
      <c r="S256" t="s">
        <v>51</v>
      </c>
      <c r="T256" t="s">
        <v>37</v>
      </c>
      <c r="U256" t="s">
        <v>38</v>
      </c>
      <c r="V256">
        <v>2.8</v>
      </c>
      <c r="W256" t="s">
        <v>76</v>
      </c>
      <c r="X256" t="s">
        <v>40</v>
      </c>
      <c r="Y256" t="s">
        <v>72</v>
      </c>
    </row>
    <row r="257" spans="1:25" x14ac:dyDescent="0.3">
      <c r="A257" t="s">
        <v>591</v>
      </c>
      <c r="B257" s="1">
        <v>45181</v>
      </c>
      <c r="C257" t="s">
        <v>117</v>
      </c>
      <c r="D257" t="s">
        <v>4083</v>
      </c>
      <c r="E257" t="s">
        <v>4084</v>
      </c>
      <c r="F257" t="s">
        <v>60</v>
      </c>
      <c r="G257" t="s">
        <v>29</v>
      </c>
      <c r="H257" t="s">
        <v>27</v>
      </c>
      <c r="I257">
        <v>10</v>
      </c>
      <c r="J257" t="s">
        <v>592</v>
      </c>
      <c r="K257">
        <v>51</v>
      </c>
      <c r="L257" t="s">
        <v>32</v>
      </c>
      <c r="M257">
        <v>5</v>
      </c>
      <c r="N257" t="s">
        <v>91</v>
      </c>
      <c r="O257" t="s">
        <v>69</v>
      </c>
      <c r="P257" t="s">
        <v>82</v>
      </c>
      <c r="Q257" s="2">
        <v>32226.39</v>
      </c>
      <c r="R257" s="2">
        <v>4993.62</v>
      </c>
      <c r="S257" t="s">
        <v>51</v>
      </c>
      <c r="T257" t="s">
        <v>52</v>
      </c>
      <c r="U257" t="s">
        <v>53</v>
      </c>
      <c r="V257">
        <v>4.4000000000000004</v>
      </c>
      <c r="W257" t="s">
        <v>54</v>
      </c>
      <c r="X257" t="s">
        <v>40</v>
      </c>
      <c r="Y257" t="s">
        <v>41</v>
      </c>
    </row>
    <row r="258" spans="1:25" x14ac:dyDescent="0.3">
      <c r="A258" t="s">
        <v>593</v>
      </c>
      <c r="B258" s="1">
        <v>45182</v>
      </c>
      <c r="C258" t="s">
        <v>57</v>
      </c>
      <c r="D258" t="s">
        <v>44</v>
      </c>
      <c r="E258" t="s">
        <v>4085</v>
      </c>
      <c r="F258" t="s">
        <v>60</v>
      </c>
      <c r="G258" t="s">
        <v>29</v>
      </c>
      <c r="H258" t="s">
        <v>46</v>
      </c>
      <c r="I258">
        <v>5</v>
      </c>
      <c r="J258" t="s">
        <v>594</v>
      </c>
      <c r="K258">
        <v>44</v>
      </c>
      <c r="L258" t="s">
        <v>63</v>
      </c>
      <c r="M258">
        <v>7</v>
      </c>
      <c r="N258" t="s">
        <v>91</v>
      </c>
      <c r="O258" t="s">
        <v>49</v>
      </c>
      <c r="P258" t="s">
        <v>70</v>
      </c>
      <c r="Q258" s="2">
        <v>10482.76</v>
      </c>
      <c r="R258" s="2">
        <v>4765.26</v>
      </c>
      <c r="S258" t="s">
        <v>36</v>
      </c>
      <c r="T258" t="s">
        <v>52</v>
      </c>
      <c r="U258" t="s">
        <v>75</v>
      </c>
      <c r="V258">
        <v>4.3</v>
      </c>
      <c r="W258" t="s">
        <v>39</v>
      </c>
      <c r="X258" t="s">
        <v>55</v>
      </c>
      <c r="Y258" t="s">
        <v>41</v>
      </c>
    </row>
    <row r="259" spans="1:25" x14ac:dyDescent="0.3">
      <c r="A259" t="s">
        <v>595</v>
      </c>
      <c r="B259" s="1">
        <v>45183</v>
      </c>
      <c r="C259" t="s">
        <v>117</v>
      </c>
      <c r="D259" t="s">
        <v>4083</v>
      </c>
      <c r="E259" t="s">
        <v>89</v>
      </c>
      <c r="F259" t="s">
        <v>28</v>
      </c>
      <c r="G259" t="s">
        <v>29</v>
      </c>
      <c r="H259" t="s">
        <v>61</v>
      </c>
      <c r="I259">
        <v>7</v>
      </c>
      <c r="J259" t="s">
        <v>596</v>
      </c>
      <c r="K259">
        <v>48</v>
      </c>
      <c r="L259" t="s">
        <v>80</v>
      </c>
      <c r="M259">
        <v>1</v>
      </c>
      <c r="N259" t="s">
        <v>91</v>
      </c>
      <c r="O259" t="s">
        <v>81</v>
      </c>
      <c r="P259" t="s">
        <v>82</v>
      </c>
      <c r="Q259" s="2">
        <v>29688.49</v>
      </c>
      <c r="R259" s="2">
        <v>3275.54</v>
      </c>
      <c r="S259" t="s">
        <v>115</v>
      </c>
      <c r="T259" t="s">
        <v>52</v>
      </c>
      <c r="U259" t="s">
        <v>75</v>
      </c>
      <c r="V259">
        <v>4.5999999999999996</v>
      </c>
      <c r="W259" t="s">
        <v>103</v>
      </c>
      <c r="X259" t="s">
        <v>106</v>
      </c>
      <c r="Y259" t="s">
        <v>72</v>
      </c>
    </row>
    <row r="260" spans="1:25" x14ac:dyDescent="0.3">
      <c r="A260" t="s">
        <v>597</v>
      </c>
      <c r="B260" s="1">
        <v>45184</v>
      </c>
      <c r="C260" t="s">
        <v>43</v>
      </c>
      <c r="D260" t="s">
        <v>58</v>
      </c>
      <c r="E260" t="s">
        <v>4085</v>
      </c>
      <c r="F260" t="s">
        <v>60</v>
      </c>
      <c r="G260" t="s">
        <v>29</v>
      </c>
      <c r="H260" t="s">
        <v>46</v>
      </c>
      <c r="I260">
        <v>9</v>
      </c>
      <c r="J260" t="s">
        <v>598</v>
      </c>
      <c r="K260">
        <v>49</v>
      </c>
      <c r="L260" t="s">
        <v>63</v>
      </c>
      <c r="M260">
        <v>3</v>
      </c>
      <c r="N260" t="s">
        <v>64</v>
      </c>
      <c r="O260" t="s">
        <v>69</v>
      </c>
      <c r="P260" t="s">
        <v>70</v>
      </c>
      <c r="Q260" s="2">
        <v>5537.22</v>
      </c>
      <c r="R260" s="2">
        <v>2322.87</v>
      </c>
      <c r="S260" t="s">
        <v>115</v>
      </c>
      <c r="T260" t="s">
        <v>37</v>
      </c>
      <c r="U260" t="s">
        <v>38</v>
      </c>
      <c r="V260">
        <v>1.2</v>
      </c>
      <c r="W260" t="s">
        <v>124</v>
      </c>
      <c r="X260" t="s">
        <v>55</v>
      </c>
      <c r="Y260" t="s">
        <v>72</v>
      </c>
    </row>
    <row r="261" spans="1:25" x14ac:dyDescent="0.3">
      <c r="A261" t="s">
        <v>599</v>
      </c>
      <c r="B261" s="1">
        <v>45185</v>
      </c>
      <c r="C261" t="s">
        <v>78</v>
      </c>
      <c r="D261" t="s">
        <v>58</v>
      </c>
      <c r="E261" t="s">
        <v>89</v>
      </c>
      <c r="F261" t="s">
        <v>28</v>
      </c>
      <c r="G261" t="s">
        <v>29</v>
      </c>
      <c r="H261" t="s">
        <v>61</v>
      </c>
      <c r="I261">
        <v>3</v>
      </c>
      <c r="J261" t="s">
        <v>600</v>
      </c>
      <c r="K261">
        <v>61</v>
      </c>
      <c r="L261" t="s">
        <v>63</v>
      </c>
      <c r="M261">
        <v>7</v>
      </c>
      <c r="N261" t="s">
        <v>48</v>
      </c>
      <c r="O261" t="s">
        <v>81</v>
      </c>
      <c r="P261" t="s">
        <v>35</v>
      </c>
      <c r="Q261" s="2">
        <v>27554.48</v>
      </c>
      <c r="R261" s="2">
        <v>760.85</v>
      </c>
      <c r="S261" t="s">
        <v>51</v>
      </c>
      <c r="T261" t="s">
        <v>52</v>
      </c>
      <c r="U261" t="s">
        <v>53</v>
      </c>
      <c r="V261">
        <v>1.7</v>
      </c>
      <c r="W261" t="s">
        <v>124</v>
      </c>
      <c r="X261" t="s">
        <v>55</v>
      </c>
      <c r="Y261" t="s">
        <v>41</v>
      </c>
    </row>
    <row r="262" spans="1:25" x14ac:dyDescent="0.3">
      <c r="A262" t="s">
        <v>601</v>
      </c>
      <c r="B262" s="1">
        <v>45186</v>
      </c>
      <c r="C262" t="s">
        <v>78</v>
      </c>
      <c r="D262" t="s">
        <v>58</v>
      </c>
      <c r="E262" t="s">
        <v>4084</v>
      </c>
      <c r="F262" t="s">
        <v>60</v>
      </c>
      <c r="G262" t="s">
        <v>29</v>
      </c>
      <c r="H262" t="s">
        <v>27</v>
      </c>
      <c r="I262">
        <v>9</v>
      </c>
      <c r="J262" t="s">
        <v>602</v>
      </c>
      <c r="K262">
        <v>56</v>
      </c>
      <c r="L262" t="s">
        <v>32</v>
      </c>
      <c r="M262">
        <v>5</v>
      </c>
      <c r="N262" t="s">
        <v>64</v>
      </c>
      <c r="O262" t="s">
        <v>49</v>
      </c>
      <c r="P262" t="s">
        <v>35</v>
      </c>
      <c r="Q262" s="2">
        <v>36388.480000000003</v>
      </c>
      <c r="R262" s="2">
        <v>2577.9699999999998</v>
      </c>
      <c r="S262" t="s">
        <v>115</v>
      </c>
      <c r="T262" t="s">
        <v>37</v>
      </c>
      <c r="U262" t="s">
        <v>53</v>
      </c>
      <c r="V262">
        <v>2.2000000000000002</v>
      </c>
      <c r="W262" t="s">
        <v>76</v>
      </c>
      <c r="X262" t="s">
        <v>65</v>
      </c>
      <c r="Y262" t="s">
        <v>72</v>
      </c>
    </row>
    <row r="263" spans="1:25" x14ac:dyDescent="0.3">
      <c r="A263" t="s">
        <v>603</v>
      </c>
      <c r="B263" s="1">
        <v>45187</v>
      </c>
      <c r="C263" t="s">
        <v>78</v>
      </c>
      <c r="D263" t="s">
        <v>58</v>
      </c>
      <c r="E263" t="s">
        <v>120</v>
      </c>
      <c r="F263" t="s">
        <v>28</v>
      </c>
      <c r="G263" t="s">
        <v>29</v>
      </c>
      <c r="H263" t="s">
        <v>86</v>
      </c>
      <c r="I263">
        <v>14</v>
      </c>
      <c r="J263" t="s">
        <v>604</v>
      </c>
      <c r="K263">
        <v>69</v>
      </c>
      <c r="L263" t="s">
        <v>32</v>
      </c>
      <c r="M263">
        <v>2</v>
      </c>
      <c r="N263" t="s">
        <v>33</v>
      </c>
      <c r="O263" t="s">
        <v>49</v>
      </c>
      <c r="P263" t="s">
        <v>35</v>
      </c>
      <c r="Q263" s="2">
        <v>8277.4699999999993</v>
      </c>
      <c r="R263" s="2">
        <v>788.72</v>
      </c>
      <c r="S263" t="s">
        <v>36</v>
      </c>
      <c r="T263" t="s">
        <v>71</v>
      </c>
      <c r="U263" t="s">
        <v>38</v>
      </c>
      <c r="V263">
        <v>1.5</v>
      </c>
      <c r="W263" t="s">
        <v>124</v>
      </c>
      <c r="X263" t="s">
        <v>106</v>
      </c>
      <c r="Y263" t="s">
        <v>72</v>
      </c>
    </row>
    <row r="264" spans="1:25" x14ac:dyDescent="0.3">
      <c r="A264" t="s">
        <v>605</v>
      </c>
      <c r="B264" s="1">
        <v>45188</v>
      </c>
      <c r="C264" t="s">
        <v>57</v>
      </c>
      <c r="D264" t="s">
        <v>44</v>
      </c>
      <c r="E264" t="s">
        <v>4085</v>
      </c>
      <c r="F264" t="s">
        <v>60</v>
      </c>
      <c r="G264" t="s">
        <v>29</v>
      </c>
      <c r="H264" t="s">
        <v>46</v>
      </c>
      <c r="I264">
        <v>13</v>
      </c>
      <c r="J264" t="s">
        <v>606</v>
      </c>
      <c r="K264">
        <v>26</v>
      </c>
      <c r="L264" t="s">
        <v>80</v>
      </c>
      <c r="M264">
        <v>5</v>
      </c>
      <c r="N264" t="s">
        <v>33</v>
      </c>
      <c r="O264" t="s">
        <v>49</v>
      </c>
      <c r="P264" t="s">
        <v>35</v>
      </c>
      <c r="Q264" s="2">
        <v>47241.99</v>
      </c>
      <c r="R264" s="2">
        <v>1992.26</v>
      </c>
      <c r="S264" t="s">
        <v>115</v>
      </c>
      <c r="T264" t="s">
        <v>37</v>
      </c>
      <c r="U264" t="s">
        <v>75</v>
      </c>
      <c r="V264">
        <v>2.9</v>
      </c>
      <c r="W264" t="s">
        <v>76</v>
      </c>
      <c r="X264" t="s">
        <v>84</v>
      </c>
      <c r="Y264" t="s">
        <v>72</v>
      </c>
    </row>
    <row r="265" spans="1:25" x14ac:dyDescent="0.3">
      <c r="A265" t="s">
        <v>607</v>
      </c>
      <c r="B265" s="1">
        <v>45189</v>
      </c>
      <c r="C265" t="s">
        <v>43</v>
      </c>
      <c r="D265" t="s">
        <v>58</v>
      </c>
      <c r="E265" t="s">
        <v>4085</v>
      </c>
      <c r="F265" t="s">
        <v>60</v>
      </c>
      <c r="G265" t="s">
        <v>29</v>
      </c>
      <c r="H265" t="s">
        <v>46</v>
      </c>
      <c r="I265">
        <v>10</v>
      </c>
      <c r="J265" t="s">
        <v>608</v>
      </c>
      <c r="K265">
        <v>58</v>
      </c>
      <c r="L265" t="s">
        <v>80</v>
      </c>
      <c r="M265">
        <v>2</v>
      </c>
      <c r="N265" t="s">
        <v>33</v>
      </c>
      <c r="O265" t="s">
        <v>49</v>
      </c>
      <c r="P265" t="s">
        <v>82</v>
      </c>
      <c r="Q265" s="2">
        <v>25644</v>
      </c>
      <c r="R265" s="2">
        <v>4713.24</v>
      </c>
      <c r="S265" t="s">
        <v>51</v>
      </c>
      <c r="T265" t="s">
        <v>37</v>
      </c>
      <c r="U265" t="s">
        <v>75</v>
      </c>
      <c r="V265">
        <v>4.2</v>
      </c>
      <c r="W265" t="s">
        <v>54</v>
      </c>
      <c r="X265" t="s">
        <v>106</v>
      </c>
      <c r="Y265" t="s">
        <v>41</v>
      </c>
    </row>
    <row r="266" spans="1:25" x14ac:dyDescent="0.3">
      <c r="A266" t="s">
        <v>609</v>
      </c>
      <c r="B266" s="1">
        <v>45190</v>
      </c>
      <c r="C266" t="s">
        <v>117</v>
      </c>
      <c r="D266" t="s">
        <v>4083</v>
      </c>
      <c r="E266" t="s">
        <v>4085</v>
      </c>
      <c r="F266" t="s">
        <v>60</v>
      </c>
      <c r="G266" t="s">
        <v>29</v>
      </c>
      <c r="H266" t="s">
        <v>59</v>
      </c>
      <c r="I266">
        <v>10</v>
      </c>
      <c r="J266" t="s">
        <v>610</v>
      </c>
      <c r="K266">
        <v>25</v>
      </c>
      <c r="L266" t="s">
        <v>32</v>
      </c>
      <c r="M266">
        <v>7</v>
      </c>
      <c r="N266" t="s">
        <v>48</v>
      </c>
      <c r="O266" t="s">
        <v>49</v>
      </c>
      <c r="P266" t="s">
        <v>70</v>
      </c>
      <c r="Q266" s="2">
        <v>47228.73</v>
      </c>
      <c r="R266" s="2">
        <v>1709.89</v>
      </c>
      <c r="S266" t="s">
        <v>36</v>
      </c>
      <c r="T266" t="s">
        <v>71</v>
      </c>
      <c r="U266" t="s">
        <v>53</v>
      </c>
      <c r="V266">
        <v>4.8</v>
      </c>
      <c r="W266" t="s">
        <v>103</v>
      </c>
      <c r="X266" t="s">
        <v>55</v>
      </c>
      <c r="Y266" t="s">
        <v>72</v>
      </c>
    </row>
    <row r="267" spans="1:25" x14ac:dyDescent="0.3">
      <c r="A267" t="s">
        <v>611</v>
      </c>
      <c r="B267" s="1">
        <v>45191</v>
      </c>
      <c r="C267" t="s">
        <v>26</v>
      </c>
      <c r="D267" t="s">
        <v>26</v>
      </c>
      <c r="E267" t="s">
        <v>89</v>
      </c>
      <c r="F267" t="s">
        <v>28</v>
      </c>
      <c r="G267" t="s">
        <v>29</v>
      </c>
      <c r="H267" t="s">
        <v>61</v>
      </c>
      <c r="I267">
        <v>11</v>
      </c>
      <c r="J267" t="s">
        <v>612</v>
      </c>
      <c r="K267">
        <v>31</v>
      </c>
      <c r="L267" t="s">
        <v>63</v>
      </c>
      <c r="M267">
        <v>7</v>
      </c>
      <c r="N267" t="s">
        <v>33</v>
      </c>
      <c r="O267" t="s">
        <v>81</v>
      </c>
      <c r="P267" t="s">
        <v>50</v>
      </c>
      <c r="Q267" s="2">
        <v>9832.93</v>
      </c>
      <c r="R267" s="2">
        <v>763.94</v>
      </c>
      <c r="S267" t="s">
        <v>51</v>
      </c>
      <c r="T267" t="s">
        <v>71</v>
      </c>
      <c r="U267" t="s">
        <v>53</v>
      </c>
      <c r="V267">
        <v>4.5999999999999996</v>
      </c>
      <c r="W267" t="s">
        <v>103</v>
      </c>
      <c r="X267" t="s">
        <v>55</v>
      </c>
      <c r="Y267" t="s">
        <v>41</v>
      </c>
    </row>
    <row r="268" spans="1:25" x14ac:dyDescent="0.3">
      <c r="A268" t="s">
        <v>613</v>
      </c>
      <c r="B268" s="1">
        <v>45192</v>
      </c>
      <c r="C268" t="s">
        <v>117</v>
      </c>
      <c r="D268" t="s">
        <v>4083</v>
      </c>
      <c r="E268" t="s">
        <v>4084</v>
      </c>
      <c r="F268" t="s">
        <v>60</v>
      </c>
      <c r="G268" t="s">
        <v>29</v>
      </c>
      <c r="H268" t="s">
        <v>27</v>
      </c>
      <c r="I268">
        <v>8</v>
      </c>
      <c r="J268" t="s">
        <v>614</v>
      </c>
      <c r="K268">
        <v>50</v>
      </c>
      <c r="L268" t="s">
        <v>32</v>
      </c>
      <c r="M268">
        <v>1</v>
      </c>
      <c r="N268" t="s">
        <v>48</v>
      </c>
      <c r="O268" t="s">
        <v>49</v>
      </c>
      <c r="P268" t="s">
        <v>35</v>
      </c>
      <c r="Q268" s="2">
        <v>47745.62</v>
      </c>
      <c r="R268" s="2">
        <v>2911.98</v>
      </c>
      <c r="S268" t="s">
        <v>36</v>
      </c>
      <c r="T268" t="s">
        <v>71</v>
      </c>
      <c r="U268" t="s">
        <v>83</v>
      </c>
      <c r="V268">
        <v>2.8</v>
      </c>
      <c r="W268" t="s">
        <v>76</v>
      </c>
      <c r="X268" t="s">
        <v>55</v>
      </c>
      <c r="Y268" t="s">
        <v>72</v>
      </c>
    </row>
    <row r="269" spans="1:25" x14ac:dyDescent="0.3">
      <c r="A269" t="s">
        <v>615</v>
      </c>
      <c r="B269" s="1">
        <v>45193</v>
      </c>
      <c r="C269" t="s">
        <v>26</v>
      </c>
      <c r="D269" t="s">
        <v>26</v>
      </c>
      <c r="E269" t="s">
        <v>4085</v>
      </c>
      <c r="F269" t="s">
        <v>60</v>
      </c>
      <c r="G269" t="s">
        <v>29</v>
      </c>
      <c r="H269" t="s">
        <v>59</v>
      </c>
      <c r="I269">
        <v>14</v>
      </c>
      <c r="J269" t="s">
        <v>616</v>
      </c>
      <c r="K269">
        <v>40</v>
      </c>
      <c r="L269" t="s">
        <v>80</v>
      </c>
      <c r="M269">
        <v>5</v>
      </c>
      <c r="N269" t="s">
        <v>64</v>
      </c>
      <c r="O269" t="s">
        <v>81</v>
      </c>
      <c r="P269" t="s">
        <v>35</v>
      </c>
      <c r="Q269" s="2">
        <v>9913.8700000000008</v>
      </c>
      <c r="R269" s="2">
        <v>3011.82</v>
      </c>
      <c r="S269" t="s">
        <v>36</v>
      </c>
      <c r="T269" t="s">
        <v>52</v>
      </c>
      <c r="U269" t="s">
        <v>83</v>
      </c>
      <c r="V269">
        <v>3.5</v>
      </c>
      <c r="W269" t="s">
        <v>54</v>
      </c>
      <c r="X269" t="s">
        <v>55</v>
      </c>
      <c r="Y269" t="s">
        <v>41</v>
      </c>
    </row>
    <row r="270" spans="1:25" x14ac:dyDescent="0.3">
      <c r="A270" t="s">
        <v>617</v>
      </c>
      <c r="B270" s="1">
        <v>45194</v>
      </c>
      <c r="C270" t="s">
        <v>117</v>
      </c>
      <c r="D270" t="s">
        <v>4083</v>
      </c>
      <c r="E270" t="s">
        <v>4085</v>
      </c>
      <c r="F270" t="s">
        <v>60</v>
      </c>
      <c r="G270" t="s">
        <v>29</v>
      </c>
      <c r="H270" t="s">
        <v>46</v>
      </c>
      <c r="I270">
        <v>8</v>
      </c>
      <c r="J270" t="s">
        <v>618</v>
      </c>
      <c r="K270">
        <v>38</v>
      </c>
      <c r="L270" t="s">
        <v>63</v>
      </c>
      <c r="M270">
        <v>4</v>
      </c>
      <c r="N270" t="s">
        <v>64</v>
      </c>
      <c r="O270" t="s">
        <v>49</v>
      </c>
      <c r="P270" t="s">
        <v>70</v>
      </c>
      <c r="Q270" s="2">
        <v>25767.31</v>
      </c>
      <c r="R270" s="2">
        <v>969.02</v>
      </c>
      <c r="S270" t="s">
        <v>51</v>
      </c>
      <c r="T270" t="s">
        <v>52</v>
      </c>
      <c r="U270" t="s">
        <v>83</v>
      </c>
      <c r="V270">
        <v>1.9</v>
      </c>
      <c r="W270" t="s">
        <v>124</v>
      </c>
      <c r="X270" t="s">
        <v>55</v>
      </c>
      <c r="Y270" t="s">
        <v>72</v>
      </c>
    </row>
    <row r="271" spans="1:25" x14ac:dyDescent="0.3">
      <c r="A271" t="s">
        <v>619</v>
      </c>
      <c r="B271" s="1">
        <v>45195</v>
      </c>
      <c r="C271" t="s">
        <v>43</v>
      </c>
      <c r="D271" t="s">
        <v>58</v>
      </c>
      <c r="E271" t="s">
        <v>120</v>
      </c>
      <c r="F271" t="s">
        <v>28</v>
      </c>
      <c r="G271" t="s">
        <v>29</v>
      </c>
      <c r="H271" t="s">
        <v>86</v>
      </c>
      <c r="I271">
        <v>4</v>
      </c>
      <c r="J271" t="s">
        <v>620</v>
      </c>
      <c r="K271">
        <v>29</v>
      </c>
      <c r="L271" t="s">
        <v>63</v>
      </c>
      <c r="M271">
        <v>6</v>
      </c>
      <c r="N271" t="s">
        <v>48</v>
      </c>
      <c r="O271" t="s">
        <v>81</v>
      </c>
      <c r="P271" t="s">
        <v>50</v>
      </c>
      <c r="Q271" s="2">
        <v>47209.64</v>
      </c>
      <c r="R271" s="2">
        <v>982.93</v>
      </c>
      <c r="S271" t="s">
        <v>94</v>
      </c>
      <c r="T271" t="s">
        <v>52</v>
      </c>
      <c r="U271" t="s">
        <v>53</v>
      </c>
      <c r="V271">
        <v>2.6</v>
      </c>
      <c r="W271" t="s">
        <v>76</v>
      </c>
      <c r="X271" t="s">
        <v>106</v>
      </c>
      <c r="Y271" t="s">
        <v>72</v>
      </c>
    </row>
    <row r="272" spans="1:25" x14ac:dyDescent="0.3">
      <c r="A272" t="s">
        <v>621</v>
      </c>
      <c r="B272" s="1">
        <v>45196</v>
      </c>
      <c r="C272" t="s">
        <v>26</v>
      </c>
      <c r="D272" t="s">
        <v>26</v>
      </c>
      <c r="E272" t="s">
        <v>120</v>
      </c>
      <c r="F272" t="s">
        <v>28</v>
      </c>
      <c r="G272" t="s">
        <v>29</v>
      </c>
      <c r="H272" t="s">
        <v>86</v>
      </c>
      <c r="I272">
        <v>5</v>
      </c>
      <c r="J272" t="s">
        <v>622</v>
      </c>
      <c r="K272">
        <v>19</v>
      </c>
      <c r="L272" t="s">
        <v>63</v>
      </c>
      <c r="M272">
        <v>4</v>
      </c>
      <c r="N272" t="s">
        <v>64</v>
      </c>
      <c r="O272" t="s">
        <v>49</v>
      </c>
      <c r="P272" t="s">
        <v>35</v>
      </c>
      <c r="Q272" s="2">
        <v>15471.87</v>
      </c>
      <c r="R272" s="2">
        <v>4947.75</v>
      </c>
      <c r="S272" t="s">
        <v>51</v>
      </c>
      <c r="T272" t="s">
        <v>71</v>
      </c>
      <c r="U272" t="s">
        <v>53</v>
      </c>
      <c r="V272">
        <v>4.5</v>
      </c>
      <c r="W272" t="s">
        <v>103</v>
      </c>
      <c r="X272" t="s">
        <v>55</v>
      </c>
      <c r="Y272" t="s">
        <v>72</v>
      </c>
    </row>
    <row r="273" spans="1:25" x14ac:dyDescent="0.3">
      <c r="A273" t="s">
        <v>623</v>
      </c>
      <c r="B273" s="1">
        <v>45197</v>
      </c>
      <c r="C273" t="s">
        <v>57</v>
      </c>
      <c r="D273" t="s">
        <v>44</v>
      </c>
      <c r="E273" t="s">
        <v>4084</v>
      </c>
      <c r="F273" t="s">
        <v>60</v>
      </c>
      <c r="G273" t="s">
        <v>29</v>
      </c>
      <c r="H273" t="s">
        <v>30</v>
      </c>
      <c r="I273">
        <v>6</v>
      </c>
      <c r="J273" t="s">
        <v>624</v>
      </c>
      <c r="K273">
        <v>30</v>
      </c>
      <c r="L273" t="s">
        <v>32</v>
      </c>
      <c r="M273">
        <v>4</v>
      </c>
      <c r="N273" t="s">
        <v>64</v>
      </c>
      <c r="O273" t="s">
        <v>81</v>
      </c>
      <c r="P273" t="s">
        <v>50</v>
      </c>
      <c r="Q273" s="2">
        <v>6565.32</v>
      </c>
      <c r="R273" s="2">
        <v>1216.4100000000001</v>
      </c>
      <c r="S273" t="s">
        <v>36</v>
      </c>
      <c r="T273" t="s">
        <v>52</v>
      </c>
      <c r="U273" t="s">
        <v>53</v>
      </c>
      <c r="V273">
        <v>1.1000000000000001</v>
      </c>
      <c r="W273" t="s">
        <v>124</v>
      </c>
      <c r="X273" t="s">
        <v>40</v>
      </c>
      <c r="Y273" t="s">
        <v>41</v>
      </c>
    </row>
    <row r="274" spans="1:25" x14ac:dyDescent="0.3">
      <c r="A274" t="s">
        <v>625</v>
      </c>
      <c r="B274" s="1">
        <v>45198</v>
      </c>
      <c r="C274" t="s">
        <v>117</v>
      </c>
      <c r="D274" t="s">
        <v>4083</v>
      </c>
      <c r="E274" t="s">
        <v>4084</v>
      </c>
      <c r="F274" t="s">
        <v>60</v>
      </c>
      <c r="G274" t="s">
        <v>29</v>
      </c>
      <c r="H274" t="s">
        <v>30</v>
      </c>
      <c r="I274">
        <v>6</v>
      </c>
      <c r="J274" t="s">
        <v>626</v>
      </c>
      <c r="K274">
        <v>21</v>
      </c>
      <c r="L274" t="s">
        <v>32</v>
      </c>
      <c r="M274">
        <v>4</v>
      </c>
      <c r="N274" t="s">
        <v>48</v>
      </c>
      <c r="O274" t="s">
        <v>49</v>
      </c>
      <c r="P274" t="s">
        <v>35</v>
      </c>
      <c r="Q274" s="2">
        <v>40689.980000000003</v>
      </c>
      <c r="R274" s="2">
        <v>4190.96</v>
      </c>
      <c r="S274" t="s">
        <v>51</v>
      </c>
      <c r="T274" t="s">
        <v>71</v>
      </c>
      <c r="U274" t="s">
        <v>75</v>
      </c>
      <c r="V274">
        <v>3.1</v>
      </c>
      <c r="W274" t="s">
        <v>39</v>
      </c>
      <c r="X274" t="s">
        <v>40</v>
      </c>
      <c r="Y274" t="s">
        <v>41</v>
      </c>
    </row>
    <row r="275" spans="1:25" x14ac:dyDescent="0.3">
      <c r="A275" t="s">
        <v>627</v>
      </c>
      <c r="B275" s="1">
        <v>45199</v>
      </c>
      <c r="C275" t="s">
        <v>117</v>
      </c>
      <c r="D275" t="s">
        <v>4083</v>
      </c>
      <c r="E275" t="s">
        <v>45</v>
      </c>
      <c r="F275" t="s">
        <v>28</v>
      </c>
      <c r="G275" t="s">
        <v>29</v>
      </c>
      <c r="H275" t="s">
        <v>67</v>
      </c>
      <c r="I275">
        <v>10</v>
      </c>
      <c r="J275" t="s">
        <v>628</v>
      </c>
      <c r="K275">
        <v>37</v>
      </c>
      <c r="L275" t="s">
        <v>80</v>
      </c>
      <c r="M275">
        <v>6</v>
      </c>
      <c r="N275" t="s">
        <v>33</v>
      </c>
      <c r="O275" t="s">
        <v>69</v>
      </c>
      <c r="P275" t="s">
        <v>82</v>
      </c>
      <c r="Q275" s="2">
        <v>31814.76</v>
      </c>
      <c r="R275" s="2">
        <v>2351.62</v>
      </c>
      <c r="S275" t="s">
        <v>51</v>
      </c>
      <c r="T275" t="s">
        <v>71</v>
      </c>
      <c r="U275" t="s">
        <v>38</v>
      </c>
      <c r="V275">
        <v>4.5</v>
      </c>
      <c r="W275" t="s">
        <v>103</v>
      </c>
      <c r="X275" t="s">
        <v>65</v>
      </c>
      <c r="Y275" t="s">
        <v>41</v>
      </c>
    </row>
    <row r="276" spans="1:25" x14ac:dyDescent="0.3">
      <c r="A276" t="s">
        <v>629</v>
      </c>
      <c r="B276" s="1">
        <v>45200</v>
      </c>
      <c r="C276" t="s">
        <v>26</v>
      </c>
      <c r="D276" t="s">
        <v>26</v>
      </c>
      <c r="E276" t="s">
        <v>120</v>
      </c>
      <c r="F276" t="s">
        <v>28</v>
      </c>
      <c r="G276" t="s">
        <v>29</v>
      </c>
      <c r="H276" t="s">
        <v>86</v>
      </c>
      <c r="I276">
        <v>3</v>
      </c>
      <c r="J276" t="s">
        <v>630</v>
      </c>
      <c r="K276">
        <v>67</v>
      </c>
      <c r="L276" t="s">
        <v>63</v>
      </c>
      <c r="M276">
        <v>4</v>
      </c>
      <c r="N276" t="s">
        <v>48</v>
      </c>
      <c r="O276" t="s">
        <v>81</v>
      </c>
      <c r="P276" t="s">
        <v>82</v>
      </c>
      <c r="Q276" s="2">
        <v>28126.45</v>
      </c>
      <c r="R276" s="2">
        <v>2174.9499999999998</v>
      </c>
      <c r="S276" t="s">
        <v>36</v>
      </c>
      <c r="T276" t="s">
        <v>71</v>
      </c>
      <c r="U276" t="s">
        <v>53</v>
      </c>
      <c r="V276">
        <v>1.5</v>
      </c>
      <c r="W276" t="s">
        <v>124</v>
      </c>
      <c r="X276" t="s">
        <v>84</v>
      </c>
      <c r="Y276" t="s">
        <v>41</v>
      </c>
    </row>
    <row r="277" spans="1:25" x14ac:dyDescent="0.3">
      <c r="A277" t="s">
        <v>631</v>
      </c>
      <c r="B277" s="1">
        <v>45201</v>
      </c>
      <c r="C277" t="s">
        <v>57</v>
      </c>
      <c r="D277" t="s">
        <v>44</v>
      </c>
      <c r="E277" t="s">
        <v>45</v>
      </c>
      <c r="F277" t="s">
        <v>28</v>
      </c>
      <c r="G277" t="s">
        <v>29</v>
      </c>
      <c r="H277" t="s">
        <v>67</v>
      </c>
      <c r="I277">
        <v>12</v>
      </c>
      <c r="J277" t="s">
        <v>632</v>
      </c>
      <c r="K277">
        <v>68</v>
      </c>
      <c r="L277" t="s">
        <v>63</v>
      </c>
      <c r="M277">
        <v>2</v>
      </c>
      <c r="N277" t="s">
        <v>91</v>
      </c>
      <c r="O277" t="s">
        <v>69</v>
      </c>
      <c r="P277" t="s">
        <v>50</v>
      </c>
      <c r="Q277" s="2">
        <v>6545.45</v>
      </c>
      <c r="R277" s="2">
        <v>1474.81</v>
      </c>
      <c r="S277" t="s">
        <v>115</v>
      </c>
      <c r="T277" t="s">
        <v>52</v>
      </c>
      <c r="U277" t="s">
        <v>75</v>
      </c>
      <c r="V277">
        <v>4.9000000000000004</v>
      </c>
      <c r="W277" t="s">
        <v>103</v>
      </c>
      <c r="X277" t="s">
        <v>40</v>
      </c>
      <c r="Y277" t="s">
        <v>72</v>
      </c>
    </row>
    <row r="278" spans="1:25" x14ac:dyDescent="0.3">
      <c r="A278" t="s">
        <v>633</v>
      </c>
      <c r="B278" s="1">
        <v>45202</v>
      </c>
      <c r="C278" t="s">
        <v>57</v>
      </c>
      <c r="D278" t="s">
        <v>44</v>
      </c>
      <c r="E278" t="s">
        <v>89</v>
      </c>
      <c r="F278" t="s">
        <v>28</v>
      </c>
      <c r="G278" t="s">
        <v>29</v>
      </c>
      <c r="H278" t="s">
        <v>61</v>
      </c>
      <c r="I278">
        <v>6</v>
      </c>
      <c r="J278" t="s">
        <v>634</v>
      </c>
      <c r="K278">
        <v>65</v>
      </c>
      <c r="L278" t="s">
        <v>32</v>
      </c>
      <c r="M278">
        <v>5</v>
      </c>
      <c r="N278" t="s">
        <v>64</v>
      </c>
      <c r="O278" t="s">
        <v>81</v>
      </c>
      <c r="P278" t="s">
        <v>70</v>
      </c>
      <c r="Q278" s="2">
        <v>34395.410000000003</v>
      </c>
      <c r="R278" s="2">
        <v>3869.13</v>
      </c>
      <c r="S278" t="s">
        <v>36</v>
      </c>
      <c r="T278" t="s">
        <v>52</v>
      </c>
      <c r="U278" t="s">
        <v>53</v>
      </c>
      <c r="V278">
        <v>1</v>
      </c>
      <c r="W278" t="s">
        <v>124</v>
      </c>
      <c r="X278" t="s">
        <v>65</v>
      </c>
      <c r="Y278" t="s">
        <v>72</v>
      </c>
    </row>
    <row r="279" spans="1:25" x14ac:dyDescent="0.3">
      <c r="A279" t="s">
        <v>635</v>
      </c>
      <c r="B279" s="1">
        <v>45203</v>
      </c>
      <c r="C279" t="s">
        <v>43</v>
      </c>
      <c r="D279" t="s">
        <v>58</v>
      </c>
      <c r="E279" t="s">
        <v>45</v>
      </c>
      <c r="F279" t="s">
        <v>28</v>
      </c>
      <c r="G279" t="s">
        <v>29</v>
      </c>
      <c r="H279" t="s">
        <v>67</v>
      </c>
      <c r="I279">
        <v>13</v>
      </c>
      <c r="J279" t="s">
        <v>636</v>
      </c>
      <c r="K279">
        <v>31</v>
      </c>
      <c r="L279" t="s">
        <v>80</v>
      </c>
      <c r="M279">
        <v>7</v>
      </c>
      <c r="N279" t="s">
        <v>48</v>
      </c>
      <c r="O279" t="s">
        <v>81</v>
      </c>
      <c r="P279" t="s">
        <v>70</v>
      </c>
      <c r="Q279" s="2">
        <v>12723.05</v>
      </c>
      <c r="R279" s="2">
        <v>4403.3</v>
      </c>
      <c r="S279" t="s">
        <v>51</v>
      </c>
      <c r="T279" t="s">
        <v>71</v>
      </c>
      <c r="U279" t="s">
        <v>38</v>
      </c>
      <c r="V279">
        <v>4.5</v>
      </c>
      <c r="W279" t="s">
        <v>103</v>
      </c>
      <c r="X279" t="s">
        <v>106</v>
      </c>
      <c r="Y279" t="s">
        <v>41</v>
      </c>
    </row>
    <row r="280" spans="1:25" x14ac:dyDescent="0.3">
      <c r="A280" t="s">
        <v>637</v>
      </c>
      <c r="B280" s="1">
        <v>45204</v>
      </c>
      <c r="C280" t="s">
        <v>57</v>
      </c>
      <c r="D280" t="s">
        <v>44</v>
      </c>
      <c r="E280" t="s">
        <v>4085</v>
      </c>
      <c r="F280" t="s">
        <v>60</v>
      </c>
      <c r="G280" t="s">
        <v>29</v>
      </c>
      <c r="H280" t="s">
        <v>59</v>
      </c>
      <c r="I280">
        <v>14</v>
      </c>
      <c r="J280" t="s">
        <v>638</v>
      </c>
      <c r="K280">
        <v>47</v>
      </c>
      <c r="L280" t="s">
        <v>80</v>
      </c>
      <c r="M280">
        <v>1</v>
      </c>
      <c r="N280" t="s">
        <v>64</v>
      </c>
      <c r="O280" t="s">
        <v>81</v>
      </c>
      <c r="P280" t="s">
        <v>82</v>
      </c>
      <c r="Q280" s="2">
        <v>46903.85</v>
      </c>
      <c r="R280" s="2">
        <v>1305.6400000000001</v>
      </c>
      <c r="S280" t="s">
        <v>36</v>
      </c>
      <c r="T280" t="s">
        <v>52</v>
      </c>
      <c r="U280" t="s">
        <v>53</v>
      </c>
      <c r="V280">
        <v>2.4</v>
      </c>
      <c r="W280" t="s">
        <v>76</v>
      </c>
      <c r="X280" t="s">
        <v>84</v>
      </c>
      <c r="Y280" t="s">
        <v>41</v>
      </c>
    </row>
    <row r="281" spans="1:25" x14ac:dyDescent="0.3">
      <c r="A281" t="s">
        <v>639</v>
      </c>
      <c r="B281" s="1">
        <v>45205</v>
      </c>
      <c r="C281" t="s">
        <v>57</v>
      </c>
      <c r="D281" t="s">
        <v>44</v>
      </c>
      <c r="E281" t="s">
        <v>45</v>
      </c>
      <c r="F281" t="s">
        <v>28</v>
      </c>
      <c r="G281" t="s">
        <v>29</v>
      </c>
      <c r="H281" t="s">
        <v>67</v>
      </c>
      <c r="I281">
        <v>13</v>
      </c>
      <c r="J281" t="s">
        <v>640</v>
      </c>
      <c r="K281">
        <v>46</v>
      </c>
      <c r="L281" t="s">
        <v>63</v>
      </c>
      <c r="M281">
        <v>4</v>
      </c>
      <c r="N281" t="s">
        <v>33</v>
      </c>
      <c r="O281" t="s">
        <v>34</v>
      </c>
      <c r="P281" t="s">
        <v>70</v>
      </c>
      <c r="Q281" s="2">
        <v>35857.71</v>
      </c>
      <c r="R281" s="2">
        <v>475.48</v>
      </c>
      <c r="S281" t="s">
        <v>36</v>
      </c>
      <c r="T281" t="s">
        <v>37</v>
      </c>
      <c r="U281" t="s">
        <v>75</v>
      </c>
      <c r="V281">
        <v>1.5</v>
      </c>
      <c r="W281" t="s">
        <v>124</v>
      </c>
      <c r="X281" t="s">
        <v>55</v>
      </c>
      <c r="Y281" t="s">
        <v>41</v>
      </c>
    </row>
    <row r="282" spans="1:25" x14ac:dyDescent="0.3">
      <c r="A282" t="s">
        <v>641</v>
      </c>
      <c r="B282" s="1">
        <v>45206</v>
      </c>
      <c r="C282" t="s">
        <v>57</v>
      </c>
      <c r="D282" t="s">
        <v>44</v>
      </c>
      <c r="E282" t="s">
        <v>4084</v>
      </c>
      <c r="F282" t="s">
        <v>60</v>
      </c>
      <c r="G282" t="s">
        <v>29</v>
      </c>
      <c r="H282" t="s">
        <v>27</v>
      </c>
      <c r="I282">
        <v>13</v>
      </c>
      <c r="J282" t="s">
        <v>642</v>
      </c>
      <c r="K282">
        <v>25</v>
      </c>
      <c r="L282" t="s">
        <v>32</v>
      </c>
      <c r="M282">
        <v>7</v>
      </c>
      <c r="N282" t="s">
        <v>64</v>
      </c>
      <c r="O282" t="s">
        <v>49</v>
      </c>
      <c r="P282" t="s">
        <v>70</v>
      </c>
      <c r="Q282" s="2">
        <v>36816.519999999997</v>
      </c>
      <c r="R282" s="2">
        <v>684.6</v>
      </c>
      <c r="S282" t="s">
        <v>115</v>
      </c>
      <c r="T282" t="s">
        <v>52</v>
      </c>
      <c r="U282" t="s">
        <v>53</v>
      </c>
      <c r="V282">
        <v>1.6</v>
      </c>
      <c r="W282" t="s">
        <v>124</v>
      </c>
      <c r="X282" t="s">
        <v>55</v>
      </c>
      <c r="Y282" t="s">
        <v>41</v>
      </c>
    </row>
    <row r="283" spans="1:25" x14ac:dyDescent="0.3">
      <c r="A283" t="s">
        <v>643</v>
      </c>
      <c r="B283" s="1">
        <v>45207</v>
      </c>
      <c r="C283" t="s">
        <v>78</v>
      </c>
      <c r="D283" t="s">
        <v>58</v>
      </c>
      <c r="E283" t="s">
        <v>89</v>
      </c>
      <c r="F283" t="s">
        <v>28</v>
      </c>
      <c r="G283" t="s">
        <v>29</v>
      </c>
      <c r="H283" t="s">
        <v>61</v>
      </c>
      <c r="I283">
        <v>6</v>
      </c>
      <c r="J283" t="s">
        <v>644</v>
      </c>
      <c r="K283">
        <v>29</v>
      </c>
      <c r="L283" t="s">
        <v>63</v>
      </c>
      <c r="M283">
        <v>4</v>
      </c>
      <c r="N283" t="s">
        <v>48</v>
      </c>
      <c r="O283" t="s">
        <v>69</v>
      </c>
      <c r="P283" t="s">
        <v>70</v>
      </c>
      <c r="Q283" s="2">
        <v>15466.11</v>
      </c>
      <c r="R283" s="2">
        <v>3964.02</v>
      </c>
      <c r="S283" t="s">
        <v>94</v>
      </c>
      <c r="T283" t="s">
        <v>71</v>
      </c>
      <c r="U283" t="s">
        <v>53</v>
      </c>
      <c r="V283">
        <v>3.8</v>
      </c>
      <c r="W283" t="s">
        <v>54</v>
      </c>
      <c r="X283" t="s">
        <v>106</v>
      </c>
      <c r="Y283" t="s">
        <v>41</v>
      </c>
    </row>
    <row r="284" spans="1:25" x14ac:dyDescent="0.3">
      <c r="A284" t="s">
        <v>645</v>
      </c>
      <c r="B284" s="1">
        <v>45208</v>
      </c>
      <c r="C284" t="s">
        <v>43</v>
      </c>
      <c r="D284" t="s">
        <v>58</v>
      </c>
      <c r="E284" t="s">
        <v>4085</v>
      </c>
      <c r="F284" t="s">
        <v>60</v>
      </c>
      <c r="G284" t="s">
        <v>29</v>
      </c>
      <c r="H284" t="s">
        <v>59</v>
      </c>
      <c r="I284">
        <v>3</v>
      </c>
      <c r="J284" t="s">
        <v>646</v>
      </c>
      <c r="K284">
        <v>58</v>
      </c>
      <c r="L284" t="s">
        <v>32</v>
      </c>
      <c r="M284">
        <v>1</v>
      </c>
      <c r="N284" t="s">
        <v>33</v>
      </c>
      <c r="O284" t="s">
        <v>69</v>
      </c>
      <c r="P284" t="s">
        <v>50</v>
      </c>
      <c r="Q284" s="2">
        <v>44633.919999999998</v>
      </c>
      <c r="R284" s="2">
        <v>2179.13</v>
      </c>
      <c r="S284" t="s">
        <v>51</v>
      </c>
      <c r="T284" t="s">
        <v>71</v>
      </c>
      <c r="U284" t="s">
        <v>53</v>
      </c>
      <c r="V284">
        <v>4.5</v>
      </c>
      <c r="W284" t="s">
        <v>103</v>
      </c>
      <c r="X284" t="s">
        <v>84</v>
      </c>
      <c r="Y284" t="s">
        <v>41</v>
      </c>
    </row>
    <row r="285" spans="1:25" x14ac:dyDescent="0.3">
      <c r="A285" t="s">
        <v>647</v>
      </c>
      <c r="B285" s="1">
        <v>45209</v>
      </c>
      <c r="C285" t="s">
        <v>117</v>
      </c>
      <c r="D285" t="s">
        <v>4083</v>
      </c>
      <c r="E285" t="s">
        <v>45</v>
      </c>
      <c r="F285" t="s">
        <v>28</v>
      </c>
      <c r="G285" t="s">
        <v>29</v>
      </c>
      <c r="H285" t="s">
        <v>67</v>
      </c>
      <c r="I285">
        <v>5</v>
      </c>
      <c r="J285" t="s">
        <v>648</v>
      </c>
      <c r="K285">
        <v>55</v>
      </c>
      <c r="L285" t="s">
        <v>80</v>
      </c>
      <c r="M285">
        <v>1</v>
      </c>
      <c r="N285" t="s">
        <v>33</v>
      </c>
      <c r="O285" t="s">
        <v>81</v>
      </c>
      <c r="P285" t="s">
        <v>50</v>
      </c>
      <c r="Q285" s="2">
        <v>29197.97</v>
      </c>
      <c r="R285" s="2">
        <v>659.57</v>
      </c>
      <c r="S285" t="s">
        <v>51</v>
      </c>
      <c r="T285" t="s">
        <v>71</v>
      </c>
      <c r="U285" t="s">
        <v>83</v>
      </c>
      <c r="V285">
        <v>3.6</v>
      </c>
      <c r="W285" t="s">
        <v>54</v>
      </c>
      <c r="X285" t="s">
        <v>40</v>
      </c>
      <c r="Y285" t="s">
        <v>72</v>
      </c>
    </row>
    <row r="286" spans="1:25" x14ac:dyDescent="0.3">
      <c r="A286" t="s">
        <v>649</v>
      </c>
      <c r="B286" s="1">
        <v>45210</v>
      </c>
      <c r="C286" t="s">
        <v>26</v>
      </c>
      <c r="D286" t="s">
        <v>26</v>
      </c>
      <c r="E286" t="s">
        <v>89</v>
      </c>
      <c r="F286" t="s">
        <v>28</v>
      </c>
      <c r="G286" t="s">
        <v>29</v>
      </c>
      <c r="H286" t="s">
        <v>61</v>
      </c>
      <c r="I286">
        <v>7</v>
      </c>
      <c r="J286" t="s">
        <v>650</v>
      </c>
      <c r="K286">
        <v>43</v>
      </c>
      <c r="L286" t="s">
        <v>63</v>
      </c>
      <c r="M286">
        <v>4</v>
      </c>
      <c r="N286" t="s">
        <v>33</v>
      </c>
      <c r="O286" t="s">
        <v>69</v>
      </c>
      <c r="P286" t="s">
        <v>70</v>
      </c>
      <c r="Q286" s="2">
        <v>43568.79</v>
      </c>
      <c r="R286" s="2">
        <v>1701.44</v>
      </c>
      <c r="S286" t="s">
        <v>115</v>
      </c>
      <c r="T286" t="s">
        <v>37</v>
      </c>
      <c r="U286" t="s">
        <v>53</v>
      </c>
      <c r="V286">
        <v>4.7</v>
      </c>
      <c r="W286" t="s">
        <v>103</v>
      </c>
      <c r="X286" t="s">
        <v>84</v>
      </c>
      <c r="Y286" t="s">
        <v>41</v>
      </c>
    </row>
    <row r="287" spans="1:25" x14ac:dyDescent="0.3">
      <c r="A287" t="s">
        <v>651</v>
      </c>
      <c r="B287" s="1">
        <v>45211</v>
      </c>
      <c r="C287" t="s">
        <v>117</v>
      </c>
      <c r="D287" t="s">
        <v>4083</v>
      </c>
      <c r="E287" t="s">
        <v>89</v>
      </c>
      <c r="F287" t="s">
        <v>28</v>
      </c>
      <c r="G287" t="s">
        <v>29</v>
      </c>
      <c r="H287" t="s">
        <v>61</v>
      </c>
      <c r="I287">
        <v>8</v>
      </c>
      <c r="J287" t="s">
        <v>652</v>
      </c>
      <c r="K287">
        <v>67</v>
      </c>
      <c r="L287" t="s">
        <v>63</v>
      </c>
      <c r="M287">
        <v>2</v>
      </c>
      <c r="N287" t="s">
        <v>91</v>
      </c>
      <c r="O287" t="s">
        <v>69</v>
      </c>
      <c r="P287" t="s">
        <v>82</v>
      </c>
      <c r="Q287" s="2">
        <v>17192.64</v>
      </c>
      <c r="R287" s="2">
        <v>2571.1799999999998</v>
      </c>
      <c r="S287" t="s">
        <v>36</v>
      </c>
      <c r="T287" t="s">
        <v>71</v>
      </c>
      <c r="U287" t="s">
        <v>75</v>
      </c>
      <c r="V287">
        <v>4.4000000000000004</v>
      </c>
      <c r="W287" t="s">
        <v>54</v>
      </c>
      <c r="X287" t="s">
        <v>65</v>
      </c>
      <c r="Y287" t="s">
        <v>41</v>
      </c>
    </row>
    <row r="288" spans="1:25" x14ac:dyDescent="0.3">
      <c r="A288" t="s">
        <v>653</v>
      </c>
      <c r="B288" s="1">
        <v>45212</v>
      </c>
      <c r="C288" t="s">
        <v>43</v>
      </c>
      <c r="D288" t="s">
        <v>58</v>
      </c>
      <c r="E288" t="s">
        <v>4085</v>
      </c>
      <c r="F288" t="s">
        <v>60</v>
      </c>
      <c r="G288" t="s">
        <v>29</v>
      </c>
      <c r="H288" t="s">
        <v>46</v>
      </c>
      <c r="I288">
        <v>11</v>
      </c>
      <c r="J288" t="s">
        <v>654</v>
      </c>
      <c r="K288">
        <v>19</v>
      </c>
      <c r="L288" t="s">
        <v>63</v>
      </c>
      <c r="M288">
        <v>7</v>
      </c>
      <c r="N288" t="s">
        <v>48</v>
      </c>
      <c r="O288" t="s">
        <v>69</v>
      </c>
      <c r="P288" t="s">
        <v>70</v>
      </c>
      <c r="Q288" s="2">
        <v>38995.78</v>
      </c>
      <c r="R288" s="2">
        <v>4260.26</v>
      </c>
      <c r="S288" t="s">
        <v>94</v>
      </c>
      <c r="T288" t="s">
        <v>71</v>
      </c>
      <c r="U288" t="s">
        <v>75</v>
      </c>
      <c r="V288">
        <v>1</v>
      </c>
      <c r="W288" t="s">
        <v>124</v>
      </c>
      <c r="X288" t="s">
        <v>106</v>
      </c>
      <c r="Y288" t="s">
        <v>41</v>
      </c>
    </row>
    <row r="289" spans="1:25" x14ac:dyDescent="0.3">
      <c r="A289" t="s">
        <v>655</v>
      </c>
      <c r="B289" s="1">
        <v>45213</v>
      </c>
      <c r="C289" t="s">
        <v>26</v>
      </c>
      <c r="D289" t="s">
        <v>26</v>
      </c>
      <c r="E289" t="s">
        <v>45</v>
      </c>
      <c r="F289" t="s">
        <v>28</v>
      </c>
      <c r="G289" t="s">
        <v>29</v>
      </c>
      <c r="H289" t="s">
        <v>67</v>
      </c>
      <c r="I289">
        <v>11</v>
      </c>
      <c r="J289" t="s">
        <v>656</v>
      </c>
      <c r="K289">
        <v>57</v>
      </c>
      <c r="L289" t="s">
        <v>80</v>
      </c>
      <c r="M289">
        <v>1</v>
      </c>
      <c r="N289" t="s">
        <v>48</v>
      </c>
      <c r="O289" t="s">
        <v>69</v>
      </c>
      <c r="P289" t="s">
        <v>35</v>
      </c>
      <c r="Q289" s="2">
        <v>30855.51</v>
      </c>
      <c r="R289" s="2">
        <v>3208.72</v>
      </c>
      <c r="S289" t="s">
        <v>51</v>
      </c>
      <c r="T289" t="s">
        <v>52</v>
      </c>
      <c r="U289" t="s">
        <v>75</v>
      </c>
      <c r="V289">
        <v>3.7</v>
      </c>
      <c r="W289" t="s">
        <v>54</v>
      </c>
      <c r="X289" t="s">
        <v>40</v>
      </c>
      <c r="Y289" t="s">
        <v>72</v>
      </c>
    </row>
    <row r="290" spans="1:25" x14ac:dyDescent="0.3">
      <c r="A290" t="s">
        <v>657</v>
      </c>
      <c r="B290" s="1">
        <v>45214</v>
      </c>
      <c r="C290" t="s">
        <v>43</v>
      </c>
      <c r="D290" t="s">
        <v>58</v>
      </c>
      <c r="E290" t="s">
        <v>89</v>
      </c>
      <c r="F290" t="s">
        <v>28</v>
      </c>
      <c r="G290" t="s">
        <v>29</v>
      </c>
      <c r="H290" t="s">
        <v>61</v>
      </c>
      <c r="I290">
        <v>11</v>
      </c>
      <c r="J290" t="s">
        <v>658</v>
      </c>
      <c r="K290">
        <v>31</v>
      </c>
      <c r="L290" t="s">
        <v>63</v>
      </c>
      <c r="M290">
        <v>5</v>
      </c>
      <c r="N290" t="s">
        <v>33</v>
      </c>
      <c r="O290" t="s">
        <v>34</v>
      </c>
      <c r="P290" t="s">
        <v>82</v>
      </c>
      <c r="Q290" s="2">
        <v>7178.87</v>
      </c>
      <c r="R290" s="2">
        <v>880.16</v>
      </c>
      <c r="S290" t="s">
        <v>94</v>
      </c>
      <c r="T290" t="s">
        <v>37</v>
      </c>
      <c r="U290" t="s">
        <v>53</v>
      </c>
      <c r="V290">
        <v>2.2000000000000002</v>
      </c>
      <c r="W290" t="s">
        <v>76</v>
      </c>
      <c r="X290" t="s">
        <v>84</v>
      </c>
      <c r="Y290" t="s">
        <v>41</v>
      </c>
    </row>
    <row r="291" spans="1:25" x14ac:dyDescent="0.3">
      <c r="A291" t="s">
        <v>659</v>
      </c>
      <c r="B291" s="1">
        <v>45215</v>
      </c>
      <c r="C291" t="s">
        <v>57</v>
      </c>
      <c r="D291" t="s">
        <v>44</v>
      </c>
      <c r="E291" t="s">
        <v>89</v>
      </c>
      <c r="F291" t="s">
        <v>28</v>
      </c>
      <c r="G291" t="s">
        <v>29</v>
      </c>
      <c r="H291" t="s">
        <v>61</v>
      </c>
      <c r="I291">
        <v>13</v>
      </c>
      <c r="J291" t="s">
        <v>660</v>
      </c>
      <c r="K291">
        <v>23</v>
      </c>
      <c r="L291" t="s">
        <v>80</v>
      </c>
      <c r="M291">
        <v>7</v>
      </c>
      <c r="N291" t="s">
        <v>64</v>
      </c>
      <c r="O291" t="s">
        <v>81</v>
      </c>
      <c r="P291" t="s">
        <v>50</v>
      </c>
      <c r="Q291" s="2">
        <v>23240.400000000001</v>
      </c>
      <c r="R291" s="2">
        <v>793.51</v>
      </c>
      <c r="S291" t="s">
        <v>94</v>
      </c>
      <c r="T291" t="s">
        <v>52</v>
      </c>
      <c r="U291" t="s">
        <v>38</v>
      </c>
      <c r="V291">
        <v>2.8</v>
      </c>
      <c r="W291" t="s">
        <v>76</v>
      </c>
      <c r="X291" t="s">
        <v>84</v>
      </c>
      <c r="Y291" t="s">
        <v>72</v>
      </c>
    </row>
    <row r="292" spans="1:25" x14ac:dyDescent="0.3">
      <c r="A292" t="s">
        <v>661</v>
      </c>
      <c r="B292" s="1">
        <v>45216</v>
      </c>
      <c r="C292" t="s">
        <v>26</v>
      </c>
      <c r="D292" t="s">
        <v>26</v>
      </c>
      <c r="E292" t="s">
        <v>120</v>
      </c>
      <c r="F292" t="s">
        <v>28</v>
      </c>
      <c r="G292" t="s">
        <v>29</v>
      </c>
      <c r="H292" t="s">
        <v>86</v>
      </c>
      <c r="I292">
        <v>3</v>
      </c>
      <c r="J292" t="s">
        <v>662</v>
      </c>
      <c r="K292">
        <v>59</v>
      </c>
      <c r="L292" t="s">
        <v>32</v>
      </c>
      <c r="M292">
        <v>5</v>
      </c>
      <c r="N292" t="s">
        <v>33</v>
      </c>
      <c r="O292" t="s">
        <v>69</v>
      </c>
      <c r="P292" t="s">
        <v>35</v>
      </c>
      <c r="Q292" s="2">
        <v>13275.97</v>
      </c>
      <c r="R292" s="2">
        <v>2061.67</v>
      </c>
      <c r="S292" t="s">
        <v>36</v>
      </c>
      <c r="T292" t="s">
        <v>71</v>
      </c>
      <c r="U292" t="s">
        <v>75</v>
      </c>
      <c r="V292">
        <v>1.4</v>
      </c>
      <c r="W292" t="s">
        <v>124</v>
      </c>
      <c r="X292" t="s">
        <v>40</v>
      </c>
      <c r="Y292" t="s">
        <v>72</v>
      </c>
    </row>
    <row r="293" spans="1:25" x14ac:dyDescent="0.3">
      <c r="A293" t="s">
        <v>663</v>
      </c>
      <c r="B293" s="1">
        <v>45217</v>
      </c>
      <c r="C293" t="s">
        <v>57</v>
      </c>
      <c r="D293" t="s">
        <v>44</v>
      </c>
      <c r="E293" t="s">
        <v>89</v>
      </c>
      <c r="F293" t="s">
        <v>28</v>
      </c>
      <c r="G293" t="s">
        <v>29</v>
      </c>
      <c r="H293" t="s">
        <v>61</v>
      </c>
      <c r="I293">
        <v>14</v>
      </c>
      <c r="J293" t="s">
        <v>664</v>
      </c>
      <c r="K293">
        <v>57</v>
      </c>
      <c r="L293" t="s">
        <v>80</v>
      </c>
      <c r="M293">
        <v>7</v>
      </c>
      <c r="N293" t="s">
        <v>91</v>
      </c>
      <c r="O293" t="s">
        <v>34</v>
      </c>
      <c r="P293" t="s">
        <v>70</v>
      </c>
      <c r="Q293" s="2">
        <v>21162.81</v>
      </c>
      <c r="R293" s="2">
        <v>375.96</v>
      </c>
      <c r="S293" t="s">
        <v>36</v>
      </c>
      <c r="T293" t="s">
        <v>71</v>
      </c>
      <c r="U293" t="s">
        <v>83</v>
      </c>
      <c r="V293">
        <v>2.1</v>
      </c>
      <c r="W293" t="s">
        <v>76</v>
      </c>
      <c r="X293" t="s">
        <v>65</v>
      </c>
      <c r="Y293" t="s">
        <v>41</v>
      </c>
    </row>
    <row r="294" spans="1:25" x14ac:dyDescent="0.3">
      <c r="A294" t="s">
        <v>665</v>
      </c>
      <c r="B294" s="1">
        <v>45218</v>
      </c>
      <c r="C294" t="s">
        <v>117</v>
      </c>
      <c r="D294" t="s">
        <v>4083</v>
      </c>
      <c r="E294" t="s">
        <v>120</v>
      </c>
      <c r="F294" t="s">
        <v>28</v>
      </c>
      <c r="G294" t="s">
        <v>29</v>
      </c>
      <c r="H294" t="s">
        <v>86</v>
      </c>
      <c r="I294">
        <v>11</v>
      </c>
      <c r="J294" t="s">
        <v>666</v>
      </c>
      <c r="K294">
        <v>48</v>
      </c>
      <c r="L294" t="s">
        <v>32</v>
      </c>
      <c r="M294">
        <v>2</v>
      </c>
      <c r="N294" t="s">
        <v>33</v>
      </c>
      <c r="O294" t="s">
        <v>34</v>
      </c>
      <c r="P294" t="s">
        <v>70</v>
      </c>
      <c r="Q294" s="2">
        <v>22250.82</v>
      </c>
      <c r="R294" s="2">
        <v>3777.89</v>
      </c>
      <c r="S294" t="s">
        <v>36</v>
      </c>
      <c r="T294" t="s">
        <v>37</v>
      </c>
      <c r="U294" t="s">
        <v>38</v>
      </c>
      <c r="V294">
        <v>3.5</v>
      </c>
      <c r="W294" t="s">
        <v>54</v>
      </c>
      <c r="X294" t="s">
        <v>65</v>
      </c>
      <c r="Y294" t="s">
        <v>72</v>
      </c>
    </row>
    <row r="295" spans="1:25" x14ac:dyDescent="0.3">
      <c r="A295" t="s">
        <v>667</v>
      </c>
      <c r="B295" s="1">
        <v>45219</v>
      </c>
      <c r="C295" t="s">
        <v>117</v>
      </c>
      <c r="D295" t="s">
        <v>4083</v>
      </c>
      <c r="E295" t="s">
        <v>45</v>
      </c>
      <c r="F295" t="s">
        <v>28</v>
      </c>
      <c r="G295" t="s">
        <v>29</v>
      </c>
      <c r="H295" t="s">
        <v>67</v>
      </c>
      <c r="I295">
        <v>10</v>
      </c>
      <c r="J295" t="s">
        <v>668</v>
      </c>
      <c r="K295">
        <v>34</v>
      </c>
      <c r="L295" t="s">
        <v>80</v>
      </c>
      <c r="M295">
        <v>6</v>
      </c>
      <c r="N295" t="s">
        <v>48</v>
      </c>
      <c r="O295" t="s">
        <v>81</v>
      </c>
      <c r="P295" t="s">
        <v>82</v>
      </c>
      <c r="Q295" s="2">
        <v>26371.78</v>
      </c>
      <c r="R295" s="2">
        <v>2007.27</v>
      </c>
      <c r="S295" t="s">
        <v>51</v>
      </c>
      <c r="T295" t="s">
        <v>71</v>
      </c>
      <c r="U295" t="s">
        <v>75</v>
      </c>
      <c r="V295">
        <v>1.9</v>
      </c>
      <c r="W295" t="s">
        <v>124</v>
      </c>
      <c r="X295" t="s">
        <v>84</v>
      </c>
      <c r="Y295" t="s">
        <v>41</v>
      </c>
    </row>
    <row r="296" spans="1:25" x14ac:dyDescent="0.3">
      <c r="A296" t="s">
        <v>669</v>
      </c>
      <c r="B296" s="1">
        <v>45220</v>
      </c>
      <c r="C296" t="s">
        <v>26</v>
      </c>
      <c r="D296" t="s">
        <v>26</v>
      </c>
      <c r="E296" t="s">
        <v>45</v>
      </c>
      <c r="F296" t="s">
        <v>28</v>
      </c>
      <c r="G296" t="s">
        <v>29</v>
      </c>
      <c r="H296" t="s">
        <v>67</v>
      </c>
      <c r="I296">
        <v>4</v>
      </c>
      <c r="J296" t="s">
        <v>670</v>
      </c>
      <c r="K296">
        <v>42</v>
      </c>
      <c r="L296" t="s">
        <v>80</v>
      </c>
      <c r="M296">
        <v>3</v>
      </c>
      <c r="N296" t="s">
        <v>33</v>
      </c>
      <c r="O296" t="s">
        <v>49</v>
      </c>
      <c r="P296" t="s">
        <v>82</v>
      </c>
      <c r="Q296" s="2">
        <v>32013.07</v>
      </c>
      <c r="R296" s="2">
        <v>1715.12</v>
      </c>
      <c r="S296" t="s">
        <v>94</v>
      </c>
      <c r="T296" t="s">
        <v>37</v>
      </c>
      <c r="U296" t="s">
        <v>53</v>
      </c>
      <c r="V296">
        <v>3.6</v>
      </c>
      <c r="W296" t="s">
        <v>54</v>
      </c>
      <c r="X296" t="s">
        <v>55</v>
      </c>
      <c r="Y296" t="s">
        <v>72</v>
      </c>
    </row>
    <row r="297" spans="1:25" x14ac:dyDescent="0.3">
      <c r="A297" t="s">
        <v>671</v>
      </c>
      <c r="B297" s="1">
        <v>45221</v>
      </c>
      <c r="C297" t="s">
        <v>26</v>
      </c>
      <c r="D297" t="s">
        <v>26</v>
      </c>
      <c r="E297" t="s">
        <v>45</v>
      </c>
      <c r="F297" t="s">
        <v>28</v>
      </c>
      <c r="G297" t="s">
        <v>29</v>
      </c>
      <c r="H297" t="s">
        <v>67</v>
      </c>
      <c r="I297">
        <v>13</v>
      </c>
      <c r="J297" t="s">
        <v>672</v>
      </c>
      <c r="K297">
        <v>49</v>
      </c>
      <c r="L297" t="s">
        <v>63</v>
      </c>
      <c r="M297">
        <v>2</v>
      </c>
      <c r="N297" t="s">
        <v>64</v>
      </c>
      <c r="O297" t="s">
        <v>49</v>
      </c>
      <c r="P297" t="s">
        <v>70</v>
      </c>
      <c r="Q297" s="2">
        <v>30693.99</v>
      </c>
      <c r="R297" s="2">
        <v>2545.54</v>
      </c>
      <c r="S297" t="s">
        <v>94</v>
      </c>
      <c r="T297" t="s">
        <v>52</v>
      </c>
      <c r="U297" t="s">
        <v>83</v>
      </c>
      <c r="V297">
        <v>4.7</v>
      </c>
      <c r="W297" t="s">
        <v>103</v>
      </c>
      <c r="X297" t="s">
        <v>40</v>
      </c>
      <c r="Y297" t="s">
        <v>41</v>
      </c>
    </row>
    <row r="298" spans="1:25" x14ac:dyDescent="0.3">
      <c r="A298" t="s">
        <v>673</v>
      </c>
      <c r="B298" s="1">
        <v>45222</v>
      </c>
      <c r="C298" t="s">
        <v>43</v>
      </c>
      <c r="D298" t="s">
        <v>58</v>
      </c>
      <c r="E298" t="s">
        <v>4084</v>
      </c>
      <c r="F298" t="s">
        <v>60</v>
      </c>
      <c r="G298" t="s">
        <v>29</v>
      </c>
      <c r="H298" t="s">
        <v>27</v>
      </c>
      <c r="I298">
        <v>3</v>
      </c>
      <c r="J298" t="s">
        <v>674</v>
      </c>
      <c r="K298">
        <v>29</v>
      </c>
      <c r="L298" t="s">
        <v>80</v>
      </c>
      <c r="M298">
        <v>4</v>
      </c>
      <c r="N298" t="s">
        <v>48</v>
      </c>
      <c r="O298" t="s">
        <v>49</v>
      </c>
      <c r="P298" t="s">
        <v>70</v>
      </c>
      <c r="Q298" s="2">
        <v>6754.61</v>
      </c>
      <c r="R298" s="2">
        <v>3544.78</v>
      </c>
      <c r="S298" t="s">
        <v>51</v>
      </c>
      <c r="T298" t="s">
        <v>37</v>
      </c>
      <c r="U298" t="s">
        <v>75</v>
      </c>
      <c r="V298">
        <v>1</v>
      </c>
      <c r="W298" t="s">
        <v>124</v>
      </c>
      <c r="X298" t="s">
        <v>65</v>
      </c>
      <c r="Y298" t="s">
        <v>41</v>
      </c>
    </row>
    <row r="299" spans="1:25" x14ac:dyDescent="0.3">
      <c r="A299" t="s">
        <v>675</v>
      </c>
      <c r="B299" s="1">
        <v>45223</v>
      </c>
      <c r="C299" t="s">
        <v>43</v>
      </c>
      <c r="D299" t="s">
        <v>58</v>
      </c>
      <c r="E299" t="s">
        <v>45</v>
      </c>
      <c r="F299" t="s">
        <v>28</v>
      </c>
      <c r="G299" t="s">
        <v>29</v>
      </c>
      <c r="H299" t="s">
        <v>67</v>
      </c>
      <c r="I299">
        <v>3</v>
      </c>
      <c r="J299" t="s">
        <v>676</v>
      </c>
      <c r="K299">
        <v>66</v>
      </c>
      <c r="L299" t="s">
        <v>63</v>
      </c>
      <c r="M299">
        <v>3</v>
      </c>
      <c r="N299" t="s">
        <v>64</v>
      </c>
      <c r="O299" t="s">
        <v>69</v>
      </c>
      <c r="P299" t="s">
        <v>82</v>
      </c>
      <c r="Q299" s="2">
        <v>38781.01</v>
      </c>
      <c r="R299" s="2">
        <v>2846.73</v>
      </c>
      <c r="S299" t="s">
        <v>115</v>
      </c>
      <c r="T299" t="s">
        <v>52</v>
      </c>
      <c r="U299" t="s">
        <v>83</v>
      </c>
      <c r="V299">
        <v>4.0999999999999996</v>
      </c>
      <c r="W299" t="s">
        <v>54</v>
      </c>
      <c r="X299" t="s">
        <v>65</v>
      </c>
      <c r="Y299" t="s">
        <v>72</v>
      </c>
    </row>
    <row r="300" spans="1:25" x14ac:dyDescent="0.3">
      <c r="A300" t="s">
        <v>677</v>
      </c>
      <c r="B300" s="1">
        <v>45224</v>
      </c>
      <c r="C300" t="s">
        <v>57</v>
      </c>
      <c r="D300" t="s">
        <v>44</v>
      </c>
      <c r="E300" t="s">
        <v>89</v>
      </c>
      <c r="F300" t="s">
        <v>28</v>
      </c>
      <c r="G300" t="s">
        <v>29</v>
      </c>
      <c r="H300" t="s">
        <v>61</v>
      </c>
      <c r="I300">
        <v>14</v>
      </c>
      <c r="J300" t="s">
        <v>678</v>
      </c>
      <c r="K300">
        <v>30</v>
      </c>
      <c r="L300" t="s">
        <v>32</v>
      </c>
      <c r="M300">
        <v>4</v>
      </c>
      <c r="N300" t="s">
        <v>33</v>
      </c>
      <c r="O300" t="s">
        <v>81</v>
      </c>
      <c r="P300" t="s">
        <v>35</v>
      </c>
      <c r="Q300" s="2">
        <v>47713.27</v>
      </c>
      <c r="R300" s="2">
        <v>4012.01</v>
      </c>
      <c r="S300" t="s">
        <v>36</v>
      </c>
      <c r="T300" t="s">
        <v>71</v>
      </c>
      <c r="U300" t="s">
        <v>38</v>
      </c>
      <c r="V300">
        <v>3.6</v>
      </c>
      <c r="W300" t="s">
        <v>54</v>
      </c>
      <c r="X300" t="s">
        <v>65</v>
      </c>
      <c r="Y300" t="s">
        <v>41</v>
      </c>
    </row>
    <row r="301" spans="1:25" x14ac:dyDescent="0.3">
      <c r="A301" t="s">
        <v>679</v>
      </c>
      <c r="B301" s="1">
        <v>45225</v>
      </c>
      <c r="C301" t="s">
        <v>26</v>
      </c>
      <c r="D301" t="s">
        <v>26</v>
      </c>
      <c r="E301" t="s">
        <v>4085</v>
      </c>
      <c r="F301" t="s">
        <v>60</v>
      </c>
      <c r="G301" t="s">
        <v>29</v>
      </c>
      <c r="H301" t="s">
        <v>46</v>
      </c>
      <c r="I301">
        <v>8</v>
      </c>
      <c r="J301" t="s">
        <v>680</v>
      </c>
      <c r="K301">
        <v>36</v>
      </c>
      <c r="L301" t="s">
        <v>32</v>
      </c>
      <c r="M301">
        <v>5</v>
      </c>
      <c r="N301" t="s">
        <v>48</v>
      </c>
      <c r="O301" t="s">
        <v>49</v>
      </c>
      <c r="P301" t="s">
        <v>50</v>
      </c>
      <c r="Q301" s="2">
        <v>20690.66</v>
      </c>
      <c r="R301" s="2">
        <v>3146.81</v>
      </c>
      <c r="S301" t="s">
        <v>51</v>
      </c>
      <c r="T301" t="s">
        <v>52</v>
      </c>
      <c r="U301" t="s">
        <v>75</v>
      </c>
      <c r="V301">
        <v>1.2</v>
      </c>
      <c r="W301" t="s">
        <v>124</v>
      </c>
      <c r="X301" t="s">
        <v>106</v>
      </c>
      <c r="Y301" t="s">
        <v>41</v>
      </c>
    </row>
    <row r="302" spans="1:25" x14ac:dyDescent="0.3">
      <c r="A302" t="s">
        <v>681</v>
      </c>
      <c r="B302" s="1">
        <v>45226</v>
      </c>
      <c r="C302" t="s">
        <v>117</v>
      </c>
      <c r="D302" t="s">
        <v>4083</v>
      </c>
      <c r="E302" t="s">
        <v>120</v>
      </c>
      <c r="F302" t="s">
        <v>28</v>
      </c>
      <c r="G302" t="s">
        <v>29</v>
      </c>
      <c r="H302" t="s">
        <v>86</v>
      </c>
      <c r="I302">
        <v>11</v>
      </c>
      <c r="J302" t="s">
        <v>682</v>
      </c>
      <c r="K302">
        <v>61</v>
      </c>
      <c r="L302" t="s">
        <v>63</v>
      </c>
      <c r="M302">
        <v>1</v>
      </c>
      <c r="N302" t="s">
        <v>91</v>
      </c>
      <c r="O302" t="s">
        <v>69</v>
      </c>
      <c r="P302" t="s">
        <v>82</v>
      </c>
      <c r="Q302" s="2">
        <v>13088.61</v>
      </c>
      <c r="R302" s="2">
        <v>3939.85</v>
      </c>
      <c r="S302" t="s">
        <v>36</v>
      </c>
      <c r="T302" t="s">
        <v>52</v>
      </c>
      <c r="U302" t="s">
        <v>53</v>
      </c>
      <c r="V302">
        <v>4.2</v>
      </c>
      <c r="W302" t="s">
        <v>54</v>
      </c>
      <c r="X302" t="s">
        <v>55</v>
      </c>
      <c r="Y302" t="s">
        <v>72</v>
      </c>
    </row>
    <row r="303" spans="1:25" x14ac:dyDescent="0.3">
      <c r="A303" t="s">
        <v>683</v>
      </c>
      <c r="B303" s="1">
        <v>45227</v>
      </c>
      <c r="C303" t="s">
        <v>43</v>
      </c>
      <c r="D303" t="s">
        <v>58</v>
      </c>
      <c r="E303" t="s">
        <v>4084</v>
      </c>
      <c r="F303" t="s">
        <v>60</v>
      </c>
      <c r="G303" t="s">
        <v>29</v>
      </c>
      <c r="H303" t="s">
        <v>27</v>
      </c>
      <c r="I303">
        <v>9</v>
      </c>
      <c r="J303" t="s">
        <v>684</v>
      </c>
      <c r="K303">
        <v>65</v>
      </c>
      <c r="L303" t="s">
        <v>32</v>
      </c>
      <c r="M303">
        <v>7</v>
      </c>
      <c r="N303" t="s">
        <v>48</v>
      </c>
      <c r="O303" t="s">
        <v>81</v>
      </c>
      <c r="P303" t="s">
        <v>35</v>
      </c>
      <c r="Q303" s="2">
        <v>29300.07</v>
      </c>
      <c r="R303" s="2">
        <v>3483.91</v>
      </c>
      <c r="S303" t="s">
        <v>94</v>
      </c>
      <c r="T303" t="s">
        <v>52</v>
      </c>
      <c r="U303" t="s">
        <v>83</v>
      </c>
      <c r="V303">
        <v>1.9</v>
      </c>
      <c r="W303" t="s">
        <v>124</v>
      </c>
      <c r="X303" t="s">
        <v>65</v>
      </c>
      <c r="Y303" t="s">
        <v>72</v>
      </c>
    </row>
    <row r="304" spans="1:25" x14ac:dyDescent="0.3">
      <c r="A304" t="s">
        <v>685</v>
      </c>
      <c r="B304" s="1">
        <v>45228</v>
      </c>
      <c r="C304" t="s">
        <v>43</v>
      </c>
      <c r="D304" t="s">
        <v>58</v>
      </c>
      <c r="E304" t="s">
        <v>45</v>
      </c>
      <c r="F304" t="s">
        <v>28</v>
      </c>
      <c r="G304" t="s">
        <v>29</v>
      </c>
      <c r="H304" t="s">
        <v>67</v>
      </c>
      <c r="I304">
        <v>7</v>
      </c>
      <c r="J304" t="s">
        <v>686</v>
      </c>
      <c r="K304">
        <v>42</v>
      </c>
      <c r="L304" t="s">
        <v>80</v>
      </c>
      <c r="M304">
        <v>4</v>
      </c>
      <c r="N304" t="s">
        <v>64</v>
      </c>
      <c r="O304" t="s">
        <v>69</v>
      </c>
      <c r="P304" t="s">
        <v>70</v>
      </c>
      <c r="Q304" s="2">
        <v>36721.08</v>
      </c>
      <c r="R304" s="2">
        <v>965.61</v>
      </c>
      <c r="S304" t="s">
        <v>51</v>
      </c>
      <c r="T304" t="s">
        <v>37</v>
      </c>
      <c r="U304" t="s">
        <v>75</v>
      </c>
      <c r="V304">
        <v>2.1</v>
      </c>
      <c r="W304" t="s">
        <v>76</v>
      </c>
      <c r="X304" t="s">
        <v>55</v>
      </c>
      <c r="Y304" t="s">
        <v>41</v>
      </c>
    </row>
    <row r="305" spans="1:25" x14ac:dyDescent="0.3">
      <c r="A305" t="s">
        <v>687</v>
      </c>
      <c r="B305" s="1">
        <v>45229</v>
      </c>
      <c r="C305" t="s">
        <v>117</v>
      </c>
      <c r="D305" t="s">
        <v>4083</v>
      </c>
      <c r="E305" t="s">
        <v>45</v>
      </c>
      <c r="F305" t="s">
        <v>28</v>
      </c>
      <c r="G305" t="s">
        <v>29</v>
      </c>
      <c r="H305" t="s">
        <v>67</v>
      </c>
      <c r="I305">
        <v>13</v>
      </c>
      <c r="J305" t="s">
        <v>688</v>
      </c>
      <c r="K305">
        <v>48</v>
      </c>
      <c r="L305" t="s">
        <v>63</v>
      </c>
      <c r="M305">
        <v>5</v>
      </c>
      <c r="N305" t="s">
        <v>48</v>
      </c>
      <c r="O305" t="s">
        <v>49</v>
      </c>
      <c r="P305" t="s">
        <v>50</v>
      </c>
      <c r="Q305" s="2">
        <v>35550.720000000001</v>
      </c>
      <c r="R305" s="2">
        <v>261.77</v>
      </c>
      <c r="S305" t="s">
        <v>115</v>
      </c>
      <c r="T305" t="s">
        <v>52</v>
      </c>
      <c r="U305" t="s">
        <v>38</v>
      </c>
      <c r="V305">
        <v>1.4</v>
      </c>
      <c r="W305" t="s">
        <v>124</v>
      </c>
      <c r="X305" t="s">
        <v>84</v>
      </c>
      <c r="Y305" t="s">
        <v>72</v>
      </c>
    </row>
    <row r="306" spans="1:25" x14ac:dyDescent="0.3">
      <c r="A306" t="s">
        <v>689</v>
      </c>
      <c r="B306" s="1">
        <v>45230</v>
      </c>
      <c r="C306" t="s">
        <v>43</v>
      </c>
      <c r="D306" t="s">
        <v>58</v>
      </c>
      <c r="E306" t="s">
        <v>4085</v>
      </c>
      <c r="F306" t="s">
        <v>60</v>
      </c>
      <c r="G306" t="s">
        <v>29</v>
      </c>
      <c r="H306" t="s">
        <v>59</v>
      </c>
      <c r="I306">
        <v>4</v>
      </c>
      <c r="J306" t="s">
        <v>690</v>
      </c>
      <c r="K306">
        <v>54</v>
      </c>
      <c r="L306" t="s">
        <v>63</v>
      </c>
      <c r="M306">
        <v>2</v>
      </c>
      <c r="N306" t="s">
        <v>91</v>
      </c>
      <c r="O306" t="s">
        <v>49</v>
      </c>
      <c r="P306" t="s">
        <v>35</v>
      </c>
      <c r="Q306" s="2">
        <v>32544.93</v>
      </c>
      <c r="R306" s="2">
        <v>4516.9799999999996</v>
      </c>
      <c r="S306" t="s">
        <v>36</v>
      </c>
      <c r="T306" t="s">
        <v>37</v>
      </c>
      <c r="U306" t="s">
        <v>38</v>
      </c>
      <c r="V306">
        <v>3.1</v>
      </c>
      <c r="W306" t="s">
        <v>76</v>
      </c>
      <c r="X306" t="s">
        <v>84</v>
      </c>
      <c r="Y306" t="s">
        <v>41</v>
      </c>
    </row>
    <row r="307" spans="1:25" x14ac:dyDescent="0.3">
      <c r="A307" t="s">
        <v>691</v>
      </c>
      <c r="B307" s="1">
        <v>45231</v>
      </c>
      <c r="C307" t="s">
        <v>57</v>
      </c>
      <c r="D307" t="s">
        <v>44</v>
      </c>
      <c r="E307" t="s">
        <v>4085</v>
      </c>
      <c r="F307" t="s">
        <v>60</v>
      </c>
      <c r="G307" t="s">
        <v>29</v>
      </c>
      <c r="H307" t="s">
        <v>46</v>
      </c>
      <c r="I307">
        <v>3</v>
      </c>
      <c r="J307" t="s">
        <v>692</v>
      </c>
      <c r="K307">
        <v>42</v>
      </c>
      <c r="L307" t="s">
        <v>63</v>
      </c>
      <c r="M307">
        <v>4</v>
      </c>
      <c r="N307" t="s">
        <v>91</v>
      </c>
      <c r="O307" t="s">
        <v>34</v>
      </c>
      <c r="P307" t="s">
        <v>50</v>
      </c>
      <c r="Q307" s="2">
        <v>11580.45</v>
      </c>
      <c r="R307" s="2">
        <v>4728.28</v>
      </c>
      <c r="S307" t="s">
        <v>94</v>
      </c>
      <c r="T307" t="s">
        <v>37</v>
      </c>
      <c r="U307" t="s">
        <v>75</v>
      </c>
      <c r="V307">
        <v>3</v>
      </c>
      <c r="W307" t="s">
        <v>76</v>
      </c>
      <c r="X307" t="s">
        <v>106</v>
      </c>
      <c r="Y307" t="s">
        <v>72</v>
      </c>
    </row>
    <row r="308" spans="1:25" x14ac:dyDescent="0.3">
      <c r="A308" t="s">
        <v>693</v>
      </c>
      <c r="B308" s="1">
        <v>45232</v>
      </c>
      <c r="C308" t="s">
        <v>26</v>
      </c>
      <c r="D308" t="s">
        <v>26</v>
      </c>
      <c r="E308" t="s">
        <v>4084</v>
      </c>
      <c r="F308" t="s">
        <v>60</v>
      </c>
      <c r="G308" t="s">
        <v>29</v>
      </c>
      <c r="H308" t="s">
        <v>27</v>
      </c>
      <c r="I308">
        <v>4</v>
      </c>
      <c r="J308" t="s">
        <v>694</v>
      </c>
      <c r="K308">
        <v>33</v>
      </c>
      <c r="L308" t="s">
        <v>32</v>
      </c>
      <c r="M308">
        <v>5</v>
      </c>
      <c r="N308" t="s">
        <v>91</v>
      </c>
      <c r="O308" t="s">
        <v>34</v>
      </c>
      <c r="P308" t="s">
        <v>50</v>
      </c>
      <c r="Q308" s="2">
        <v>42657.120000000003</v>
      </c>
      <c r="R308" s="2">
        <v>3634.66</v>
      </c>
      <c r="S308" t="s">
        <v>94</v>
      </c>
      <c r="T308" t="s">
        <v>37</v>
      </c>
      <c r="U308" t="s">
        <v>38</v>
      </c>
      <c r="V308">
        <v>2.4</v>
      </c>
      <c r="W308" t="s">
        <v>76</v>
      </c>
      <c r="X308" t="s">
        <v>55</v>
      </c>
      <c r="Y308" t="s">
        <v>72</v>
      </c>
    </row>
    <row r="309" spans="1:25" x14ac:dyDescent="0.3">
      <c r="A309" t="s">
        <v>695</v>
      </c>
      <c r="B309" s="1">
        <v>45233</v>
      </c>
      <c r="C309" t="s">
        <v>117</v>
      </c>
      <c r="D309" t="s">
        <v>4083</v>
      </c>
      <c r="E309" t="s">
        <v>120</v>
      </c>
      <c r="F309" t="s">
        <v>28</v>
      </c>
      <c r="G309" t="s">
        <v>29</v>
      </c>
      <c r="H309" t="s">
        <v>86</v>
      </c>
      <c r="I309">
        <v>3</v>
      </c>
      <c r="J309" t="s">
        <v>696</v>
      </c>
      <c r="K309">
        <v>55</v>
      </c>
      <c r="L309" t="s">
        <v>32</v>
      </c>
      <c r="M309">
        <v>1</v>
      </c>
      <c r="N309" t="s">
        <v>91</v>
      </c>
      <c r="O309" t="s">
        <v>81</v>
      </c>
      <c r="P309" t="s">
        <v>50</v>
      </c>
      <c r="Q309" s="2">
        <v>24152.97</v>
      </c>
      <c r="R309" s="2">
        <v>3621.03</v>
      </c>
      <c r="S309" t="s">
        <v>115</v>
      </c>
      <c r="T309" t="s">
        <v>71</v>
      </c>
      <c r="U309" t="s">
        <v>83</v>
      </c>
      <c r="V309">
        <v>1.7</v>
      </c>
      <c r="W309" t="s">
        <v>124</v>
      </c>
      <c r="X309" t="s">
        <v>40</v>
      </c>
      <c r="Y309" t="s">
        <v>72</v>
      </c>
    </row>
    <row r="310" spans="1:25" x14ac:dyDescent="0.3">
      <c r="A310" t="s">
        <v>697</v>
      </c>
      <c r="B310" s="1">
        <v>45234</v>
      </c>
      <c r="C310" t="s">
        <v>26</v>
      </c>
      <c r="D310" t="s">
        <v>26</v>
      </c>
      <c r="E310" t="s">
        <v>45</v>
      </c>
      <c r="F310" t="s">
        <v>28</v>
      </c>
      <c r="G310" t="s">
        <v>29</v>
      </c>
      <c r="H310" t="s">
        <v>67</v>
      </c>
      <c r="I310">
        <v>5</v>
      </c>
      <c r="J310" t="s">
        <v>698</v>
      </c>
      <c r="K310">
        <v>60</v>
      </c>
      <c r="L310" t="s">
        <v>80</v>
      </c>
      <c r="M310">
        <v>7</v>
      </c>
      <c r="N310" t="s">
        <v>64</v>
      </c>
      <c r="O310" t="s">
        <v>69</v>
      </c>
      <c r="P310" t="s">
        <v>35</v>
      </c>
      <c r="Q310" s="2">
        <v>14966.09</v>
      </c>
      <c r="R310" s="2">
        <v>1350.74</v>
      </c>
      <c r="S310" t="s">
        <v>115</v>
      </c>
      <c r="T310" t="s">
        <v>71</v>
      </c>
      <c r="U310" t="s">
        <v>83</v>
      </c>
      <c r="V310">
        <v>4.4000000000000004</v>
      </c>
      <c r="W310" t="s">
        <v>54</v>
      </c>
      <c r="X310" t="s">
        <v>106</v>
      </c>
      <c r="Y310" t="s">
        <v>41</v>
      </c>
    </row>
    <row r="311" spans="1:25" x14ac:dyDescent="0.3">
      <c r="A311" t="s">
        <v>699</v>
      </c>
      <c r="B311" s="1">
        <v>45235</v>
      </c>
      <c r="C311" t="s">
        <v>43</v>
      </c>
      <c r="D311" t="s">
        <v>58</v>
      </c>
      <c r="E311" t="s">
        <v>4084</v>
      </c>
      <c r="F311" t="s">
        <v>60</v>
      </c>
      <c r="G311" t="s">
        <v>29</v>
      </c>
      <c r="H311" t="s">
        <v>27</v>
      </c>
      <c r="I311">
        <v>8</v>
      </c>
      <c r="J311" t="s">
        <v>700</v>
      </c>
      <c r="K311">
        <v>66</v>
      </c>
      <c r="L311" t="s">
        <v>80</v>
      </c>
      <c r="M311">
        <v>4</v>
      </c>
      <c r="N311" t="s">
        <v>48</v>
      </c>
      <c r="O311" t="s">
        <v>69</v>
      </c>
      <c r="P311" t="s">
        <v>35</v>
      </c>
      <c r="Q311" s="2">
        <v>8881.98</v>
      </c>
      <c r="R311" s="2">
        <v>2712.21</v>
      </c>
      <c r="S311" t="s">
        <v>36</v>
      </c>
      <c r="T311" t="s">
        <v>71</v>
      </c>
      <c r="U311" t="s">
        <v>83</v>
      </c>
      <c r="V311">
        <v>4.5</v>
      </c>
      <c r="W311" t="s">
        <v>103</v>
      </c>
      <c r="X311" t="s">
        <v>65</v>
      </c>
      <c r="Y311" t="s">
        <v>41</v>
      </c>
    </row>
    <row r="312" spans="1:25" x14ac:dyDescent="0.3">
      <c r="A312" t="s">
        <v>701</v>
      </c>
      <c r="B312" s="1">
        <v>45236</v>
      </c>
      <c r="C312" t="s">
        <v>43</v>
      </c>
      <c r="D312" t="s">
        <v>58</v>
      </c>
      <c r="E312" t="s">
        <v>89</v>
      </c>
      <c r="F312" t="s">
        <v>28</v>
      </c>
      <c r="G312" t="s">
        <v>29</v>
      </c>
      <c r="H312" t="s">
        <v>61</v>
      </c>
      <c r="I312">
        <v>10</v>
      </c>
      <c r="J312" t="s">
        <v>702</v>
      </c>
      <c r="K312">
        <v>40</v>
      </c>
      <c r="L312" t="s">
        <v>63</v>
      </c>
      <c r="M312">
        <v>6</v>
      </c>
      <c r="N312" t="s">
        <v>33</v>
      </c>
      <c r="O312" t="s">
        <v>49</v>
      </c>
      <c r="P312" t="s">
        <v>70</v>
      </c>
      <c r="Q312" s="2">
        <v>23752.36</v>
      </c>
      <c r="R312" s="2">
        <v>4961.2</v>
      </c>
      <c r="S312" t="s">
        <v>94</v>
      </c>
      <c r="T312" t="s">
        <v>37</v>
      </c>
      <c r="U312" t="s">
        <v>83</v>
      </c>
      <c r="V312">
        <v>3.2</v>
      </c>
      <c r="W312" t="s">
        <v>76</v>
      </c>
      <c r="X312" t="s">
        <v>84</v>
      </c>
      <c r="Y312" t="s">
        <v>41</v>
      </c>
    </row>
    <row r="313" spans="1:25" x14ac:dyDescent="0.3">
      <c r="A313" t="s">
        <v>703</v>
      </c>
      <c r="B313" s="1">
        <v>45237</v>
      </c>
      <c r="C313" t="s">
        <v>117</v>
      </c>
      <c r="D313" t="s">
        <v>4083</v>
      </c>
      <c r="E313" t="s">
        <v>89</v>
      </c>
      <c r="F313" t="s">
        <v>28</v>
      </c>
      <c r="G313" t="s">
        <v>29</v>
      </c>
      <c r="H313" t="s">
        <v>61</v>
      </c>
      <c r="I313">
        <v>5</v>
      </c>
      <c r="J313" t="s">
        <v>704</v>
      </c>
      <c r="K313">
        <v>31</v>
      </c>
      <c r="L313" t="s">
        <v>80</v>
      </c>
      <c r="M313">
        <v>5</v>
      </c>
      <c r="N313" t="s">
        <v>91</v>
      </c>
      <c r="O313" t="s">
        <v>49</v>
      </c>
      <c r="P313" t="s">
        <v>50</v>
      </c>
      <c r="Q313" s="2">
        <v>32808.79</v>
      </c>
      <c r="R313" s="2">
        <v>4280.72</v>
      </c>
      <c r="S313" t="s">
        <v>115</v>
      </c>
      <c r="T313" t="s">
        <v>71</v>
      </c>
      <c r="U313" t="s">
        <v>38</v>
      </c>
      <c r="V313">
        <v>2</v>
      </c>
      <c r="W313" t="s">
        <v>76</v>
      </c>
      <c r="X313" t="s">
        <v>84</v>
      </c>
      <c r="Y313" t="s">
        <v>41</v>
      </c>
    </row>
    <row r="314" spans="1:25" x14ac:dyDescent="0.3">
      <c r="A314" t="s">
        <v>705</v>
      </c>
      <c r="B314" s="1">
        <v>45238</v>
      </c>
      <c r="C314" t="s">
        <v>57</v>
      </c>
      <c r="D314" t="s">
        <v>44</v>
      </c>
      <c r="E314" t="s">
        <v>4084</v>
      </c>
      <c r="F314" t="s">
        <v>60</v>
      </c>
      <c r="G314" t="s">
        <v>29</v>
      </c>
      <c r="H314" t="s">
        <v>27</v>
      </c>
      <c r="I314">
        <v>12</v>
      </c>
      <c r="J314" t="s">
        <v>706</v>
      </c>
      <c r="K314">
        <v>23</v>
      </c>
      <c r="L314" t="s">
        <v>32</v>
      </c>
      <c r="M314">
        <v>4</v>
      </c>
      <c r="N314" t="s">
        <v>33</v>
      </c>
      <c r="O314" t="s">
        <v>81</v>
      </c>
      <c r="P314" t="s">
        <v>82</v>
      </c>
      <c r="Q314" s="2">
        <v>34942</v>
      </c>
      <c r="R314" s="2">
        <v>1521.97</v>
      </c>
      <c r="S314" t="s">
        <v>51</v>
      </c>
      <c r="T314" t="s">
        <v>52</v>
      </c>
      <c r="U314" t="s">
        <v>75</v>
      </c>
      <c r="V314">
        <v>1.4</v>
      </c>
      <c r="W314" t="s">
        <v>124</v>
      </c>
      <c r="X314" t="s">
        <v>40</v>
      </c>
      <c r="Y314" t="s">
        <v>41</v>
      </c>
    </row>
    <row r="315" spans="1:25" x14ac:dyDescent="0.3">
      <c r="A315" t="s">
        <v>707</v>
      </c>
      <c r="B315" s="1">
        <v>45239</v>
      </c>
      <c r="C315" t="s">
        <v>78</v>
      </c>
      <c r="D315" t="s">
        <v>58</v>
      </c>
      <c r="E315" t="s">
        <v>45</v>
      </c>
      <c r="F315" t="s">
        <v>28</v>
      </c>
      <c r="G315" t="s">
        <v>29</v>
      </c>
      <c r="H315" t="s">
        <v>67</v>
      </c>
      <c r="I315">
        <v>11</v>
      </c>
      <c r="J315" t="s">
        <v>708</v>
      </c>
      <c r="K315">
        <v>42</v>
      </c>
      <c r="L315" t="s">
        <v>80</v>
      </c>
      <c r="M315">
        <v>1</v>
      </c>
      <c r="N315" t="s">
        <v>33</v>
      </c>
      <c r="O315" t="s">
        <v>34</v>
      </c>
      <c r="P315" t="s">
        <v>82</v>
      </c>
      <c r="Q315" s="2">
        <v>48323.16</v>
      </c>
      <c r="R315" s="2">
        <v>1505.23</v>
      </c>
      <c r="S315" t="s">
        <v>115</v>
      </c>
      <c r="T315" t="s">
        <v>37</v>
      </c>
      <c r="U315" t="s">
        <v>38</v>
      </c>
      <c r="V315">
        <v>4.5</v>
      </c>
      <c r="W315" t="s">
        <v>103</v>
      </c>
      <c r="X315" t="s">
        <v>106</v>
      </c>
      <c r="Y315" t="s">
        <v>72</v>
      </c>
    </row>
    <row r="316" spans="1:25" x14ac:dyDescent="0.3">
      <c r="A316" t="s">
        <v>709</v>
      </c>
      <c r="B316" s="1">
        <v>45240</v>
      </c>
      <c r="C316" t="s">
        <v>117</v>
      </c>
      <c r="D316" t="s">
        <v>4083</v>
      </c>
      <c r="E316" t="s">
        <v>4084</v>
      </c>
      <c r="F316" t="s">
        <v>60</v>
      </c>
      <c r="G316" t="s">
        <v>29</v>
      </c>
      <c r="H316" t="s">
        <v>30</v>
      </c>
      <c r="I316">
        <v>12</v>
      </c>
      <c r="J316" t="s">
        <v>710</v>
      </c>
      <c r="K316">
        <v>40</v>
      </c>
      <c r="L316" t="s">
        <v>32</v>
      </c>
      <c r="M316">
        <v>7</v>
      </c>
      <c r="N316" t="s">
        <v>48</v>
      </c>
      <c r="O316" t="s">
        <v>49</v>
      </c>
      <c r="P316" t="s">
        <v>82</v>
      </c>
      <c r="Q316" s="2">
        <v>11891.66</v>
      </c>
      <c r="R316" s="2">
        <v>2417.89</v>
      </c>
      <c r="S316" t="s">
        <v>51</v>
      </c>
      <c r="T316" t="s">
        <v>71</v>
      </c>
      <c r="U316" t="s">
        <v>38</v>
      </c>
      <c r="V316">
        <v>1.4</v>
      </c>
      <c r="W316" t="s">
        <v>124</v>
      </c>
      <c r="X316" t="s">
        <v>55</v>
      </c>
      <c r="Y316" t="s">
        <v>41</v>
      </c>
    </row>
    <row r="317" spans="1:25" x14ac:dyDescent="0.3">
      <c r="A317" t="s">
        <v>711</v>
      </c>
      <c r="B317" s="1">
        <v>45241</v>
      </c>
      <c r="C317" t="s">
        <v>78</v>
      </c>
      <c r="D317" t="s">
        <v>58</v>
      </c>
      <c r="E317" t="s">
        <v>45</v>
      </c>
      <c r="F317" t="s">
        <v>28</v>
      </c>
      <c r="G317" t="s">
        <v>29</v>
      </c>
      <c r="H317" t="s">
        <v>67</v>
      </c>
      <c r="I317">
        <v>7</v>
      </c>
      <c r="J317" t="s">
        <v>712</v>
      </c>
      <c r="K317">
        <v>60</v>
      </c>
      <c r="L317" t="s">
        <v>80</v>
      </c>
      <c r="M317">
        <v>4</v>
      </c>
      <c r="N317" t="s">
        <v>33</v>
      </c>
      <c r="O317" t="s">
        <v>69</v>
      </c>
      <c r="P317" t="s">
        <v>35</v>
      </c>
      <c r="Q317" s="2">
        <v>49359.81</v>
      </c>
      <c r="R317" s="2">
        <v>2022.99</v>
      </c>
      <c r="S317" t="s">
        <v>94</v>
      </c>
      <c r="T317" t="s">
        <v>37</v>
      </c>
      <c r="U317" t="s">
        <v>75</v>
      </c>
      <c r="V317">
        <v>1.1000000000000001</v>
      </c>
      <c r="W317" t="s">
        <v>124</v>
      </c>
      <c r="X317" t="s">
        <v>84</v>
      </c>
      <c r="Y317" t="s">
        <v>72</v>
      </c>
    </row>
    <row r="318" spans="1:25" x14ac:dyDescent="0.3">
      <c r="A318" t="s">
        <v>713</v>
      </c>
      <c r="B318" s="1">
        <v>45242</v>
      </c>
      <c r="C318" t="s">
        <v>78</v>
      </c>
      <c r="D318" t="s">
        <v>58</v>
      </c>
      <c r="E318" t="s">
        <v>4085</v>
      </c>
      <c r="F318" t="s">
        <v>60</v>
      </c>
      <c r="G318" t="s">
        <v>29</v>
      </c>
      <c r="H318" t="s">
        <v>46</v>
      </c>
      <c r="I318">
        <v>9</v>
      </c>
      <c r="J318" t="s">
        <v>714</v>
      </c>
      <c r="K318">
        <v>29</v>
      </c>
      <c r="L318" t="s">
        <v>32</v>
      </c>
      <c r="M318">
        <v>4</v>
      </c>
      <c r="N318" t="s">
        <v>33</v>
      </c>
      <c r="O318" t="s">
        <v>49</v>
      </c>
      <c r="P318" t="s">
        <v>70</v>
      </c>
      <c r="Q318" s="2">
        <v>34460.410000000003</v>
      </c>
      <c r="R318" s="2">
        <v>1855.77</v>
      </c>
      <c r="S318" t="s">
        <v>36</v>
      </c>
      <c r="T318" t="s">
        <v>71</v>
      </c>
      <c r="U318" t="s">
        <v>75</v>
      </c>
      <c r="V318">
        <v>2.9</v>
      </c>
      <c r="W318" t="s">
        <v>76</v>
      </c>
      <c r="X318" t="s">
        <v>65</v>
      </c>
      <c r="Y318" t="s">
        <v>72</v>
      </c>
    </row>
    <row r="319" spans="1:25" x14ac:dyDescent="0.3">
      <c r="A319" t="s">
        <v>715</v>
      </c>
      <c r="B319" s="1">
        <v>45243</v>
      </c>
      <c r="C319" t="s">
        <v>57</v>
      </c>
      <c r="D319" t="s">
        <v>44</v>
      </c>
      <c r="E319" t="s">
        <v>4084</v>
      </c>
      <c r="F319" t="s">
        <v>60</v>
      </c>
      <c r="G319" t="s">
        <v>29</v>
      </c>
      <c r="H319" t="s">
        <v>27</v>
      </c>
      <c r="I319">
        <v>10</v>
      </c>
      <c r="J319" t="s">
        <v>716</v>
      </c>
      <c r="K319">
        <v>30</v>
      </c>
      <c r="L319" t="s">
        <v>32</v>
      </c>
      <c r="M319">
        <v>7</v>
      </c>
      <c r="N319" t="s">
        <v>64</v>
      </c>
      <c r="O319" t="s">
        <v>34</v>
      </c>
      <c r="P319" t="s">
        <v>35</v>
      </c>
      <c r="Q319" s="2">
        <v>25440.31</v>
      </c>
      <c r="R319" s="2">
        <v>3134.86</v>
      </c>
      <c r="S319" t="s">
        <v>94</v>
      </c>
      <c r="T319" t="s">
        <v>52</v>
      </c>
      <c r="U319" t="s">
        <v>53</v>
      </c>
      <c r="V319">
        <v>3.9</v>
      </c>
      <c r="W319" t="s">
        <v>54</v>
      </c>
      <c r="X319" t="s">
        <v>40</v>
      </c>
      <c r="Y319" t="s">
        <v>72</v>
      </c>
    </row>
    <row r="320" spans="1:25" x14ac:dyDescent="0.3">
      <c r="A320" t="s">
        <v>717</v>
      </c>
      <c r="B320" s="1">
        <v>45244</v>
      </c>
      <c r="C320" t="s">
        <v>78</v>
      </c>
      <c r="D320" t="s">
        <v>58</v>
      </c>
      <c r="E320" t="s">
        <v>45</v>
      </c>
      <c r="F320" t="s">
        <v>28</v>
      </c>
      <c r="G320" t="s">
        <v>29</v>
      </c>
      <c r="H320" t="s">
        <v>67</v>
      </c>
      <c r="I320">
        <v>5</v>
      </c>
      <c r="J320" t="s">
        <v>718</v>
      </c>
      <c r="K320">
        <v>53</v>
      </c>
      <c r="L320" t="s">
        <v>80</v>
      </c>
      <c r="M320">
        <v>6</v>
      </c>
      <c r="N320" t="s">
        <v>33</v>
      </c>
      <c r="O320" t="s">
        <v>69</v>
      </c>
      <c r="P320" t="s">
        <v>50</v>
      </c>
      <c r="Q320" s="2">
        <v>44968.74</v>
      </c>
      <c r="R320" s="2">
        <v>57.46</v>
      </c>
      <c r="S320" t="s">
        <v>94</v>
      </c>
      <c r="T320" t="s">
        <v>37</v>
      </c>
      <c r="U320" t="s">
        <v>83</v>
      </c>
      <c r="V320">
        <v>2.8</v>
      </c>
      <c r="W320" t="s">
        <v>76</v>
      </c>
      <c r="X320" t="s">
        <v>40</v>
      </c>
      <c r="Y320" t="s">
        <v>41</v>
      </c>
    </row>
    <row r="321" spans="1:25" x14ac:dyDescent="0.3">
      <c r="A321" t="s">
        <v>719</v>
      </c>
      <c r="B321" s="1">
        <v>45245</v>
      </c>
      <c r="C321" t="s">
        <v>78</v>
      </c>
      <c r="D321" t="s">
        <v>58</v>
      </c>
      <c r="E321" t="s">
        <v>4084</v>
      </c>
      <c r="F321" t="s">
        <v>60</v>
      </c>
      <c r="G321" t="s">
        <v>29</v>
      </c>
      <c r="H321" t="s">
        <v>27</v>
      </c>
      <c r="I321">
        <v>4</v>
      </c>
      <c r="J321" t="s">
        <v>720</v>
      </c>
      <c r="K321">
        <v>56</v>
      </c>
      <c r="L321" t="s">
        <v>80</v>
      </c>
      <c r="M321">
        <v>5</v>
      </c>
      <c r="N321" t="s">
        <v>48</v>
      </c>
      <c r="O321" t="s">
        <v>34</v>
      </c>
      <c r="P321" t="s">
        <v>82</v>
      </c>
      <c r="Q321" s="2">
        <v>36251.589999999997</v>
      </c>
      <c r="R321" s="2">
        <v>3816.7</v>
      </c>
      <c r="S321" t="s">
        <v>94</v>
      </c>
      <c r="T321" t="s">
        <v>71</v>
      </c>
      <c r="U321" t="s">
        <v>75</v>
      </c>
      <c r="V321">
        <v>1.2</v>
      </c>
      <c r="W321" t="s">
        <v>124</v>
      </c>
      <c r="X321" t="s">
        <v>40</v>
      </c>
      <c r="Y321" t="s">
        <v>72</v>
      </c>
    </row>
    <row r="322" spans="1:25" x14ac:dyDescent="0.3">
      <c r="A322" t="s">
        <v>721</v>
      </c>
      <c r="B322" s="1">
        <v>45246</v>
      </c>
      <c r="C322" t="s">
        <v>57</v>
      </c>
      <c r="D322" t="s">
        <v>44</v>
      </c>
      <c r="E322" t="s">
        <v>4084</v>
      </c>
      <c r="F322" t="s">
        <v>60</v>
      </c>
      <c r="G322" t="s">
        <v>29</v>
      </c>
      <c r="H322" t="s">
        <v>27</v>
      </c>
      <c r="I322">
        <v>4</v>
      </c>
      <c r="J322" t="s">
        <v>722</v>
      </c>
      <c r="K322">
        <v>51</v>
      </c>
      <c r="L322" t="s">
        <v>32</v>
      </c>
      <c r="M322">
        <v>3</v>
      </c>
      <c r="N322" t="s">
        <v>33</v>
      </c>
      <c r="O322" t="s">
        <v>81</v>
      </c>
      <c r="P322" t="s">
        <v>35</v>
      </c>
      <c r="Q322" s="2">
        <v>20692.27</v>
      </c>
      <c r="R322" s="2">
        <v>3700.26</v>
      </c>
      <c r="S322" t="s">
        <v>94</v>
      </c>
      <c r="T322" t="s">
        <v>71</v>
      </c>
      <c r="U322" t="s">
        <v>38</v>
      </c>
      <c r="V322">
        <v>3.8</v>
      </c>
      <c r="W322" t="s">
        <v>39</v>
      </c>
      <c r="X322" t="s">
        <v>65</v>
      </c>
      <c r="Y322" t="s">
        <v>41</v>
      </c>
    </row>
    <row r="323" spans="1:25" x14ac:dyDescent="0.3">
      <c r="A323" t="s">
        <v>723</v>
      </c>
      <c r="B323" s="1">
        <v>45247</v>
      </c>
      <c r="C323" t="s">
        <v>78</v>
      </c>
      <c r="D323" t="s">
        <v>58</v>
      </c>
      <c r="E323" t="s">
        <v>45</v>
      </c>
      <c r="F323" t="s">
        <v>28</v>
      </c>
      <c r="G323" t="s">
        <v>29</v>
      </c>
      <c r="H323" t="s">
        <v>67</v>
      </c>
      <c r="I323">
        <v>7</v>
      </c>
      <c r="J323" t="s">
        <v>724</v>
      </c>
      <c r="K323">
        <v>23</v>
      </c>
      <c r="L323" t="s">
        <v>63</v>
      </c>
      <c r="M323">
        <v>7</v>
      </c>
      <c r="N323" t="s">
        <v>48</v>
      </c>
      <c r="O323" t="s">
        <v>81</v>
      </c>
      <c r="P323" t="s">
        <v>82</v>
      </c>
      <c r="Q323" s="2">
        <v>44783.86</v>
      </c>
      <c r="R323" s="2">
        <v>4151.63</v>
      </c>
      <c r="S323" t="s">
        <v>36</v>
      </c>
      <c r="T323" t="s">
        <v>52</v>
      </c>
      <c r="U323" t="s">
        <v>83</v>
      </c>
      <c r="V323">
        <v>3.6</v>
      </c>
      <c r="W323" t="s">
        <v>39</v>
      </c>
      <c r="X323" t="s">
        <v>40</v>
      </c>
      <c r="Y323" t="s">
        <v>41</v>
      </c>
    </row>
    <row r="324" spans="1:25" x14ac:dyDescent="0.3">
      <c r="A324" t="s">
        <v>725</v>
      </c>
      <c r="B324" s="1">
        <v>45248</v>
      </c>
      <c r="C324" t="s">
        <v>78</v>
      </c>
      <c r="D324" t="s">
        <v>58</v>
      </c>
      <c r="E324" t="s">
        <v>45</v>
      </c>
      <c r="F324" t="s">
        <v>28</v>
      </c>
      <c r="G324" t="s">
        <v>29</v>
      </c>
      <c r="H324" t="s">
        <v>67</v>
      </c>
      <c r="I324">
        <v>3</v>
      </c>
      <c r="J324" t="s">
        <v>726</v>
      </c>
      <c r="K324">
        <v>55</v>
      </c>
      <c r="L324" t="s">
        <v>80</v>
      </c>
      <c r="M324">
        <v>4</v>
      </c>
      <c r="N324" t="s">
        <v>91</v>
      </c>
      <c r="O324" t="s">
        <v>34</v>
      </c>
      <c r="P324" t="s">
        <v>35</v>
      </c>
      <c r="Q324" s="2">
        <v>34997.699999999997</v>
      </c>
      <c r="R324" s="2">
        <v>4207.25</v>
      </c>
      <c r="S324" t="s">
        <v>115</v>
      </c>
      <c r="T324" t="s">
        <v>52</v>
      </c>
      <c r="U324" t="s">
        <v>83</v>
      </c>
      <c r="V324">
        <v>3.7</v>
      </c>
      <c r="W324" t="s">
        <v>54</v>
      </c>
      <c r="X324" t="s">
        <v>55</v>
      </c>
      <c r="Y324" t="s">
        <v>41</v>
      </c>
    </row>
    <row r="325" spans="1:25" x14ac:dyDescent="0.3">
      <c r="A325" t="s">
        <v>727</v>
      </c>
      <c r="B325" s="1">
        <v>45249</v>
      </c>
      <c r="C325" t="s">
        <v>78</v>
      </c>
      <c r="D325" t="s">
        <v>58</v>
      </c>
      <c r="E325" t="s">
        <v>120</v>
      </c>
      <c r="F325" t="s">
        <v>28</v>
      </c>
      <c r="G325" t="s">
        <v>29</v>
      </c>
      <c r="H325" t="s">
        <v>86</v>
      </c>
      <c r="I325">
        <v>4</v>
      </c>
      <c r="J325" t="s">
        <v>728</v>
      </c>
      <c r="K325">
        <v>67</v>
      </c>
      <c r="L325" t="s">
        <v>32</v>
      </c>
      <c r="M325">
        <v>3</v>
      </c>
      <c r="N325" t="s">
        <v>33</v>
      </c>
      <c r="O325" t="s">
        <v>69</v>
      </c>
      <c r="P325" t="s">
        <v>82</v>
      </c>
      <c r="Q325" s="2">
        <v>36447.68</v>
      </c>
      <c r="R325" s="2">
        <v>2832</v>
      </c>
      <c r="S325" t="s">
        <v>36</v>
      </c>
      <c r="T325" t="s">
        <v>71</v>
      </c>
      <c r="U325" t="s">
        <v>38</v>
      </c>
      <c r="V325">
        <v>1.8</v>
      </c>
      <c r="W325" t="s">
        <v>124</v>
      </c>
      <c r="X325" t="s">
        <v>55</v>
      </c>
      <c r="Y325" t="s">
        <v>41</v>
      </c>
    </row>
    <row r="326" spans="1:25" x14ac:dyDescent="0.3">
      <c r="A326" t="s">
        <v>729</v>
      </c>
      <c r="B326" s="1">
        <v>45250</v>
      </c>
      <c r="C326" t="s">
        <v>117</v>
      </c>
      <c r="D326" t="s">
        <v>4083</v>
      </c>
      <c r="E326" t="s">
        <v>4084</v>
      </c>
      <c r="F326" t="s">
        <v>60</v>
      </c>
      <c r="G326" t="s">
        <v>29</v>
      </c>
      <c r="H326" t="s">
        <v>27</v>
      </c>
      <c r="I326">
        <v>11</v>
      </c>
      <c r="J326" t="s">
        <v>730</v>
      </c>
      <c r="K326">
        <v>69</v>
      </c>
      <c r="L326" t="s">
        <v>80</v>
      </c>
      <c r="M326">
        <v>2</v>
      </c>
      <c r="N326" t="s">
        <v>33</v>
      </c>
      <c r="O326" t="s">
        <v>34</v>
      </c>
      <c r="P326" t="s">
        <v>50</v>
      </c>
      <c r="Q326" s="2">
        <v>45337.54</v>
      </c>
      <c r="R326" s="2">
        <v>3900.37</v>
      </c>
      <c r="S326" t="s">
        <v>36</v>
      </c>
      <c r="T326" t="s">
        <v>71</v>
      </c>
      <c r="U326" t="s">
        <v>75</v>
      </c>
      <c r="V326">
        <v>4.2</v>
      </c>
      <c r="W326" t="s">
        <v>54</v>
      </c>
      <c r="X326" t="s">
        <v>106</v>
      </c>
      <c r="Y326" t="s">
        <v>72</v>
      </c>
    </row>
    <row r="327" spans="1:25" x14ac:dyDescent="0.3">
      <c r="A327" t="s">
        <v>731</v>
      </c>
      <c r="B327" s="1">
        <v>45251</v>
      </c>
      <c r="C327" t="s">
        <v>117</v>
      </c>
      <c r="D327" t="s">
        <v>4083</v>
      </c>
      <c r="E327" t="s">
        <v>89</v>
      </c>
      <c r="F327" t="s">
        <v>28</v>
      </c>
      <c r="G327" t="s">
        <v>29</v>
      </c>
      <c r="H327" t="s">
        <v>61</v>
      </c>
      <c r="I327">
        <v>9</v>
      </c>
      <c r="J327" t="s">
        <v>732</v>
      </c>
      <c r="K327">
        <v>57</v>
      </c>
      <c r="L327" t="s">
        <v>80</v>
      </c>
      <c r="M327">
        <v>4</v>
      </c>
      <c r="N327" t="s">
        <v>33</v>
      </c>
      <c r="O327" t="s">
        <v>49</v>
      </c>
      <c r="P327" t="s">
        <v>82</v>
      </c>
      <c r="Q327" s="2">
        <v>25178.73</v>
      </c>
      <c r="R327" s="2">
        <v>2461.98</v>
      </c>
      <c r="S327" t="s">
        <v>36</v>
      </c>
      <c r="T327" t="s">
        <v>37</v>
      </c>
      <c r="U327" t="s">
        <v>83</v>
      </c>
      <c r="V327">
        <v>2.9</v>
      </c>
      <c r="W327" t="s">
        <v>76</v>
      </c>
      <c r="X327" t="s">
        <v>106</v>
      </c>
      <c r="Y327" t="s">
        <v>41</v>
      </c>
    </row>
    <row r="328" spans="1:25" x14ac:dyDescent="0.3">
      <c r="A328" t="s">
        <v>733</v>
      </c>
      <c r="B328" s="1">
        <v>45252</v>
      </c>
      <c r="C328" t="s">
        <v>117</v>
      </c>
      <c r="D328" t="s">
        <v>4083</v>
      </c>
      <c r="E328" t="s">
        <v>4084</v>
      </c>
      <c r="F328" t="s">
        <v>60</v>
      </c>
      <c r="G328" t="s">
        <v>29</v>
      </c>
      <c r="H328" t="s">
        <v>27</v>
      </c>
      <c r="I328">
        <v>8</v>
      </c>
      <c r="J328" t="s">
        <v>734</v>
      </c>
      <c r="K328">
        <v>25</v>
      </c>
      <c r="L328" t="s">
        <v>80</v>
      </c>
      <c r="M328">
        <v>3</v>
      </c>
      <c r="N328" t="s">
        <v>91</v>
      </c>
      <c r="O328" t="s">
        <v>49</v>
      </c>
      <c r="P328" t="s">
        <v>50</v>
      </c>
      <c r="Q328" s="2">
        <v>34560.68</v>
      </c>
      <c r="R328" s="2">
        <v>4757.6499999999996</v>
      </c>
      <c r="S328" t="s">
        <v>36</v>
      </c>
      <c r="T328" t="s">
        <v>37</v>
      </c>
      <c r="U328" t="s">
        <v>83</v>
      </c>
      <c r="V328">
        <v>3.1</v>
      </c>
      <c r="W328" t="s">
        <v>76</v>
      </c>
      <c r="X328" t="s">
        <v>55</v>
      </c>
      <c r="Y328" t="s">
        <v>72</v>
      </c>
    </row>
    <row r="329" spans="1:25" x14ac:dyDescent="0.3">
      <c r="A329" t="s">
        <v>735</v>
      </c>
      <c r="B329" s="1">
        <v>45253</v>
      </c>
      <c r="C329" t="s">
        <v>57</v>
      </c>
      <c r="D329" t="s">
        <v>44</v>
      </c>
      <c r="E329" t="s">
        <v>4084</v>
      </c>
      <c r="F329" t="s">
        <v>60</v>
      </c>
      <c r="G329" t="s">
        <v>29</v>
      </c>
      <c r="H329" t="s">
        <v>27</v>
      </c>
      <c r="I329">
        <v>11</v>
      </c>
      <c r="J329" t="s">
        <v>736</v>
      </c>
      <c r="K329">
        <v>25</v>
      </c>
      <c r="L329" t="s">
        <v>80</v>
      </c>
      <c r="M329">
        <v>2</v>
      </c>
      <c r="N329" t="s">
        <v>64</v>
      </c>
      <c r="O329" t="s">
        <v>34</v>
      </c>
      <c r="P329" t="s">
        <v>50</v>
      </c>
      <c r="Q329" s="2">
        <v>38511.01</v>
      </c>
      <c r="R329" s="2">
        <v>953.49</v>
      </c>
      <c r="S329" t="s">
        <v>115</v>
      </c>
      <c r="T329" t="s">
        <v>71</v>
      </c>
      <c r="U329" t="s">
        <v>83</v>
      </c>
      <c r="V329">
        <v>3.2</v>
      </c>
      <c r="W329" t="s">
        <v>76</v>
      </c>
      <c r="X329" t="s">
        <v>65</v>
      </c>
      <c r="Y329" t="s">
        <v>72</v>
      </c>
    </row>
    <row r="330" spans="1:25" x14ac:dyDescent="0.3">
      <c r="A330" t="s">
        <v>737</v>
      </c>
      <c r="B330" s="1">
        <v>45254</v>
      </c>
      <c r="C330" t="s">
        <v>43</v>
      </c>
      <c r="D330" t="s">
        <v>58</v>
      </c>
      <c r="E330" t="s">
        <v>45</v>
      </c>
      <c r="F330" t="s">
        <v>28</v>
      </c>
      <c r="G330" t="s">
        <v>29</v>
      </c>
      <c r="H330" t="s">
        <v>67</v>
      </c>
      <c r="I330">
        <v>9</v>
      </c>
      <c r="J330" t="s">
        <v>738</v>
      </c>
      <c r="K330">
        <v>57</v>
      </c>
      <c r="L330" t="s">
        <v>80</v>
      </c>
      <c r="M330">
        <v>6</v>
      </c>
      <c r="N330" t="s">
        <v>33</v>
      </c>
      <c r="O330" t="s">
        <v>49</v>
      </c>
      <c r="P330" t="s">
        <v>35</v>
      </c>
      <c r="Q330" s="2">
        <v>25427.3</v>
      </c>
      <c r="R330" s="2">
        <v>4578.09</v>
      </c>
      <c r="S330" t="s">
        <v>94</v>
      </c>
      <c r="T330" t="s">
        <v>52</v>
      </c>
      <c r="U330" t="s">
        <v>83</v>
      </c>
      <c r="V330">
        <v>2.1</v>
      </c>
      <c r="W330" t="s">
        <v>76</v>
      </c>
      <c r="X330" t="s">
        <v>106</v>
      </c>
      <c r="Y330" t="s">
        <v>41</v>
      </c>
    </row>
    <row r="331" spans="1:25" x14ac:dyDescent="0.3">
      <c r="A331" t="s">
        <v>739</v>
      </c>
      <c r="B331" s="1">
        <v>45255</v>
      </c>
      <c r="C331" t="s">
        <v>78</v>
      </c>
      <c r="D331" t="s">
        <v>58</v>
      </c>
      <c r="E331" t="s">
        <v>4084</v>
      </c>
      <c r="F331" t="s">
        <v>60</v>
      </c>
      <c r="G331" t="s">
        <v>29</v>
      </c>
      <c r="H331" t="s">
        <v>30</v>
      </c>
      <c r="I331">
        <v>13</v>
      </c>
      <c r="J331" t="s">
        <v>740</v>
      </c>
      <c r="K331">
        <v>50</v>
      </c>
      <c r="L331" t="s">
        <v>63</v>
      </c>
      <c r="M331">
        <v>5</v>
      </c>
      <c r="N331" t="s">
        <v>48</v>
      </c>
      <c r="O331" t="s">
        <v>34</v>
      </c>
      <c r="P331" t="s">
        <v>35</v>
      </c>
      <c r="Q331" s="2">
        <v>8755.35</v>
      </c>
      <c r="R331" s="2">
        <v>1292.6500000000001</v>
      </c>
      <c r="S331" t="s">
        <v>115</v>
      </c>
      <c r="T331" t="s">
        <v>37</v>
      </c>
      <c r="U331" t="s">
        <v>83</v>
      </c>
      <c r="V331">
        <v>2</v>
      </c>
      <c r="W331" t="s">
        <v>76</v>
      </c>
      <c r="X331" t="s">
        <v>40</v>
      </c>
      <c r="Y331" t="s">
        <v>72</v>
      </c>
    </row>
    <row r="332" spans="1:25" x14ac:dyDescent="0.3">
      <c r="A332" t="s">
        <v>741</v>
      </c>
      <c r="B332" s="1">
        <v>45256</v>
      </c>
      <c r="C332" t="s">
        <v>78</v>
      </c>
      <c r="D332" t="s">
        <v>58</v>
      </c>
      <c r="E332" t="s">
        <v>4084</v>
      </c>
      <c r="F332" t="s">
        <v>60</v>
      </c>
      <c r="G332" t="s">
        <v>29</v>
      </c>
      <c r="H332" t="s">
        <v>30</v>
      </c>
      <c r="I332">
        <v>7</v>
      </c>
      <c r="J332" t="s">
        <v>742</v>
      </c>
      <c r="K332">
        <v>51</v>
      </c>
      <c r="L332" t="s">
        <v>63</v>
      </c>
      <c r="M332">
        <v>4</v>
      </c>
      <c r="N332" t="s">
        <v>64</v>
      </c>
      <c r="O332" t="s">
        <v>49</v>
      </c>
      <c r="P332" t="s">
        <v>35</v>
      </c>
      <c r="Q332" s="2">
        <v>39714.79</v>
      </c>
      <c r="R332" s="2">
        <v>513.62</v>
      </c>
      <c r="S332" t="s">
        <v>115</v>
      </c>
      <c r="T332" t="s">
        <v>71</v>
      </c>
      <c r="U332" t="s">
        <v>38</v>
      </c>
      <c r="V332">
        <v>1</v>
      </c>
      <c r="W332" t="s">
        <v>124</v>
      </c>
      <c r="X332" t="s">
        <v>55</v>
      </c>
      <c r="Y332" t="s">
        <v>72</v>
      </c>
    </row>
    <row r="333" spans="1:25" x14ac:dyDescent="0.3">
      <c r="A333" t="s">
        <v>743</v>
      </c>
      <c r="B333" s="1">
        <v>45257</v>
      </c>
      <c r="C333" t="s">
        <v>57</v>
      </c>
      <c r="D333" t="s">
        <v>44</v>
      </c>
      <c r="E333" t="s">
        <v>89</v>
      </c>
      <c r="F333" t="s">
        <v>28</v>
      </c>
      <c r="G333" t="s">
        <v>29</v>
      </c>
      <c r="H333" t="s">
        <v>61</v>
      </c>
      <c r="I333">
        <v>11</v>
      </c>
      <c r="J333" t="s">
        <v>744</v>
      </c>
      <c r="K333">
        <v>61</v>
      </c>
      <c r="L333" t="s">
        <v>63</v>
      </c>
      <c r="M333">
        <v>5</v>
      </c>
      <c r="N333" t="s">
        <v>64</v>
      </c>
      <c r="O333" t="s">
        <v>34</v>
      </c>
      <c r="P333" t="s">
        <v>50</v>
      </c>
      <c r="Q333" s="2">
        <v>7151.74</v>
      </c>
      <c r="R333" s="2">
        <v>2195.52</v>
      </c>
      <c r="S333" t="s">
        <v>94</v>
      </c>
      <c r="T333" t="s">
        <v>52</v>
      </c>
      <c r="U333" t="s">
        <v>75</v>
      </c>
      <c r="V333">
        <v>2.6</v>
      </c>
      <c r="W333" t="s">
        <v>76</v>
      </c>
      <c r="X333" t="s">
        <v>84</v>
      </c>
      <c r="Y333" t="s">
        <v>72</v>
      </c>
    </row>
    <row r="334" spans="1:25" x14ac:dyDescent="0.3">
      <c r="A334" t="s">
        <v>745</v>
      </c>
      <c r="B334" s="1">
        <v>45258</v>
      </c>
      <c r="C334" t="s">
        <v>78</v>
      </c>
      <c r="D334" t="s">
        <v>58</v>
      </c>
      <c r="E334" t="s">
        <v>45</v>
      </c>
      <c r="F334" t="s">
        <v>28</v>
      </c>
      <c r="G334" t="s">
        <v>29</v>
      </c>
      <c r="H334" t="s">
        <v>67</v>
      </c>
      <c r="I334">
        <v>8</v>
      </c>
      <c r="J334" t="s">
        <v>746</v>
      </c>
      <c r="K334">
        <v>32</v>
      </c>
      <c r="L334" t="s">
        <v>32</v>
      </c>
      <c r="M334">
        <v>2</v>
      </c>
      <c r="N334" t="s">
        <v>64</v>
      </c>
      <c r="O334" t="s">
        <v>49</v>
      </c>
      <c r="P334" t="s">
        <v>70</v>
      </c>
      <c r="Q334" s="2">
        <v>37306.15</v>
      </c>
      <c r="R334" s="2">
        <v>3074.59</v>
      </c>
      <c r="S334" t="s">
        <v>115</v>
      </c>
      <c r="T334" t="s">
        <v>52</v>
      </c>
      <c r="U334" t="s">
        <v>75</v>
      </c>
      <c r="V334">
        <v>2.9</v>
      </c>
      <c r="W334" t="s">
        <v>76</v>
      </c>
      <c r="X334" t="s">
        <v>65</v>
      </c>
      <c r="Y334" t="s">
        <v>41</v>
      </c>
    </row>
    <row r="335" spans="1:25" x14ac:dyDescent="0.3">
      <c r="A335" t="s">
        <v>747</v>
      </c>
      <c r="B335" s="1">
        <v>45259</v>
      </c>
      <c r="C335" t="s">
        <v>117</v>
      </c>
      <c r="D335" t="s">
        <v>4083</v>
      </c>
      <c r="E335" t="s">
        <v>4084</v>
      </c>
      <c r="F335" t="s">
        <v>60</v>
      </c>
      <c r="G335" t="s">
        <v>29</v>
      </c>
      <c r="H335" t="s">
        <v>27</v>
      </c>
      <c r="I335">
        <v>8</v>
      </c>
      <c r="J335" t="s">
        <v>748</v>
      </c>
      <c r="K335">
        <v>53</v>
      </c>
      <c r="L335" t="s">
        <v>63</v>
      </c>
      <c r="M335">
        <v>5</v>
      </c>
      <c r="N335" t="s">
        <v>33</v>
      </c>
      <c r="O335" t="s">
        <v>69</v>
      </c>
      <c r="P335" t="s">
        <v>70</v>
      </c>
      <c r="Q335" s="2">
        <v>45989.38</v>
      </c>
      <c r="R335" s="2">
        <v>1154.95</v>
      </c>
      <c r="S335" t="s">
        <v>36</v>
      </c>
      <c r="T335" t="s">
        <v>71</v>
      </c>
      <c r="U335" t="s">
        <v>83</v>
      </c>
      <c r="V335">
        <v>4</v>
      </c>
      <c r="W335" t="s">
        <v>54</v>
      </c>
      <c r="X335" t="s">
        <v>65</v>
      </c>
      <c r="Y335" t="s">
        <v>72</v>
      </c>
    </row>
    <row r="336" spans="1:25" x14ac:dyDescent="0.3">
      <c r="A336" t="s">
        <v>749</v>
      </c>
      <c r="B336" s="1">
        <v>45260</v>
      </c>
      <c r="C336" t="s">
        <v>43</v>
      </c>
      <c r="D336" t="s">
        <v>58</v>
      </c>
      <c r="E336" t="s">
        <v>4085</v>
      </c>
      <c r="F336" t="s">
        <v>60</v>
      </c>
      <c r="G336" t="s">
        <v>29</v>
      </c>
      <c r="H336" t="s">
        <v>46</v>
      </c>
      <c r="I336">
        <v>13</v>
      </c>
      <c r="J336" t="s">
        <v>750</v>
      </c>
      <c r="K336">
        <v>52</v>
      </c>
      <c r="L336" t="s">
        <v>63</v>
      </c>
      <c r="M336">
        <v>5</v>
      </c>
      <c r="N336" t="s">
        <v>91</v>
      </c>
      <c r="O336" t="s">
        <v>69</v>
      </c>
      <c r="P336" t="s">
        <v>50</v>
      </c>
      <c r="Q336" s="2">
        <v>20613.599999999999</v>
      </c>
      <c r="R336" s="2">
        <v>2778.98</v>
      </c>
      <c r="S336" t="s">
        <v>36</v>
      </c>
      <c r="T336" t="s">
        <v>71</v>
      </c>
      <c r="U336" t="s">
        <v>83</v>
      </c>
      <c r="V336">
        <v>1.3</v>
      </c>
      <c r="W336" t="s">
        <v>124</v>
      </c>
      <c r="X336" t="s">
        <v>55</v>
      </c>
      <c r="Y336" t="s">
        <v>41</v>
      </c>
    </row>
    <row r="337" spans="1:25" x14ac:dyDescent="0.3">
      <c r="A337" t="s">
        <v>751</v>
      </c>
      <c r="B337" s="1">
        <v>45261</v>
      </c>
      <c r="C337" t="s">
        <v>26</v>
      </c>
      <c r="D337" t="s">
        <v>26</v>
      </c>
      <c r="E337" t="s">
        <v>120</v>
      </c>
      <c r="F337" t="s">
        <v>28</v>
      </c>
      <c r="G337" t="s">
        <v>29</v>
      </c>
      <c r="H337" t="s">
        <v>86</v>
      </c>
      <c r="I337">
        <v>6</v>
      </c>
      <c r="J337" t="s">
        <v>752</v>
      </c>
      <c r="K337">
        <v>63</v>
      </c>
      <c r="L337" t="s">
        <v>32</v>
      </c>
      <c r="M337">
        <v>7</v>
      </c>
      <c r="N337" t="s">
        <v>91</v>
      </c>
      <c r="O337" t="s">
        <v>49</v>
      </c>
      <c r="P337" t="s">
        <v>50</v>
      </c>
      <c r="Q337" s="2">
        <v>9592.7800000000007</v>
      </c>
      <c r="R337" s="2">
        <v>4039.47</v>
      </c>
      <c r="S337" t="s">
        <v>94</v>
      </c>
      <c r="T337" t="s">
        <v>37</v>
      </c>
      <c r="U337" t="s">
        <v>83</v>
      </c>
      <c r="V337">
        <v>4.7</v>
      </c>
      <c r="W337" t="s">
        <v>103</v>
      </c>
      <c r="X337" t="s">
        <v>84</v>
      </c>
      <c r="Y337" t="s">
        <v>41</v>
      </c>
    </row>
    <row r="338" spans="1:25" x14ac:dyDescent="0.3">
      <c r="A338" t="s">
        <v>753</v>
      </c>
      <c r="B338" s="1">
        <v>45262</v>
      </c>
      <c r="C338" t="s">
        <v>78</v>
      </c>
      <c r="D338" t="s">
        <v>58</v>
      </c>
      <c r="E338" t="s">
        <v>89</v>
      </c>
      <c r="F338" t="s">
        <v>28</v>
      </c>
      <c r="G338" t="s">
        <v>29</v>
      </c>
      <c r="H338" t="s">
        <v>61</v>
      </c>
      <c r="I338">
        <v>14</v>
      </c>
      <c r="J338" t="s">
        <v>754</v>
      </c>
      <c r="K338">
        <v>39</v>
      </c>
      <c r="L338" t="s">
        <v>63</v>
      </c>
      <c r="M338">
        <v>1</v>
      </c>
      <c r="N338" t="s">
        <v>33</v>
      </c>
      <c r="O338" t="s">
        <v>34</v>
      </c>
      <c r="P338" t="s">
        <v>35</v>
      </c>
      <c r="Q338" s="2">
        <v>15478.88</v>
      </c>
      <c r="R338" s="2">
        <v>1285.42</v>
      </c>
      <c r="S338" t="s">
        <v>94</v>
      </c>
      <c r="T338" t="s">
        <v>71</v>
      </c>
      <c r="U338" t="s">
        <v>38</v>
      </c>
      <c r="V338">
        <v>2.1</v>
      </c>
      <c r="W338" t="s">
        <v>76</v>
      </c>
      <c r="X338" t="s">
        <v>65</v>
      </c>
      <c r="Y338" t="s">
        <v>41</v>
      </c>
    </row>
    <row r="339" spans="1:25" x14ac:dyDescent="0.3">
      <c r="A339" t="s">
        <v>755</v>
      </c>
      <c r="B339" s="1">
        <v>45263</v>
      </c>
      <c r="C339" t="s">
        <v>117</v>
      </c>
      <c r="D339" t="s">
        <v>4083</v>
      </c>
      <c r="E339" t="s">
        <v>4084</v>
      </c>
      <c r="F339" t="s">
        <v>60</v>
      </c>
      <c r="G339" t="s">
        <v>29</v>
      </c>
      <c r="H339" t="s">
        <v>27</v>
      </c>
      <c r="I339">
        <v>3</v>
      </c>
      <c r="J339" t="s">
        <v>756</v>
      </c>
      <c r="K339">
        <v>40</v>
      </c>
      <c r="L339" t="s">
        <v>80</v>
      </c>
      <c r="M339">
        <v>2</v>
      </c>
      <c r="N339" t="s">
        <v>48</v>
      </c>
      <c r="O339" t="s">
        <v>49</v>
      </c>
      <c r="P339" t="s">
        <v>35</v>
      </c>
      <c r="Q339" s="2">
        <v>30302.67</v>
      </c>
      <c r="R339" s="2">
        <v>2901.61</v>
      </c>
      <c r="S339" t="s">
        <v>94</v>
      </c>
      <c r="T339" t="s">
        <v>37</v>
      </c>
      <c r="U339" t="s">
        <v>38</v>
      </c>
      <c r="V339">
        <v>2.5</v>
      </c>
      <c r="W339" t="s">
        <v>76</v>
      </c>
      <c r="X339" t="s">
        <v>106</v>
      </c>
      <c r="Y339" t="s">
        <v>41</v>
      </c>
    </row>
    <row r="340" spans="1:25" x14ac:dyDescent="0.3">
      <c r="A340" t="s">
        <v>757</v>
      </c>
      <c r="B340" s="1">
        <v>45264</v>
      </c>
      <c r="C340" t="s">
        <v>26</v>
      </c>
      <c r="D340" t="s">
        <v>26</v>
      </c>
      <c r="E340" t="s">
        <v>4085</v>
      </c>
      <c r="F340" t="s">
        <v>60</v>
      </c>
      <c r="G340" t="s">
        <v>29</v>
      </c>
      <c r="H340" t="s">
        <v>59</v>
      </c>
      <c r="I340">
        <v>7</v>
      </c>
      <c r="J340" t="s">
        <v>758</v>
      </c>
      <c r="K340">
        <v>57</v>
      </c>
      <c r="L340" t="s">
        <v>63</v>
      </c>
      <c r="M340">
        <v>5</v>
      </c>
      <c r="N340" t="s">
        <v>48</v>
      </c>
      <c r="O340" t="s">
        <v>81</v>
      </c>
      <c r="P340" t="s">
        <v>35</v>
      </c>
      <c r="Q340" s="2">
        <v>47419.69</v>
      </c>
      <c r="R340" s="2">
        <v>1696.56</v>
      </c>
      <c r="S340" t="s">
        <v>36</v>
      </c>
      <c r="T340" t="s">
        <v>52</v>
      </c>
      <c r="U340" t="s">
        <v>53</v>
      </c>
      <c r="V340">
        <v>1.2</v>
      </c>
      <c r="W340" t="s">
        <v>124</v>
      </c>
      <c r="X340" t="s">
        <v>84</v>
      </c>
      <c r="Y340" t="s">
        <v>72</v>
      </c>
    </row>
    <row r="341" spans="1:25" x14ac:dyDescent="0.3">
      <c r="A341" t="s">
        <v>759</v>
      </c>
      <c r="B341" s="1">
        <v>45265</v>
      </c>
      <c r="C341" t="s">
        <v>43</v>
      </c>
      <c r="D341" t="s">
        <v>58</v>
      </c>
      <c r="E341" t="s">
        <v>4084</v>
      </c>
      <c r="F341" t="s">
        <v>60</v>
      </c>
      <c r="G341" t="s">
        <v>29</v>
      </c>
      <c r="H341" t="s">
        <v>27</v>
      </c>
      <c r="I341">
        <v>13</v>
      </c>
      <c r="J341" t="s">
        <v>760</v>
      </c>
      <c r="K341">
        <v>62</v>
      </c>
      <c r="L341" t="s">
        <v>63</v>
      </c>
      <c r="M341">
        <v>3</v>
      </c>
      <c r="N341" t="s">
        <v>48</v>
      </c>
      <c r="O341" t="s">
        <v>81</v>
      </c>
      <c r="P341" t="s">
        <v>70</v>
      </c>
      <c r="Q341" s="2">
        <v>28052.720000000001</v>
      </c>
      <c r="R341" s="2">
        <v>2648.84</v>
      </c>
      <c r="S341" t="s">
        <v>94</v>
      </c>
      <c r="T341" t="s">
        <v>37</v>
      </c>
      <c r="U341" t="s">
        <v>83</v>
      </c>
      <c r="V341">
        <v>3.6</v>
      </c>
      <c r="W341" t="s">
        <v>39</v>
      </c>
      <c r="X341" t="s">
        <v>40</v>
      </c>
      <c r="Y341" t="s">
        <v>72</v>
      </c>
    </row>
    <row r="342" spans="1:25" x14ac:dyDescent="0.3">
      <c r="A342" t="s">
        <v>761</v>
      </c>
      <c r="B342" s="1">
        <v>45266</v>
      </c>
      <c r="C342" t="s">
        <v>26</v>
      </c>
      <c r="D342" t="s">
        <v>26</v>
      </c>
      <c r="E342" t="s">
        <v>4084</v>
      </c>
      <c r="F342" t="s">
        <v>60</v>
      </c>
      <c r="G342" t="s">
        <v>29</v>
      </c>
      <c r="H342" t="s">
        <v>30</v>
      </c>
      <c r="I342">
        <v>11</v>
      </c>
      <c r="J342" t="s">
        <v>762</v>
      </c>
      <c r="K342">
        <v>68</v>
      </c>
      <c r="L342" t="s">
        <v>63</v>
      </c>
      <c r="M342">
        <v>2</v>
      </c>
      <c r="N342" t="s">
        <v>33</v>
      </c>
      <c r="O342" t="s">
        <v>34</v>
      </c>
      <c r="P342" t="s">
        <v>70</v>
      </c>
      <c r="Q342" s="2">
        <v>10073.18</v>
      </c>
      <c r="R342" s="2">
        <v>3334.6</v>
      </c>
      <c r="S342" t="s">
        <v>115</v>
      </c>
      <c r="T342" t="s">
        <v>71</v>
      </c>
      <c r="U342" t="s">
        <v>53</v>
      </c>
      <c r="V342">
        <v>3.8</v>
      </c>
      <c r="W342" t="s">
        <v>39</v>
      </c>
      <c r="X342" t="s">
        <v>106</v>
      </c>
      <c r="Y342" t="s">
        <v>72</v>
      </c>
    </row>
    <row r="343" spans="1:25" x14ac:dyDescent="0.3">
      <c r="A343" t="s">
        <v>763</v>
      </c>
      <c r="B343" s="1">
        <v>45267</v>
      </c>
      <c r="C343" t="s">
        <v>117</v>
      </c>
      <c r="D343" t="s">
        <v>4083</v>
      </c>
      <c r="E343" t="s">
        <v>45</v>
      </c>
      <c r="F343" t="s">
        <v>28</v>
      </c>
      <c r="G343" t="s">
        <v>29</v>
      </c>
      <c r="H343" t="s">
        <v>67</v>
      </c>
      <c r="I343">
        <v>10</v>
      </c>
      <c r="J343" t="s">
        <v>764</v>
      </c>
      <c r="K343">
        <v>39</v>
      </c>
      <c r="L343" t="s">
        <v>80</v>
      </c>
      <c r="M343">
        <v>1</v>
      </c>
      <c r="N343" t="s">
        <v>91</v>
      </c>
      <c r="O343" t="s">
        <v>49</v>
      </c>
      <c r="P343" t="s">
        <v>50</v>
      </c>
      <c r="Q343" s="2">
        <v>33250.239999999998</v>
      </c>
      <c r="R343" s="2">
        <v>1752.11</v>
      </c>
      <c r="S343" t="s">
        <v>115</v>
      </c>
      <c r="T343" t="s">
        <v>37</v>
      </c>
      <c r="U343" t="s">
        <v>53</v>
      </c>
      <c r="V343">
        <v>4.7</v>
      </c>
      <c r="W343" t="s">
        <v>103</v>
      </c>
      <c r="X343" t="s">
        <v>84</v>
      </c>
      <c r="Y343" t="s">
        <v>41</v>
      </c>
    </row>
    <row r="344" spans="1:25" x14ac:dyDescent="0.3">
      <c r="A344" t="s">
        <v>765</v>
      </c>
      <c r="B344" s="1">
        <v>45268</v>
      </c>
      <c r="C344" t="s">
        <v>26</v>
      </c>
      <c r="D344" t="s">
        <v>26</v>
      </c>
      <c r="E344" t="s">
        <v>45</v>
      </c>
      <c r="F344" t="s">
        <v>28</v>
      </c>
      <c r="G344" t="s">
        <v>29</v>
      </c>
      <c r="H344" t="s">
        <v>67</v>
      </c>
      <c r="I344">
        <v>10</v>
      </c>
      <c r="J344" t="s">
        <v>766</v>
      </c>
      <c r="K344">
        <v>22</v>
      </c>
      <c r="L344" t="s">
        <v>80</v>
      </c>
      <c r="M344">
        <v>4</v>
      </c>
      <c r="N344" t="s">
        <v>33</v>
      </c>
      <c r="O344" t="s">
        <v>49</v>
      </c>
      <c r="P344" t="s">
        <v>70</v>
      </c>
      <c r="Q344" s="2">
        <v>37978.019999999997</v>
      </c>
      <c r="R344" s="2">
        <v>4972.41</v>
      </c>
      <c r="S344" t="s">
        <v>51</v>
      </c>
      <c r="T344" t="s">
        <v>52</v>
      </c>
      <c r="U344" t="s">
        <v>53</v>
      </c>
      <c r="V344">
        <v>2.2999999999999998</v>
      </c>
      <c r="W344" t="s">
        <v>76</v>
      </c>
      <c r="X344" t="s">
        <v>55</v>
      </c>
      <c r="Y344" t="s">
        <v>72</v>
      </c>
    </row>
    <row r="345" spans="1:25" x14ac:dyDescent="0.3">
      <c r="A345" t="s">
        <v>767</v>
      </c>
      <c r="B345" s="1">
        <v>45269</v>
      </c>
      <c r="C345" t="s">
        <v>57</v>
      </c>
      <c r="D345" t="s">
        <v>44</v>
      </c>
      <c r="E345" t="s">
        <v>45</v>
      </c>
      <c r="F345" t="s">
        <v>28</v>
      </c>
      <c r="G345" t="s">
        <v>29</v>
      </c>
      <c r="H345" t="s">
        <v>67</v>
      </c>
      <c r="I345">
        <v>7</v>
      </c>
      <c r="J345" t="s">
        <v>768</v>
      </c>
      <c r="K345">
        <v>48</v>
      </c>
      <c r="L345" t="s">
        <v>80</v>
      </c>
      <c r="M345">
        <v>6</v>
      </c>
      <c r="N345" t="s">
        <v>91</v>
      </c>
      <c r="O345" t="s">
        <v>69</v>
      </c>
      <c r="P345" t="s">
        <v>35</v>
      </c>
      <c r="Q345" s="2">
        <v>22697.77</v>
      </c>
      <c r="R345" s="2">
        <v>2818.88</v>
      </c>
      <c r="S345" t="s">
        <v>51</v>
      </c>
      <c r="T345" t="s">
        <v>52</v>
      </c>
      <c r="U345" t="s">
        <v>75</v>
      </c>
      <c r="V345">
        <v>2</v>
      </c>
      <c r="W345" t="s">
        <v>76</v>
      </c>
      <c r="X345" t="s">
        <v>65</v>
      </c>
      <c r="Y345" t="s">
        <v>41</v>
      </c>
    </row>
    <row r="346" spans="1:25" x14ac:dyDescent="0.3">
      <c r="A346" t="s">
        <v>769</v>
      </c>
      <c r="B346" s="1">
        <v>45270</v>
      </c>
      <c r="C346" t="s">
        <v>26</v>
      </c>
      <c r="D346" t="s">
        <v>26</v>
      </c>
      <c r="E346" t="s">
        <v>4085</v>
      </c>
      <c r="F346" t="s">
        <v>60</v>
      </c>
      <c r="G346" t="s">
        <v>29</v>
      </c>
      <c r="H346" t="s">
        <v>46</v>
      </c>
      <c r="I346">
        <v>14</v>
      </c>
      <c r="J346" t="s">
        <v>770</v>
      </c>
      <c r="K346">
        <v>30</v>
      </c>
      <c r="L346" t="s">
        <v>80</v>
      </c>
      <c r="M346">
        <v>5</v>
      </c>
      <c r="N346" t="s">
        <v>64</v>
      </c>
      <c r="O346" t="s">
        <v>34</v>
      </c>
      <c r="P346" t="s">
        <v>35</v>
      </c>
      <c r="Q346" s="2">
        <v>37468.129999999997</v>
      </c>
      <c r="R346" s="2">
        <v>4122.3100000000004</v>
      </c>
      <c r="S346" t="s">
        <v>94</v>
      </c>
      <c r="T346" t="s">
        <v>71</v>
      </c>
      <c r="U346" t="s">
        <v>53</v>
      </c>
      <c r="V346">
        <v>3.9</v>
      </c>
      <c r="W346" t="s">
        <v>39</v>
      </c>
      <c r="X346" t="s">
        <v>106</v>
      </c>
      <c r="Y346" t="s">
        <v>72</v>
      </c>
    </row>
    <row r="347" spans="1:25" x14ac:dyDescent="0.3">
      <c r="A347" t="s">
        <v>771</v>
      </c>
      <c r="B347" s="1">
        <v>45271</v>
      </c>
      <c r="C347" t="s">
        <v>78</v>
      </c>
      <c r="D347" t="s">
        <v>58</v>
      </c>
      <c r="E347" t="s">
        <v>4084</v>
      </c>
      <c r="F347" t="s">
        <v>60</v>
      </c>
      <c r="G347" t="s">
        <v>29</v>
      </c>
      <c r="H347" t="s">
        <v>30</v>
      </c>
      <c r="I347">
        <v>11</v>
      </c>
      <c r="J347" t="s">
        <v>772</v>
      </c>
      <c r="K347">
        <v>45</v>
      </c>
      <c r="L347" t="s">
        <v>32</v>
      </c>
      <c r="M347">
        <v>3</v>
      </c>
      <c r="N347" t="s">
        <v>33</v>
      </c>
      <c r="O347" t="s">
        <v>81</v>
      </c>
      <c r="P347" t="s">
        <v>35</v>
      </c>
      <c r="Q347" s="2">
        <v>19617.03</v>
      </c>
      <c r="R347" s="2">
        <v>3625.68</v>
      </c>
      <c r="S347" t="s">
        <v>51</v>
      </c>
      <c r="T347" t="s">
        <v>37</v>
      </c>
      <c r="U347" t="s">
        <v>83</v>
      </c>
      <c r="V347">
        <v>3.8</v>
      </c>
      <c r="W347" t="s">
        <v>39</v>
      </c>
      <c r="X347" t="s">
        <v>55</v>
      </c>
      <c r="Y347" t="s">
        <v>41</v>
      </c>
    </row>
    <row r="348" spans="1:25" x14ac:dyDescent="0.3">
      <c r="A348" t="s">
        <v>773</v>
      </c>
      <c r="B348" s="1">
        <v>45272</v>
      </c>
      <c r="C348" t="s">
        <v>78</v>
      </c>
      <c r="D348" t="s">
        <v>58</v>
      </c>
      <c r="E348" t="s">
        <v>120</v>
      </c>
      <c r="F348" t="s">
        <v>28</v>
      </c>
      <c r="G348" t="s">
        <v>29</v>
      </c>
      <c r="H348" t="s">
        <v>86</v>
      </c>
      <c r="I348">
        <v>5</v>
      </c>
      <c r="J348" t="s">
        <v>774</v>
      </c>
      <c r="K348">
        <v>37</v>
      </c>
      <c r="L348" t="s">
        <v>80</v>
      </c>
      <c r="M348">
        <v>1</v>
      </c>
      <c r="N348" t="s">
        <v>91</v>
      </c>
      <c r="O348" t="s">
        <v>81</v>
      </c>
      <c r="P348" t="s">
        <v>35</v>
      </c>
      <c r="Q348" s="2">
        <v>40509.06</v>
      </c>
      <c r="R348" s="2">
        <v>4264.03</v>
      </c>
      <c r="S348" t="s">
        <v>36</v>
      </c>
      <c r="T348" t="s">
        <v>71</v>
      </c>
      <c r="U348" t="s">
        <v>38</v>
      </c>
      <c r="V348">
        <v>4.7</v>
      </c>
      <c r="W348" t="s">
        <v>103</v>
      </c>
      <c r="X348" t="s">
        <v>84</v>
      </c>
      <c r="Y348" t="s">
        <v>41</v>
      </c>
    </row>
    <row r="349" spans="1:25" x14ac:dyDescent="0.3">
      <c r="A349" t="s">
        <v>775</v>
      </c>
      <c r="B349" s="1">
        <v>45273</v>
      </c>
      <c r="C349" t="s">
        <v>57</v>
      </c>
      <c r="D349" t="s">
        <v>44</v>
      </c>
      <c r="E349" t="s">
        <v>89</v>
      </c>
      <c r="F349" t="s">
        <v>28</v>
      </c>
      <c r="G349" t="s">
        <v>29</v>
      </c>
      <c r="H349" t="s">
        <v>61</v>
      </c>
      <c r="I349">
        <v>5</v>
      </c>
      <c r="J349" t="s">
        <v>776</v>
      </c>
      <c r="K349">
        <v>50</v>
      </c>
      <c r="L349" t="s">
        <v>80</v>
      </c>
      <c r="M349">
        <v>2</v>
      </c>
      <c r="N349" t="s">
        <v>64</v>
      </c>
      <c r="O349" t="s">
        <v>34</v>
      </c>
      <c r="P349" t="s">
        <v>35</v>
      </c>
      <c r="Q349" s="2">
        <v>20348.25</v>
      </c>
      <c r="R349" s="2">
        <v>869</v>
      </c>
      <c r="S349" t="s">
        <v>36</v>
      </c>
      <c r="T349" t="s">
        <v>71</v>
      </c>
      <c r="U349" t="s">
        <v>83</v>
      </c>
      <c r="V349">
        <v>1.8</v>
      </c>
      <c r="W349" t="s">
        <v>124</v>
      </c>
      <c r="X349" t="s">
        <v>40</v>
      </c>
      <c r="Y349" t="s">
        <v>41</v>
      </c>
    </row>
    <row r="350" spans="1:25" x14ac:dyDescent="0.3">
      <c r="A350" t="s">
        <v>777</v>
      </c>
      <c r="B350" s="1">
        <v>45274</v>
      </c>
      <c r="C350" t="s">
        <v>117</v>
      </c>
      <c r="D350" t="s">
        <v>4083</v>
      </c>
      <c r="E350" t="s">
        <v>45</v>
      </c>
      <c r="F350" t="s">
        <v>28</v>
      </c>
      <c r="G350" t="s">
        <v>29</v>
      </c>
      <c r="H350" t="s">
        <v>67</v>
      </c>
      <c r="I350">
        <v>3</v>
      </c>
      <c r="J350" t="s">
        <v>778</v>
      </c>
      <c r="K350">
        <v>33</v>
      </c>
      <c r="L350" t="s">
        <v>80</v>
      </c>
      <c r="M350">
        <v>6</v>
      </c>
      <c r="N350" t="s">
        <v>64</v>
      </c>
      <c r="O350" t="s">
        <v>81</v>
      </c>
      <c r="P350" t="s">
        <v>82</v>
      </c>
      <c r="Q350" s="2">
        <v>16524.82</v>
      </c>
      <c r="R350" s="2">
        <v>1112.77</v>
      </c>
      <c r="S350" t="s">
        <v>115</v>
      </c>
      <c r="T350" t="s">
        <v>52</v>
      </c>
      <c r="U350" t="s">
        <v>38</v>
      </c>
      <c r="V350">
        <v>3.8</v>
      </c>
      <c r="W350" t="s">
        <v>54</v>
      </c>
      <c r="X350" t="s">
        <v>65</v>
      </c>
      <c r="Y350" t="s">
        <v>41</v>
      </c>
    </row>
    <row r="351" spans="1:25" x14ac:dyDescent="0.3">
      <c r="A351" t="s">
        <v>779</v>
      </c>
      <c r="B351" s="1">
        <v>45275</v>
      </c>
      <c r="C351" t="s">
        <v>78</v>
      </c>
      <c r="D351" t="s">
        <v>58</v>
      </c>
      <c r="E351" t="s">
        <v>45</v>
      </c>
      <c r="F351" t="s">
        <v>28</v>
      </c>
      <c r="G351" t="s">
        <v>29</v>
      </c>
      <c r="H351" t="s">
        <v>67</v>
      </c>
      <c r="I351">
        <v>11</v>
      </c>
      <c r="J351" t="s">
        <v>780</v>
      </c>
      <c r="K351">
        <v>46</v>
      </c>
      <c r="L351" t="s">
        <v>80</v>
      </c>
      <c r="M351">
        <v>6</v>
      </c>
      <c r="N351" t="s">
        <v>33</v>
      </c>
      <c r="O351" t="s">
        <v>34</v>
      </c>
      <c r="P351" t="s">
        <v>50</v>
      </c>
      <c r="Q351" s="2">
        <v>44563.16</v>
      </c>
      <c r="R351" s="2">
        <v>2437.06</v>
      </c>
      <c r="S351" t="s">
        <v>115</v>
      </c>
      <c r="T351" t="s">
        <v>37</v>
      </c>
      <c r="U351" t="s">
        <v>75</v>
      </c>
      <c r="V351">
        <v>1.3</v>
      </c>
      <c r="W351" t="s">
        <v>124</v>
      </c>
      <c r="X351" t="s">
        <v>65</v>
      </c>
      <c r="Y351" t="s">
        <v>72</v>
      </c>
    </row>
    <row r="352" spans="1:25" x14ac:dyDescent="0.3">
      <c r="A352" t="s">
        <v>781</v>
      </c>
      <c r="B352" s="1">
        <v>45276</v>
      </c>
      <c r="C352" t="s">
        <v>43</v>
      </c>
      <c r="D352" t="s">
        <v>58</v>
      </c>
      <c r="E352" t="s">
        <v>4084</v>
      </c>
      <c r="F352" t="s">
        <v>60</v>
      </c>
      <c r="G352" t="s">
        <v>29</v>
      </c>
      <c r="H352" t="s">
        <v>27</v>
      </c>
      <c r="I352">
        <v>8</v>
      </c>
      <c r="J352" t="s">
        <v>782</v>
      </c>
      <c r="K352">
        <v>40</v>
      </c>
      <c r="L352" t="s">
        <v>32</v>
      </c>
      <c r="M352">
        <v>5</v>
      </c>
      <c r="N352" t="s">
        <v>91</v>
      </c>
      <c r="O352" t="s">
        <v>81</v>
      </c>
      <c r="P352" t="s">
        <v>50</v>
      </c>
      <c r="Q352" s="2">
        <v>29681.3</v>
      </c>
      <c r="R352" s="2">
        <v>4261.6400000000003</v>
      </c>
      <c r="S352" t="s">
        <v>51</v>
      </c>
      <c r="T352" t="s">
        <v>71</v>
      </c>
      <c r="U352" t="s">
        <v>75</v>
      </c>
      <c r="V352">
        <v>2.9</v>
      </c>
      <c r="W352" t="s">
        <v>76</v>
      </c>
      <c r="X352" t="s">
        <v>106</v>
      </c>
      <c r="Y352" t="s">
        <v>41</v>
      </c>
    </row>
    <row r="353" spans="1:25" x14ac:dyDescent="0.3">
      <c r="A353" t="s">
        <v>783</v>
      </c>
      <c r="B353" s="1">
        <v>45277</v>
      </c>
      <c r="C353" t="s">
        <v>78</v>
      </c>
      <c r="D353" t="s">
        <v>58</v>
      </c>
      <c r="E353" t="s">
        <v>4084</v>
      </c>
      <c r="F353" t="s">
        <v>60</v>
      </c>
      <c r="G353" t="s">
        <v>29</v>
      </c>
      <c r="H353" t="s">
        <v>30</v>
      </c>
      <c r="I353">
        <v>4</v>
      </c>
      <c r="J353" t="s">
        <v>784</v>
      </c>
      <c r="K353">
        <v>41</v>
      </c>
      <c r="L353" t="s">
        <v>63</v>
      </c>
      <c r="M353">
        <v>1</v>
      </c>
      <c r="N353" t="s">
        <v>64</v>
      </c>
      <c r="O353" t="s">
        <v>81</v>
      </c>
      <c r="P353" t="s">
        <v>70</v>
      </c>
      <c r="Q353" s="2">
        <v>17832.03</v>
      </c>
      <c r="R353" s="2">
        <v>988.03</v>
      </c>
      <c r="S353" t="s">
        <v>51</v>
      </c>
      <c r="T353" t="s">
        <v>52</v>
      </c>
      <c r="U353" t="s">
        <v>83</v>
      </c>
      <c r="V353">
        <v>1.5</v>
      </c>
      <c r="W353" t="s">
        <v>124</v>
      </c>
      <c r="X353" t="s">
        <v>55</v>
      </c>
      <c r="Y353" t="s">
        <v>72</v>
      </c>
    </row>
    <row r="354" spans="1:25" x14ac:dyDescent="0.3">
      <c r="A354" t="s">
        <v>785</v>
      </c>
      <c r="B354" s="1">
        <v>45278</v>
      </c>
      <c r="C354" t="s">
        <v>78</v>
      </c>
      <c r="D354" t="s">
        <v>58</v>
      </c>
      <c r="E354" t="s">
        <v>4085</v>
      </c>
      <c r="F354" t="s">
        <v>60</v>
      </c>
      <c r="G354" t="s">
        <v>29</v>
      </c>
      <c r="H354" t="s">
        <v>59</v>
      </c>
      <c r="I354">
        <v>10</v>
      </c>
      <c r="J354" t="s">
        <v>786</v>
      </c>
      <c r="K354">
        <v>51</v>
      </c>
      <c r="L354" t="s">
        <v>63</v>
      </c>
      <c r="M354">
        <v>1</v>
      </c>
      <c r="N354" t="s">
        <v>33</v>
      </c>
      <c r="O354" t="s">
        <v>34</v>
      </c>
      <c r="P354" t="s">
        <v>35</v>
      </c>
      <c r="Q354" s="2">
        <v>47078.91</v>
      </c>
      <c r="R354" s="2">
        <v>4855.33</v>
      </c>
      <c r="S354" t="s">
        <v>36</v>
      </c>
      <c r="T354" t="s">
        <v>71</v>
      </c>
      <c r="U354" t="s">
        <v>75</v>
      </c>
      <c r="V354">
        <v>3.6</v>
      </c>
      <c r="W354" t="s">
        <v>54</v>
      </c>
      <c r="X354" t="s">
        <v>84</v>
      </c>
      <c r="Y354" t="s">
        <v>72</v>
      </c>
    </row>
    <row r="355" spans="1:25" x14ac:dyDescent="0.3">
      <c r="A355" t="s">
        <v>787</v>
      </c>
      <c r="B355" s="1">
        <v>45279</v>
      </c>
      <c r="C355" t="s">
        <v>117</v>
      </c>
      <c r="D355" t="s">
        <v>4083</v>
      </c>
      <c r="E355" t="s">
        <v>4085</v>
      </c>
      <c r="F355" t="s">
        <v>60</v>
      </c>
      <c r="G355" t="s">
        <v>29</v>
      </c>
      <c r="H355" t="s">
        <v>46</v>
      </c>
      <c r="I355">
        <v>14</v>
      </c>
      <c r="J355" t="s">
        <v>788</v>
      </c>
      <c r="K355">
        <v>24</v>
      </c>
      <c r="L355" t="s">
        <v>80</v>
      </c>
      <c r="M355">
        <v>3</v>
      </c>
      <c r="N355" t="s">
        <v>64</v>
      </c>
      <c r="O355" t="s">
        <v>34</v>
      </c>
      <c r="P355" t="s">
        <v>82</v>
      </c>
      <c r="Q355" s="2">
        <v>36088.300000000003</v>
      </c>
      <c r="R355" s="2">
        <v>638.01</v>
      </c>
      <c r="S355" t="s">
        <v>115</v>
      </c>
      <c r="T355" t="s">
        <v>37</v>
      </c>
      <c r="U355" t="s">
        <v>38</v>
      </c>
      <c r="V355">
        <v>3.4</v>
      </c>
      <c r="W355" t="s">
        <v>76</v>
      </c>
      <c r="X355" t="s">
        <v>84</v>
      </c>
      <c r="Y355" t="s">
        <v>72</v>
      </c>
    </row>
    <row r="356" spans="1:25" x14ac:dyDescent="0.3">
      <c r="A356" t="s">
        <v>789</v>
      </c>
      <c r="B356" s="1">
        <v>45280</v>
      </c>
      <c r="C356" t="s">
        <v>26</v>
      </c>
      <c r="D356" t="s">
        <v>26</v>
      </c>
      <c r="E356" t="s">
        <v>45</v>
      </c>
      <c r="F356" t="s">
        <v>28</v>
      </c>
      <c r="G356" t="s">
        <v>29</v>
      </c>
      <c r="H356" t="s">
        <v>67</v>
      </c>
      <c r="I356">
        <v>11</v>
      </c>
      <c r="J356" t="s">
        <v>790</v>
      </c>
      <c r="K356">
        <v>55</v>
      </c>
      <c r="L356" t="s">
        <v>80</v>
      </c>
      <c r="M356">
        <v>4</v>
      </c>
      <c r="N356" t="s">
        <v>48</v>
      </c>
      <c r="O356" t="s">
        <v>81</v>
      </c>
      <c r="P356" t="s">
        <v>35</v>
      </c>
      <c r="Q356" s="2">
        <v>14931.52</v>
      </c>
      <c r="R356" s="2">
        <v>875.39</v>
      </c>
      <c r="S356" t="s">
        <v>51</v>
      </c>
      <c r="T356" t="s">
        <v>71</v>
      </c>
      <c r="U356" t="s">
        <v>75</v>
      </c>
      <c r="V356">
        <v>1.2</v>
      </c>
      <c r="W356" t="s">
        <v>124</v>
      </c>
      <c r="X356" t="s">
        <v>55</v>
      </c>
      <c r="Y356" t="s">
        <v>41</v>
      </c>
    </row>
    <row r="357" spans="1:25" x14ac:dyDescent="0.3">
      <c r="A357" t="s">
        <v>791</v>
      </c>
      <c r="B357" s="1">
        <v>45281</v>
      </c>
      <c r="C357" t="s">
        <v>78</v>
      </c>
      <c r="D357" t="s">
        <v>58</v>
      </c>
      <c r="E357" t="s">
        <v>4084</v>
      </c>
      <c r="F357" t="s">
        <v>60</v>
      </c>
      <c r="G357" t="s">
        <v>29</v>
      </c>
      <c r="H357" t="s">
        <v>27</v>
      </c>
      <c r="I357">
        <v>11</v>
      </c>
      <c r="J357" t="s">
        <v>792</v>
      </c>
      <c r="K357">
        <v>54</v>
      </c>
      <c r="L357" t="s">
        <v>80</v>
      </c>
      <c r="M357">
        <v>4</v>
      </c>
      <c r="N357" t="s">
        <v>33</v>
      </c>
      <c r="O357" t="s">
        <v>81</v>
      </c>
      <c r="P357" t="s">
        <v>35</v>
      </c>
      <c r="Q357" s="2">
        <v>32658.91</v>
      </c>
      <c r="R357" s="2">
        <v>836.17</v>
      </c>
      <c r="S357" t="s">
        <v>36</v>
      </c>
      <c r="T357" t="s">
        <v>37</v>
      </c>
      <c r="U357" t="s">
        <v>53</v>
      </c>
      <c r="V357">
        <v>2.2999999999999998</v>
      </c>
      <c r="W357" t="s">
        <v>76</v>
      </c>
      <c r="X357" t="s">
        <v>65</v>
      </c>
      <c r="Y357" t="s">
        <v>41</v>
      </c>
    </row>
    <row r="358" spans="1:25" x14ac:dyDescent="0.3">
      <c r="A358" t="s">
        <v>793</v>
      </c>
      <c r="B358" s="1">
        <v>45282</v>
      </c>
      <c r="C358" t="s">
        <v>57</v>
      </c>
      <c r="D358" t="s">
        <v>44</v>
      </c>
      <c r="E358" t="s">
        <v>120</v>
      </c>
      <c r="F358" t="s">
        <v>28</v>
      </c>
      <c r="G358" t="s">
        <v>29</v>
      </c>
      <c r="H358" t="s">
        <v>86</v>
      </c>
      <c r="I358">
        <v>4</v>
      </c>
      <c r="J358" t="s">
        <v>794</v>
      </c>
      <c r="K358">
        <v>21</v>
      </c>
      <c r="L358" t="s">
        <v>63</v>
      </c>
      <c r="M358">
        <v>7</v>
      </c>
      <c r="N358" t="s">
        <v>64</v>
      </c>
      <c r="O358" t="s">
        <v>69</v>
      </c>
      <c r="P358" t="s">
        <v>70</v>
      </c>
      <c r="Q358" s="2">
        <v>44166.15</v>
      </c>
      <c r="R358" s="2">
        <v>2930.03</v>
      </c>
      <c r="S358" t="s">
        <v>115</v>
      </c>
      <c r="T358" t="s">
        <v>52</v>
      </c>
      <c r="U358" t="s">
        <v>53</v>
      </c>
      <c r="V358">
        <v>2.6</v>
      </c>
      <c r="W358" t="s">
        <v>76</v>
      </c>
      <c r="X358" t="s">
        <v>55</v>
      </c>
      <c r="Y358" t="s">
        <v>41</v>
      </c>
    </row>
    <row r="359" spans="1:25" x14ac:dyDescent="0.3">
      <c r="A359" t="s">
        <v>795</v>
      </c>
      <c r="B359" s="1">
        <v>45283</v>
      </c>
      <c r="C359" t="s">
        <v>26</v>
      </c>
      <c r="D359" t="s">
        <v>26</v>
      </c>
      <c r="E359" t="s">
        <v>89</v>
      </c>
      <c r="F359" t="s">
        <v>28</v>
      </c>
      <c r="G359" t="s">
        <v>29</v>
      </c>
      <c r="H359" t="s">
        <v>61</v>
      </c>
      <c r="I359">
        <v>4</v>
      </c>
      <c r="J359" t="s">
        <v>796</v>
      </c>
      <c r="K359">
        <v>51</v>
      </c>
      <c r="L359" t="s">
        <v>63</v>
      </c>
      <c r="M359">
        <v>4</v>
      </c>
      <c r="N359" t="s">
        <v>33</v>
      </c>
      <c r="O359" t="s">
        <v>49</v>
      </c>
      <c r="P359" t="s">
        <v>82</v>
      </c>
      <c r="Q359" s="2">
        <v>36326.89</v>
      </c>
      <c r="R359" s="2">
        <v>4587.71</v>
      </c>
      <c r="S359" t="s">
        <v>36</v>
      </c>
      <c r="T359" t="s">
        <v>52</v>
      </c>
      <c r="U359" t="s">
        <v>75</v>
      </c>
      <c r="V359">
        <v>2</v>
      </c>
      <c r="W359" t="s">
        <v>76</v>
      </c>
      <c r="X359" t="s">
        <v>84</v>
      </c>
      <c r="Y359" t="s">
        <v>72</v>
      </c>
    </row>
    <row r="360" spans="1:25" x14ac:dyDescent="0.3">
      <c r="A360" t="s">
        <v>797</v>
      </c>
      <c r="B360" s="1">
        <v>45284</v>
      </c>
      <c r="C360" t="s">
        <v>43</v>
      </c>
      <c r="D360" t="s">
        <v>58</v>
      </c>
      <c r="E360" t="s">
        <v>4084</v>
      </c>
      <c r="F360" t="s">
        <v>60</v>
      </c>
      <c r="G360" t="s">
        <v>29</v>
      </c>
      <c r="H360" t="s">
        <v>27</v>
      </c>
      <c r="I360">
        <v>9</v>
      </c>
      <c r="J360" t="s">
        <v>798</v>
      </c>
      <c r="K360">
        <v>59</v>
      </c>
      <c r="L360" t="s">
        <v>80</v>
      </c>
      <c r="M360">
        <v>7</v>
      </c>
      <c r="N360" t="s">
        <v>33</v>
      </c>
      <c r="O360" t="s">
        <v>34</v>
      </c>
      <c r="P360" t="s">
        <v>82</v>
      </c>
      <c r="Q360" s="2">
        <v>16014.16</v>
      </c>
      <c r="R360" s="2">
        <v>1275.56</v>
      </c>
      <c r="S360" t="s">
        <v>36</v>
      </c>
      <c r="T360" t="s">
        <v>71</v>
      </c>
      <c r="U360" t="s">
        <v>83</v>
      </c>
      <c r="V360">
        <v>1.2</v>
      </c>
      <c r="W360" t="s">
        <v>124</v>
      </c>
      <c r="X360" t="s">
        <v>55</v>
      </c>
      <c r="Y360" t="s">
        <v>41</v>
      </c>
    </row>
    <row r="361" spans="1:25" x14ac:dyDescent="0.3">
      <c r="A361" t="s">
        <v>799</v>
      </c>
      <c r="B361" s="1">
        <v>45285</v>
      </c>
      <c r="C361" t="s">
        <v>117</v>
      </c>
      <c r="D361" t="s">
        <v>4083</v>
      </c>
      <c r="E361" t="s">
        <v>4084</v>
      </c>
      <c r="F361" t="s">
        <v>60</v>
      </c>
      <c r="G361" t="s">
        <v>29</v>
      </c>
      <c r="H361" t="s">
        <v>30</v>
      </c>
      <c r="I361">
        <v>13</v>
      </c>
      <c r="J361" t="s">
        <v>800</v>
      </c>
      <c r="K361">
        <v>39</v>
      </c>
      <c r="L361" t="s">
        <v>63</v>
      </c>
      <c r="M361">
        <v>6</v>
      </c>
      <c r="N361" t="s">
        <v>91</v>
      </c>
      <c r="O361" t="s">
        <v>34</v>
      </c>
      <c r="P361" t="s">
        <v>50</v>
      </c>
      <c r="Q361" s="2">
        <v>34198.17</v>
      </c>
      <c r="R361" s="2">
        <v>2765.18</v>
      </c>
      <c r="S361" t="s">
        <v>115</v>
      </c>
      <c r="T361" t="s">
        <v>52</v>
      </c>
      <c r="U361" t="s">
        <v>53</v>
      </c>
      <c r="V361">
        <v>2.2999999999999998</v>
      </c>
      <c r="W361" t="s">
        <v>76</v>
      </c>
      <c r="X361" t="s">
        <v>65</v>
      </c>
      <c r="Y361" t="s">
        <v>41</v>
      </c>
    </row>
    <row r="362" spans="1:25" x14ac:dyDescent="0.3">
      <c r="A362" t="s">
        <v>801</v>
      </c>
      <c r="B362" s="1">
        <v>45286</v>
      </c>
      <c r="C362" t="s">
        <v>43</v>
      </c>
      <c r="D362" t="s">
        <v>58</v>
      </c>
      <c r="E362" t="s">
        <v>4085</v>
      </c>
      <c r="F362" t="s">
        <v>60</v>
      </c>
      <c r="G362" t="s">
        <v>29</v>
      </c>
      <c r="H362" t="s">
        <v>59</v>
      </c>
      <c r="I362">
        <v>6</v>
      </c>
      <c r="J362" t="s">
        <v>802</v>
      </c>
      <c r="K362">
        <v>22</v>
      </c>
      <c r="L362" t="s">
        <v>32</v>
      </c>
      <c r="M362">
        <v>6</v>
      </c>
      <c r="N362" t="s">
        <v>91</v>
      </c>
      <c r="O362" t="s">
        <v>49</v>
      </c>
      <c r="P362" t="s">
        <v>35</v>
      </c>
      <c r="Q362" s="2">
        <v>32862.17</v>
      </c>
      <c r="R362" s="2">
        <v>878.86</v>
      </c>
      <c r="S362" t="s">
        <v>36</v>
      </c>
      <c r="T362" t="s">
        <v>71</v>
      </c>
      <c r="U362" t="s">
        <v>38</v>
      </c>
      <c r="V362">
        <v>4.2</v>
      </c>
      <c r="W362" t="s">
        <v>54</v>
      </c>
      <c r="X362" t="s">
        <v>106</v>
      </c>
      <c r="Y362" t="s">
        <v>72</v>
      </c>
    </row>
    <row r="363" spans="1:25" x14ac:dyDescent="0.3">
      <c r="A363" t="s">
        <v>803</v>
      </c>
      <c r="B363" s="1">
        <v>45287</v>
      </c>
      <c r="C363" t="s">
        <v>26</v>
      </c>
      <c r="D363" t="s">
        <v>26</v>
      </c>
      <c r="E363" t="s">
        <v>89</v>
      </c>
      <c r="F363" t="s">
        <v>28</v>
      </c>
      <c r="G363" t="s">
        <v>29</v>
      </c>
      <c r="H363" t="s">
        <v>61</v>
      </c>
      <c r="I363">
        <v>3</v>
      </c>
      <c r="J363" t="s">
        <v>804</v>
      </c>
      <c r="K363">
        <v>67</v>
      </c>
      <c r="L363" t="s">
        <v>80</v>
      </c>
      <c r="M363">
        <v>2</v>
      </c>
      <c r="N363" t="s">
        <v>64</v>
      </c>
      <c r="O363" t="s">
        <v>69</v>
      </c>
      <c r="P363" t="s">
        <v>82</v>
      </c>
      <c r="Q363" s="2">
        <v>41937.96</v>
      </c>
      <c r="R363" s="2">
        <v>3155.68</v>
      </c>
      <c r="S363" t="s">
        <v>51</v>
      </c>
      <c r="T363" t="s">
        <v>71</v>
      </c>
      <c r="U363" t="s">
        <v>83</v>
      </c>
      <c r="V363">
        <v>2.4</v>
      </c>
      <c r="W363" t="s">
        <v>76</v>
      </c>
      <c r="X363" t="s">
        <v>65</v>
      </c>
      <c r="Y363" t="s">
        <v>41</v>
      </c>
    </row>
    <row r="364" spans="1:25" x14ac:dyDescent="0.3">
      <c r="A364" t="s">
        <v>805</v>
      </c>
      <c r="B364" s="1">
        <v>45288</v>
      </c>
      <c r="C364" t="s">
        <v>26</v>
      </c>
      <c r="D364" t="s">
        <v>26</v>
      </c>
      <c r="E364" t="s">
        <v>45</v>
      </c>
      <c r="F364" t="s">
        <v>28</v>
      </c>
      <c r="G364" t="s">
        <v>29</v>
      </c>
      <c r="H364" t="s">
        <v>67</v>
      </c>
      <c r="I364">
        <v>10</v>
      </c>
      <c r="J364" t="s">
        <v>806</v>
      </c>
      <c r="K364">
        <v>59</v>
      </c>
      <c r="L364" t="s">
        <v>80</v>
      </c>
      <c r="M364">
        <v>6</v>
      </c>
      <c r="N364" t="s">
        <v>33</v>
      </c>
      <c r="O364" t="s">
        <v>81</v>
      </c>
      <c r="P364" t="s">
        <v>50</v>
      </c>
      <c r="Q364" s="2">
        <v>13015.97</v>
      </c>
      <c r="R364" s="2">
        <v>616.23</v>
      </c>
      <c r="S364" t="s">
        <v>36</v>
      </c>
      <c r="T364" t="s">
        <v>37</v>
      </c>
      <c r="U364" t="s">
        <v>75</v>
      </c>
      <c r="V364">
        <v>2.2999999999999998</v>
      </c>
      <c r="W364" t="s">
        <v>76</v>
      </c>
      <c r="X364" t="s">
        <v>40</v>
      </c>
      <c r="Y364" t="s">
        <v>72</v>
      </c>
    </row>
    <row r="365" spans="1:25" x14ac:dyDescent="0.3">
      <c r="A365" t="s">
        <v>807</v>
      </c>
      <c r="B365" s="1">
        <v>45289</v>
      </c>
      <c r="C365" t="s">
        <v>26</v>
      </c>
      <c r="D365" t="s">
        <v>26</v>
      </c>
      <c r="E365" t="s">
        <v>4084</v>
      </c>
      <c r="F365" t="s">
        <v>60</v>
      </c>
      <c r="G365" t="s">
        <v>29</v>
      </c>
      <c r="H365" t="s">
        <v>27</v>
      </c>
      <c r="I365">
        <v>4</v>
      </c>
      <c r="J365" t="s">
        <v>808</v>
      </c>
      <c r="K365">
        <v>40</v>
      </c>
      <c r="L365" t="s">
        <v>32</v>
      </c>
      <c r="M365">
        <v>6</v>
      </c>
      <c r="N365" t="s">
        <v>33</v>
      </c>
      <c r="O365" t="s">
        <v>81</v>
      </c>
      <c r="P365" t="s">
        <v>82</v>
      </c>
      <c r="Q365" s="2">
        <v>36483.56</v>
      </c>
      <c r="R365" s="2">
        <v>2456.5500000000002</v>
      </c>
      <c r="S365" t="s">
        <v>51</v>
      </c>
      <c r="T365" t="s">
        <v>71</v>
      </c>
      <c r="U365" t="s">
        <v>83</v>
      </c>
      <c r="V365">
        <v>4.8</v>
      </c>
      <c r="W365" t="s">
        <v>103</v>
      </c>
      <c r="X365" t="s">
        <v>40</v>
      </c>
      <c r="Y365" t="s">
        <v>72</v>
      </c>
    </row>
    <row r="366" spans="1:25" x14ac:dyDescent="0.3">
      <c r="A366" t="s">
        <v>809</v>
      </c>
      <c r="B366" s="1">
        <v>45290</v>
      </c>
      <c r="C366" t="s">
        <v>43</v>
      </c>
      <c r="D366" t="s">
        <v>58</v>
      </c>
      <c r="E366" t="s">
        <v>45</v>
      </c>
      <c r="F366" t="s">
        <v>28</v>
      </c>
      <c r="G366" t="s">
        <v>29</v>
      </c>
      <c r="H366" t="s">
        <v>67</v>
      </c>
      <c r="I366">
        <v>5</v>
      </c>
      <c r="J366" t="s">
        <v>810</v>
      </c>
      <c r="K366">
        <v>32</v>
      </c>
      <c r="L366" t="s">
        <v>32</v>
      </c>
      <c r="M366">
        <v>1</v>
      </c>
      <c r="N366" t="s">
        <v>48</v>
      </c>
      <c r="O366" t="s">
        <v>69</v>
      </c>
      <c r="P366" t="s">
        <v>35</v>
      </c>
      <c r="Q366" s="2">
        <v>6231.68</v>
      </c>
      <c r="R366" s="2">
        <v>3275.91</v>
      </c>
      <c r="S366" t="s">
        <v>94</v>
      </c>
      <c r="T366" t="s">
        <v>37</v>
      </c>
      <c r="U366" t="s">
        <v>83</v>
      </c>
      <c r="V366">
        <v>1.2</v>
      </c>
      <c r="W366" t="s">
        <v>124</v>
      </c>
      <c r="X366" t="s">
        <v>55</v>
      </c>
      <c r="Y366" t="s">
        <v>72</v>
      </c>
    </row>
    <row r="367" spans="1:25" x14ac:dyDescent="0.3">
      <c r="A367" t="s">
        <v>811</v>
      </c>
      <c r="B367" s="1">
        <v>45291</v>
      </c>
      <c r="C367" t="s">
        <v>26</v>
      </c>
      <c r="D367" t="s">
        <v>26</v>
      </c>
      <c r="E367" t="s">
        <v>4084</v>
      </c>
      <c r="F367" t="s">
        <v>60</v>
      </c>
      <c r="G367" t="s">
        <v>29</v>
      </c>
      <c r="H367" t="s">
        <v>30</v>
      </c>
      <c r="I367">
        <v>7</v>
      </c>
      <c r="J367" t="s">
        <v>812</v>
      </c>
      <c r="K367">
        <v>48</v>
      </c>
      <c r="L367" t="s">
        <v>63</v>
      </c>
      <c r="M367">
        <v>2</v>
      </c>
      <c r="N367" t="s">
        <v>33</v>
      </c>
      <c r="O367" t="s">
        <v>69</v>
      </c>
      <c r="P367" t="s">
        <v>50</v>
      </c>
      <c r="Q367" s="2">
        <v>36327.89</v>
      </c>
      <c r="R367" s="2">
        <v>2895.64</v>
      </c>
      <c r="S367" t="s">
        <v>94</v>
      </c>
      <c r="T367" t="s">
        <v>71</v>
      </c>
      <c r="U367" t="s">
        <v>83</v>
      </c>
      <c r="V367">
        <v>4.0999999999999996</v>
      </c>
      <c r="W367" t="s">
        <v>54</v>
      </c>
      <c r="X367" t="s">
        <v>65</v>
      </c>
      <c r="Y367" t="s">
        <v>41</v>
      </c>
    </row>
    <row r="368" spans="1:25" x14ac:dyDescent="0.3">
      <c r="A368" t="s">
        <v>813</v>
      </c>
      <c r="B368" s="1">
        <v>45292</v>
      </c>
      <c r="C368" t="s">
        <v>43</v>
      </c>
      <c r="D368" t="s">
        <v>58</v>
      </c>
      <c r="E368" t="s">
        <v>45</v>
      </c>
      <c r="F368" t="s">
        <v>28</v>
      </c>
      <c r="G368" t="s">
        <v>29</v>
      </c>
      <c r="H368" t="s">
        <v>67</v>
      </c>
      <c r="I368">
        <v>5</v>
      </c>
      <c r="J368" t="s">
        <v>814</v>
      </c>
      <c r="K368">
        <v>26</v>
      </c>
      <c r="L368" t="s">
        <v>32</v>
      </c>
      <c r="M368">
        <v>1</v>
      </c>
      <c r="N368" t="s">
        <v>91</v>
      </c>
      <c r="O368" t="s">
        <v>49</v>
      </c>
      <c r="P368" t="s">
        <v>82</v>
      </c>
      <c r="Q368" s="2">
        <v>48219.68</v>
      </c>
      <c r="R368" s="2">
        <v>700</v>
      </c>
      <c r="S368" t="s">
        <v>94</v>
      </c>
      <c r="T368" t="s">
        <v>37</v>
      </c>
      <c r="U368" t="s">
        <v>83</v>
      </c>
      <c r="V368">
        <v>2.9</v>
      </c>
      <c r="W368" t="s">
        <v>76</v>
      </c>
      <c r="X368" t="s">
        <v>65</v>
      </c>
      <c r="Y368" t="s">
        <v>41</v>
      </c>
    </row>
    <row r="369" spans="1:25" x14ac:dyDescent="0.3">
      <c r="A369" t="s">
        <v>815</v>
      </c>
      <c r="B369" s="1">
        <v>45293</v>
      </c>
      <c r="C369" t="s">
        <v>26</v>
      </c>
      <c r="D369" t="s">
        <v>26</v>
      </c>
      <c r="E369" t="s">
        <v>89</v>
      </c>
      <c r="F369" t="s">
        <v>28</v>
      </c>
      <c r="G369" t="s">
        <v>29</v>
      </c>
      <c r="H369" t="s">
        <v>61</v>
      </c>
      <c r="I369">
        <v>9</v>
      </c>
      <c r="J369" t="s">
        <v>816</v>
      </c>
      <c r="K369">
        <v>60</v>
      </c>
      <c r="L369" t="s">
        <v>80</v>
      </c>
      <c r="M369">
        <v>3</v>
      </c>
      <c r="N369" t="s">
        <v>33</v>
      </c>
      <c r="O369" t="s">
        <v>49</v>
      </c>
      <c r="P369" t="s">
        <v>70</v>
      </c>
      <c r="Q369" s="2">
        <v>12847.47</v>
      </c>
      <c r="R369" s="2">
        <v>806.87</v>
      </c>
      <c r="S369" t="s">
        <v>36</v>
      </c>
      <c r="T369" t="s">
        <v>52</v>
      </c>
      <c r="U369" t="s">
        <v>75</v>
      </c>
      <c r="V369">
        <v>4.8</v>
      </c>
      <c r="W369" t="s">
        <v>103</v>
      </c>
      <c r="X369" t="s">
        <v>84</v>
      </c>
      <c r="Y369" t="s">
        <v>72</v>
      </c>
    </row>
    <row r="370" spans="1:25" x14ac:dyDescent="0.3">
      <c r="A370" t="s">
        <v>817</v>
      </c>
      <c r="B370" s="1">
        <v>45294</v>
      </c>
      <c r="C370" t="s">
        <v>57</v>
      </c>
      <c r="D370" t="s">
        <v>44</v>
      </c>
      <c r="E370" t="s">
        <v>4085</v>
      </c>
      <c r="F370" t="s">
        <v>60</v>
      </c>
      <c r="G370" t="s">
        <v>29</v>
      </c>
      <c r="H370" t="s">
        <v>59</v>
      </c>
      <c r="I370">
        <v>9</v>
      </c>
      <c r="J370" t="s">
        <v>818</v>
      </c>
      <c r="K370">
        <v>42</v>
      </c>
      <c r="L370" t="s">
        <v>63</v>
      </c>
      <c r="M370">
        <v>7</v>
      </c>
      <c r="N370" t="s">
        <v>91</v>
      </c>
      <c r="O370" t="s">
        <v>81</v>
      </c>
      <c r="P370" t="s">
        <v>82</v>
      </c>
      <c r="Q370" s="2">
        <v>19008.490000000002</v>
      </c>
      <c r="R370" s="2">
        <v>3356.96</v>
      </c>
      <c r="S370" t="s">
        <v>94</v>
      </c>
      <c r="T370" t="s">
        <v>71</v>
      </c>
      <c r="U370" t="s">
        <v>75</v>
      </c>
      <c r="V370">
        <v>2.6</v>
      </c>
      <c r="W370" t="s">
        <v>76</v>
      </c>
      <c r="X370" t="s">
        <v>106</v>
      </c>
      <c r="Y370" t="s">
        <v>72</v>
      </c>
    </row>
    <row r="371" spans="1:25" x14ac:dyDescent="0.3">
      <c r="A371" t="s">
        <v>819</v>
      </c>
      <c r="B371" s="1">
        <v>45295</v>
      </c>
      <c r="C371" t="s">
        <v>26</v>
      </c>
      <c r="D371" t="s">
        <v>26</v>
      </c>
      <c r="E371" t="s">
        <v>89</v>
      </c>
      <c r="F371" t="s">
        <v>28</v>
      </c>
      <c r="G371" t="s">
        <v>29</v>
      </c>
      <c r="H371" t="s">
        <v>61</v>
      </c>
      <c r="I371">
        <v>4</v>
      </c>
      <c r="J371" t="s">
        <v>820</v>
      </c>
      <c r="K371">
        <v>42</v>
      </c>
      <c r="L371" t="s">
        <v>32</v>
      </c>
      <c r="M371">
        <v>7</v>
      </c>
      <c r="N371" t="s">
        <v>48</v>
      </c>
      <c r="O371" t="s">
        <v>69</v>
      </c>
      <c r="P371" t="s">
        <v>35</v>
      </c>
      <c r="Q371" s="2">
        <v>31229.22</v>
      </c>
      <c r="R371" s="2">
        <v>4044.55</v>
      </c>
      <c r="S371" t="s">
        <v>94</v>
      </c>
      <c r="T371" t="s">
        <v>37</v>
      </c>
      <c r="U371" t="s">
        <v>53</v>
      </c>
      <c r="V371">
        <v>3.8</v>
      </c>
      <c r="W371" t="s">
        <v>54</v>
      </c>
      <c r="X371" t="s">
        <v>65</v>
      </c>
      <c r="Y371" t="s">
        <v>41</v>
      </c>
    </row>
    <row r="372" spans="1:25" x14ac:dyDescent="0.3">
      <c r="A372" t="s">
        <v>821</v>
      </c>
      <c r="B372" s="1">
        <v>45296</v>
      </c>
      <c r="C372" t="s">
        <v>43</v>
      </c>
      <c r="D372" t="s">
        <v>58</v>
      </c>
      <c r="E372" t="s">
        <v>120</v>
      </c>
      <c r="F372" t="s">
        <v>28</v>
      </c>
      <c r="G372" t="s">
        <v>29</v>
      </c>
      <c r="H372" t="s">
        <v>86</v>
      </c>
      <c r="I372">
        <v>9</v>
      </c>
      <c r="J372" t="s">
        <v>822</v>
      </c>
      <c r="K372">
        <v>66</v>
      </c>
      <c r="L372" t="s">
        <v>63</v>
      </c>
      <c r="M372">
        <v>3</v>
      </c>
      <c r="N372" t="s">
        <v>64</v>
      </c>
      <c r="O372" t="s">
        <v>69</v>
      </c>
      <c r="P372" t="s">
        <v>70</v>
      </c>
      <c r="Q372" s="2">
        <v>37957.78</v>
      </c>
      <c r="R372" s="2">
        <v>4540.37</v>
      </c>
      <c r="S372" t="s">
        <v>36</v>
      </c>
      <c r="T372" t="s">
        <v>71</v>
      </c>
      <c r="U372" t="s">
        <v>53</v>
      </c>
      <c r="V372">
        <v>1.3</v>
      </c>
      <c r="W372" t="s">
        <v>124</v>
      </c>
      <c r="X372" t="s">
        <v>55</v>
      </c>
      <c r="Y372" t="s">
        <v>41</v>
      </c>
    </row>
    <row r="373" spans="1:25" x14ac:dyDescent="0.3">
      <c r="A373" t="s">
        <v>823</v>
      </c>
      <c r="B373" s="1">
        <v>45297</v>
      </c>
      <c r="C373" t="s">
        <v>78</v>
      </c>
      <c r="D373" t="s">
        <v>58</v>
      </c>
      <c r="E373" t="s">
        <v>4085</v>
      </c>
      <c r="F373" t="s">
        <v>60</v>
      </c>
      <c r="G373" t="s">
        <v>29</v>
      </c>
      <c r="H373" t="s">
        <v>46</v>
      </c>
      <c r="I373">
        <v>13</v>
      </c>
      <c r="J373" t="s">
        <v>824</v>
      </c>
      <c r="K373">
        <v>38</v>
      </c>
      <c r="L373" t="s">
        <v>63</v>
      </c>
      <c r="M373">
        <v>7</v>
      </c>
      <c r="N373" t="s">
        <v>91</v>
      </c>
      <c r="O373" t="s">
        <v>81</v>
      </c>
      <c r="P373" t="s">
        <v>82</v>
      </c>
      <c r="Q373" s="2">
        <v>20496.71</v>
      </c>
      <c r="R373" s="2">
        <v>4068.06</v>
      </c>
      <c r="S373" t="s">
        <v>115</v>
      </c>
      <c r="T373" t="s">
        <v>37</v>
      </c>
      <c r="U373" t="s">
        <v>38</v>
      </c>
      <c r="V373">
        <v>4.7</v>
      </c>
      <c r="W373" t="s">
        <v>103</v>
      </c>
      <c r="X373" t="s">
        <v>84</v>
      </c>
      <c r="Y373" t="s">
        <v>72</v>
      </c>
    </row>
    <row r="374" spans="1:25" x14ac:dyDescent="0.3">
      <c r="A374" t="s">
        <v>825</v>
      </c>
      <c r="B374" s="1">
        <v>45298</v>
      </c>
      <c r="C374" t="s">
        <v>26</v>
      </c>
      <c r="D374" t="s">
        <v>26</v>
      </c>
      <c r="E374" t="s">
        <v>89</v>
      </c>
      <c r="F374" t="s">
        <v>28</v>
      </c>
      <c r="G374" t="s">
        <v>29</v>
      </c>
      <c r="H374" t="s">
        <v>61</v>
      </c>
      <c r="I374">
        <v>8</v>
      </c>
      <c r="J374" t="s">
        <v>826</v>
      </c>
      <c r="K374">
        <v>26</v>
      </c>
      <c r="L374" t="s">
        <v>63</v>
      </c>
      <c r="M374">
        <v>2</v>
      </c>
      <c r="N374" t="s">
        <v>64</v>
      </c>
      <c r="O374" t="s">
        <v>81</v>
      </c>
      <c r="P374" t="s">
        <v>82</v>
      </c>
      <c r="Q374" s="2">
        <v>34891.65</v>
      </c>
      <c r="R374" s="2">
        <v>4869.62</v>
      </c>
      <c r="S374" t="s">
        <v>36</v>
      </c>
      <c r="T374" t="s">
        <v>37</v>
      </c>
      <c r="U374" t="s">
        <v>38</v>
      </c>
      <c r="V374">
        <v>2.4</v>
      </c>
      <c r="W374" t="s">
        <v>76</v>
      </c>
      <c r="X374" t="s">
        <v>84</v>
      </c>
      <c r="Y374" t="s">
        <v>72</v>
      </c>
    </row>
    <row r="375" spans="1:25" x14ac:dyDescent="0.3">
      <c r="A375" t="s">
        <v>827</v>
      </c>
      <c r="B375" s="1">
        <v>45299</v>
      </c>
      <c r="C375" t="s">
        <v>78</v>
      </c>
      <c r="D375" t="s">
        <v>58</v>
      </c>
      <c r="E375" t="s">
        <v>120</v>
      </c>
      <c r="F375" t="s">
        <v>28</v>
      </c>
      <c r="G375" t="s">
        <v>29</v>
      </c>
      <c r="H375" t="s">
        <v>86</v>
      </c>
      <c r="I375">
        <v>12</v>
      </c>
      <c r="J375" t="s">
        <v>828</v>
      </c>
      <c r="K375">
        <v>65</v>
      </c>
      <c r="L375" t="s">
        <v>63</v>
      </c>
      <c r="M375">
        <v>2</v>
      </c>
      <c r="N375" t="s">
        <v>64</v>
      </c>
      <c r="O375" t="s">
        <v>81</v>
      </c>
      <c r="P375" t="s">
        <v>50</v>
      </c>
      <c r="Q375" s="2">
        <v>45467.55</v>
      </c>
      <c r="R375" s="2">
        <v>2041.26</v>
      </c>
      <c r="S375" t="s">
        <v>51</v>
      </c>
      <c r="T375" t="s">
        <v>71</v>
      </c>
      <c r="U375" t="s">
        <v>53</v>
      </c>
      <c r="V375">
        <v>3.1</v>
      </c>
      <c r="W375" t="s">
        <v>76</v>
      </c>
      <c r="X375" t="s">
        <v>55</v>
      </c>
      <c r="Y375" t="s">
        <v>72</v>
      </c>
    </row>
    <row r="376" spans="1:25" x14ac:dyDescent="0.3">
      <c r="A376" t="s">
        <v>829</v>
      </c>
      <c r="B376" s="1">
        <v>45300</v>
      </c>
      <c r="C376" t="s">
        <v>57</v>
      </c>
      <c r="D376" t="s">
        <v>44</v>
      </c>
      <c r="E376" t="s">
        <v>4084</v>
      </c>
      <c r="F376" t="s">
        <v>60</v>
      </c>
      <c r="G376" t="s">
        <v>29</v>
      </c>
      <c r="H376" t="s">
        <v>27</v>
      </c>
      <c r="I376">
        <v>11</v>
      </c>
      <c r="J376" t="s">
        <v>830</v>
      </c>
      <c r="K376">
        <v>55</v>
      </c>
      <c r="L376" t="s">
        <v>32</v>
      </c>
      <c r="M376">
        <v>6</v>
      </c>
      <c r="N376" t="s">
        <v>64</v>
      </c>
      <c r="O376" t="s">
        <v>81</v>
      </c>
      <c r="P376" t="s">
        <v>35</v>
      </c>
      <c r="Q376" s="2">
        <v>37695.15</v>
      </c>
      <c r="R376" s="2">
        <v>1655.83</v>
      </c>
      <c r="S376" t="s">
        <v>36</v>
      </c>
      <c r="T376" t="s">
        <v>71</v>
      </c>
      <c r="U376" t="s">
        <v>53</v>
      </c>
      <c r="V376">
        <v>1.6</v>
      </c>
      <c r="W376" t="s">
        <v>124</v>
      </c>
      <c r="X376" t="s">
        <v>55</v>
      </c>
      <c r="Y376" t="s">
        <v>41</v>
      </c>
    </row>
    <row r="377" spans="1:25" x14ac:dyDescent="0.3">
      <c r="A377" t="s">
        <v>831</v>
      </c>
      <c r="B377" s="1">
        <v>45301</v>
      </c>
      <c r="C377" t="s">
        <v>117</v>
      </c>
      <c r="D377" t="s">
        <v>4083</v>
      </c>
      <c r="E377" t="s">
        <v>4084</v>
      </c>
      <c r="F377" t="s">
        <v>60</v>
      </c>
      <c r="G377" t="s">
        <v>29</v>
      </c>
      <c r="H377" t="s">
        <v>27</v>
      </c>
      <c r="I377">
        <v>11</v>
      </c>
      <c r="J377" t="s">
        <v>832</v>
      </c>
      <c r="K377">
        <v>39</v>
      </c>
      <c r="L377" t="s">
        <v>80</v>
      </c>
      <c r="M377">
        <v>7</v>
      </c>
      <c r="N377" t="s">
        <v>64</v>
      </c>
      <c r="O377" t="s">
        <v>81</v>
      </c>
      <c r="P377" t="s">
        <v>82</v>
      </c>
      <c r="Q377" s="2">
        <v>36996.019999999997</v>
      </c>
      <c r="R377" s="2">
        <v>140.91999999999999</v>
      </c>
      <c r="S377" t="s">
        <v>115</v>
      </c>
      <c r="T377" t="s">
        <v>52</v>
      </c>
      <c r="U377" t="s">
        <v>83</v>
      </c>
      <c r="V377">
        <v>4.8</v>
      </c>
      <c r="W377" t="s">
        <v>103</v>
      </c>
      <c r="X377" t="s">
        <v>65</v>
      </c>
      <c r="Y377" t="s">
        <v>72</v>
      </c>
    </row>
    <row r="378" spans="1:25" x14ac:dyDescent="0.3">
      <c r="A378" t="s">
        <v>833</v>
      </c>
      <c r="B378" s="1">
        <v>45302</v>
      </c>
      <c r="C378" t="s">
        <v>57</v>
      </c>
      <c r="D378" t="s">
        <v>44</v>
      </c>
      <c r="E378" t="s">
        <v>45</v>
      </c>
      <c r="F378" t="s">
        <v>28</v>
      </c>
      <c r="G378" t="s">
        <v>29</v>
      </c>
      <c r="H378" t="s">
        <v>67</v>
      </c>
      <c r="I378">
        <v>4</v>
      </c>
      <c r="J378" t="s">
        <v>834</v>
      </c>
      <c r="K378">
        <v>60</v>
      </c>
      <c r="L378" t="s">
        <v>80</v>
      </c>
      <c r="M378">
        <v>3</v>
      </c>
      <c r="N378" t="s">
        <v>91</v>
      </c>
      <c r="O378" t="s">
        <v>49</v>
      </c>
      <c r="P378" t="s">
        <v>82</v>
      </c>
      <c r="Q378" s="2">
        <v>22188.68</v>
      </c>
      <c r="R378" s="2">
        <v>2249.48</v>
      </c>
      <c r="S378" t="s">
        <v>94</v>
      </c>
      <c r="T378" t="s">
        <v>52</v>
      </c>
      <c r="U378" t="s">
        <v>53</v>
      </c>
      <c r="V378">
        <v>3.7</v>
      </c>
      <c r="W378" t="s">
        <v>54</v>
      </c>
      <c r="X378" t="s">
        <v>65</v>
      </c>
      <c r="Y378" t="s">
        <v>41</v>
      </c>
    </row>
    <row r="379" spans="1:25" x14ac:dyDescent="0.3">
      <c r="A379" t="s">
        <v>835</v>
      </c>
      <c r="B379" s="1">
        <v>45303</v>
      </c>
      <c r="C379" t="s">
        <v>26</v>
      </c>
      <c r="D379" t="s">
        <v>26</v>
      </c>
      <c r="E379" t="s">
        <v>4085</v>
      </c>
      <c r="F379" t="s">
        <v>60</v>
      </c>
      <c r="G379" t="s">
        <v>29</v>
      </c>
      <c r="H379" t="s">
        <v>46</v>
      </c>
      <c r="I379">
        <v>9</v>
      </c>
      <c r="J379" t="s">
        <v>836</v>
      </c>
      <c r="K379">
        <v>40</v>
      </c>
      <c r="L379" t="s">
        <v>32</v>
      </c>
      <c r="M379">
        <v>5</v>
      </c>
      <c r="N379" t="s">
        <v>48</v>
      </c>
      <c r="O379" t="s">
        <v>81</v>
      </c>
      <c r="P379" t="s">
        <v>82</v>
      </c>
      <c r="Q379" s="2">
        <v>46014.32</v>
      </c>
      <c r="R379" s="2">
        <v>3256.86</v>
      </c>
      <c r="S379" t="s">
        <v>36</v>
      </c>
      <c r="T379" t="s">
        <v>52</v>
      </c>
      <c r="U379" t="s">
        <v>38</v>
      </c>
      <c r="V379">
        <v>1.2</v>
      </c>
      <c r="W379" t="s">
        <v>124</v>
      </c>
      <c r="X379" t="s">
        <v>84</v>
      </c>
      <c r="Y379" t="s">
        <v>72</v>
      </c>
    </row>
    <row r="380" spans="1:25" x14ac:dyDescent="0.3">
      <c r="A380" t="s">
        <v>837</v>
      </c>
      <c r="B380" s="1">
        <v>45304</v>
      </c>
      <c r="C380" t="s">
        <v>78</v>
      </c>
      <c r="D380" t="s">
        <v>58</v>
      </c>
      <c r="E380" t="s">
        <v>4084</v>
      </c>
      <c r="F380" t="s">
        <v>60</v>
      </c>
      <c r="G380" t="s">
        <v>29</v>
      </c>
      <c r="H380" t="s">
        <v>27</v>
      </c>
      <c r="I380">
        <v>7</v>
      </c>
      <c r="J380" t="s">
        <v>838</v>
      </c>
      <c r="K380">
        <v>66</v>
      </c>
      <c r="L380" t="s">
        <v>80</v>
      </c>
      <c r="M380">
        <v>4</v>
      </c>
      <c r="N380" t="s">
        <v>33</v>
      </c>
      <c r="O380" t="s">
        <v>69</v>
      </c>
      <c r="P380" t="s">
        <v>35</v>
      </c>
      <c r="Q380" s="2">
        <v>17479.53</v>
      </c>
      <c r="R380" s="2">
        <v>4077.04</v>
      </c>
      <c r="S380" t="s">
        <v>94</v>
      </c>
      <c r="T380" t="s">
        <v>71</v>
      </c>
      <c r="U380" t="s">
        <v>53</v>
      </c>
      <c r="V380">
        <v>1.6</v>
      </c>
      <c r="W380" t="s">
        <v>124</v>
      </c>
      <c r="X380" t="s">
        <v>84</v>
      </c>
      <c r="Y380" t="s">
        <v>41</v>
      </c>
    </row>
    <row r="381" spans="1:25" x14ac:dyDescent="0.3">
      <c r="A381" t="s">
        <v>839</v>
      </c>
      <c r="B381" s="1">
        <v>45305</v>
      </c>
      <c r="C381" t="s">
        <v>78</v>
      </c>
      <c r="D381" t="s">
        <v>58</v>
      </c>
      <c r="E381" t="s">
        <v>4085</v>
      </c>
      <c r="F381" t="s">
        <v>60</v>
      </c>
      <c r="G381" t="s">
        <v>29</v>
      </c>
      <c r="H381" t="s">
        <v>46</v>
      </c>
      <c r="I381">
        <v>8</v>
      </c>
      <c r="J381" t="s">
        <v>840</v>
      </c>
      <c r="K381">
        <v>21</v>
      </c>
      <c r="L381" t="s">
        <v>63</v>
      </c>
      <c r="M381">
        <v>6</v>
      </c>
      <c r="N381" t="s">
        <v>91</v>
      </c>
      <c r="O381" t="s">
        <v>34</v>
      </c>
      <c r="P381" t="s">
        <v>70</v>
      </c>
      <c r="Q381" s="2">
        <v>14237.62</v>
      </c>
      <c r="R381" s="2">
        <v>1337.28</v>
      </c>
      <c r="S381" t="s">
        <v>51</v>
      </c>
      <c r="T381" t="s">
        <v>52</v>
      </c>
      <c r="U381" t="s">
        <v>83</v>
      </c>
      <c r="V381">
        <v>2.6</v>
      </c>
      <c r="W381" t="s">
        <v>76</v>
      </c>
      <c r="X381" t="s">
        <v>106</v>
      </c>
      <c r="Y381" t="s">
        <v>72</v>
      </c>
    </row>
    <row r="382" spans="1:25" x14ac:dyDescent="0.3">
      <c r="A382" t="s">
        <v>841</v>
      </c>
      <c r="B382" s="1">
        <v>45306</v>
      </c>
      <c r="C382" t="s">
        <v>43</v>
      </c>
      <c r="D382" t="s">
        <v>58</v>
      </c>
      <c r="E382" t="s">
        <v>4084</v>
      </c>
      <c r="F382" t="s">
        <v>60</v>
      </c>
      <c r="G382" t="s">
        <v>29</v>
      </c>
      <c r="H382" t="s">
        <v>27</v>
      </c>
      <c r="I382">
        <v>3</v>
      </c>
      <c r="J382" t="s">
        <v>842</v>
      </c>
      <c r="K382">
        <v>46</v>
      </c>
      <c r="L382" t="s">
        <v>63</v>
      </c>
      <c r="M382">
        <v>4</v>
      </c>
      <c r="N382" t="s">
        <v>48</v>
      </c>
      <c r="O382" t="s">
        <v>49</v>
      </c>
      <c r="P382" t="s">
        <v>35</v>
      </c>
      <c r="Q382" s="2">
        <v>21390.080000000002</v>
      </c>
      <c r="R382" s="2">
        <v>2567.96</v>
      </c>
      <c r="S382" t="s">
        <v>115</v>
      </c>
      <c r="T382" t="s">
        <v>37</v>
      </c>
      <c r="U382" t="s">
        <v>38</v>
      </c>
      <c r="V382">
        <v>1.9</v>
      </c>
      <c r="W382" t="s">
        <v>124</v>
      </c>
      <c r="X382" t="s">
        <v>84</v>
      </c>
      <c r="Y382" t="s">
        <v>41</v>
      </c>
    </row>
    <row r="383" spans="1:25" x14ac:dyDescent="0.3">
      <c r="A383" t="s">
        <v>843</v>
      </c>
      <c r="B383" s="1">
        <v>45307</v>
      </c>
      <c r="C383" t="s">
        <v>78</v>
      </c>
      <c r="D383" t="s">
        <v>58</v>
      </c>
      <c r="E383" t="s">
        <v>45</v>
      </c>
      <c r="F383" t="s">
        <v>28</v>
      </c>
      <c r="G383" t="s">
        <v>29</v>
      </c>
      <c r="H383" t="s">
        <v>67</v>
      </c>
      <c r="I383">
        <v>9</v>
      </c>
      <c r="J383" t="s">
        <v>844</v>
      </c>
      <c r="K383">
        <v>32</v>
      </c>
      <c r="L383" t="s">
        <v>63</v>
      </c>
      <c r="M383">
        <v>3</v>
      </c>
      <c r="N383" t="s">
        <v>33</v>
      </c>
      <c r="O383" t="s">
        <v>69</v>
      </c>
      <c r="P383" t="s">
        <v>50</v>
      </c>
      <c r="Q383" s="2">
        <v>34257.03</v>
      </c>
      <c r="R383" s="2">
        <v>3310.05</v>
      </c>
      <c r="S383" t="s">
        <v>94</v>
      </c>
      <c r="T383" t="s">
        <v>71</v>
      </c>
      <c r="U383" t="s">
        <v>75</v>
      </c>
      <c r="V383">
        <v>2.2000000000000002</v>
      </c>
      <c r="W383" t="s">
        <v>76</v>
      </c>
      <c r="X383" t="s">
        <v>55</v>
      </c>
      <c r="Y383" t="s">
        <v>41</v>
      </c>
    </row>
    <row r="384" spans="1:25" x14ac:dyDescent="0.3">
      <c r="A384" t="s">
        <v>845</v>
      </c>
      <c r="B384" s="1">
        <v>45308</v>
      </c>
      <c r="C384" t="s">
        <v>43</v>
      </c>
      <c r="D384" t="s">
        <v>58</v>
      </c>
      <c r="E384" t="s">
        <v>89</v>
      </c>
      <c r="F384" t="s">
        <v>28</v>
      </c>
      <c r="G384" t="s">
        <v>29</v>
      </c>
      <c r="H384" t="s">
        <v>61</v>
      </c>
      <c r="I384">
        <v>8</v>
      </c>
      <c r="J384" t="s">
        <v>846</v>
      </c>
      <c r="K384">
        <v>18</v>
      </c>
      <c r="L384" t="s">
        <v>32</v>
      </c>
      <c r="M384">
        <v>7</v>
      </c>
      <c r="N384" t="s">
        <v>64</v>
      </c>
      <c r="O384" t="s">
        <v>34</v>
      </c>
      <c r="P384" t="s">
        <v>50</v>
      </c>
      <c r="Q384" s="2">
        <v>43775.51</v>
      </c>
      <c r="R384" s="2">
        <v>2758.01</v>
      </c>
      <c r="S384" t="s">
        <v>94</v>
      </c>
      <c r="T384" t="s">
        <v>37</v>
      </c>
      <c r="U384" t="s">
        <v>53</v>
      </c>
      <c r="V384">
        <v>5</v>
      </c>
      <c r="W384" t="s">
        <v>103</v>
      </c>
      <c r="X384" t="s">
        <v>55</v>
      </c>
      <c r="Y384" t="s">
        <v>41</v>
      </c>
    </row>
    <row r="385" spans="1:25" x14ac:dyDescent="0.3">
      <c r="A385" t="s">
        <v>847</v>
      </c>
      <c r="B385" s="1">
        <v>45309</v>
      </c>
      <c r="C385" t="s">
        <v>117</v>
      </c>
      <c r="D385" t="s">
        <v>4083</v>
      </c>
      <c r="E385" t="s">
        <v>45</v>
      </c>
      <c r="F385" t="s">
        <v>28</v>
      </c>
      <c r="G385" t="s">
        <v>29</v>
      </c>
      <c r="H385" t="s">
        <v>67</v>
      </c>
      <c r="I385">
        <v>6</v>
      </c>
      <c r="J385" t="s">
        <v>848</v>
      </c>
      <c r="K385">
        <v>47</v>
      </c>
      <c r="L385" t="s">
        <v>63</v>
      </c>
      <c r="M385">
        <v>7</v>
      </c>
      <c r="N385" t="s">
        <v>33</v>
      </c>
      <c r="O385" t="s">
        <v>49</v>
      </c>
      <c r="P385" t="s">
        <v>35</v>
      </c>
      <c r="Q385" s="2">
        <v>10943.55</v>
      </c>
      <c r="R385" s="2">
        <v>1370.1</v>
      </c>
      <c r="S385" t="s">
        <v>94</v>
      </c>
      <c r="T385" t="s">
        <v>37</v>
      </c>
      <c r="U385" t="s">
        <v>75</v>
      </c>
      <c r="V385">
        <v>3.6</v>
      </c>
      <c r="W385" t="s">
        <v>54</v>
      </c>
      <c r="X385" t="s">
        <v>106</v>
      </c>
      <c r="Y385" t="s">
        <v>41</v>
      </c>
    </row>
    <row r="386" spans="1:25" x14ac:dyDescent="0.3">
      <c r="A386" t="s">
        <v>849</v>
      </c>
      <c r="B386" s="1">
        <v>45310</v>
      </c>
      <c r="C386" t="s">
        <v>26</v>
      </c>
      <c r="D386" t="s">
        <v>26</v>
      </c>
      <c r="E386" t="s">
        <v>120</v>
      </c>
      <c r="F386" t="s">
        <v>28</v>
      </c>
      <c r="G386" t="s">
        <v>29</v>
      </c>
      <c r="H386" t="s">
        <v>86</v>
      </c>
      <c r="I386">
        <v>3</v>
      </c>
      <c r="J386" t="s">
        <v>850</v>
      </c>
      <c r="K386">
        <v>46</v>
      </c>
      <c r="L386" t="s">
        <v>63</v>
      </c>
      <c r="M386">
        <v>4</v>
      </c>
      <c r="N386" t="s">
        <v>33</v>
      </c>
      <c r="O386" t="s">
        <v>81</v>
      </c>
      <c r="P386" t="s">
        <v>82</v>
      </c>
      <c r="Q386" s="2">
        <v>41621.1</v>
      </c>
      <c r="R386" s="2">
        <v>3981.41</v>
      </c>
      <c r="S386" t="s">
        <v>94</v>
      </c>
      <c r="T386" t="s">
        <v>37</v>
      </c>
      <c r="U386" t="s">
        <v>38</v>
      </c>
      <c r="V386">
        <v>4.7</v>
      </c>
      <c r="W386" t="s">
        <v>103</v>
      </c>
      <c r="X386" t="s">
        <v>40</v>
      </c>
      <c r="Y386" t="s">
        <v>41</v>
      </c>
    </row>
    <row r="387" spans="1:25" x14ac:dyDescent="0.3">
      <c r="A387" t="s">
        <v>851</v>
      </c>
      <c r="B387" s="1">
        <v>45311</v>
      </c>
      <c r="C387" t="s">
        <v>43</v>
      </c>
      <c r="D387" t="s">
        <v>58</v>
      </c>
      <c r="E387" t="s">
        <v>4084</v>
      </c>
      <c r="F387" t="s">
        <v>60</v>
      </c>
      <c r="G387" t="s">
        <v>29</v>
      </c>
      <c r="H387" t="s">
        <v>27</v>
      </c>
      <c r="I387">
        <v>11</v>
      </c>
      <c r="J387" t="s">
        <v>852</v>
      </c>
      <c r="K387">
        <v>37</v>
      </c>
      <c r="L387" t="s">
        <v>32</v>
      </c>
      <c r="M387">
        <v>5</v>
      </c>
      <c r="N387" t="s">
        <v>48</v>
      </c>
      <c r="O387" t="s">
        <v>49</v>
      </c>
      <c r="P387" t="s">
        <v>82</v>
      </c>
      <c r="Q387" s="2">
        <v>41577.050000000003</v>
      </c>
      <c r="R387" s="2">
        <v>866.81</v>
      </c>
      <c r="S387" t="s">
        <v>36</v>
      </c>
      <c r="T387" t="s">
        <v>71</v>
      </c>
      <c r="U387" t="s">
        <v>53</v>
      </c>
      <c r="V387">
        <v>2.7</v>
      </c>
      <c r="W387" t="s">
        <v>76</v>
      </c>
      <c r="X387" t="s">
        <v>40</v>
      </c>
      <c r="Y387" t="s">
        <v>41</v>
      </c>
    </row>
    <row r="388" spans="1:25" x14ac:dyDescent="0.3">
      <c r="A388" t="s">
        <v>853</v>
      </c>
      <c r="B388" s="1">
        <v>45312</v>
      </c>
      <c r="C388" t="s">
        <v>117</v>
      </c>
      <c r="D388" t="s">
        <v>4083</v>
      </c>
      <c r="E388" t="s">
        <v>120</v>
      </c>
      <c r="F388" t="s">
        <v>28</v>
      </c>
      <c r="G388" t="s">
        <v>29</v>
      </c>
      <c r="H388" t="s">
        <v>86</v>
      </c>
      <c r="I388">
        <v>6</v>
      </c>
      <c r="J388" t="s">
        <v>854</v>
      </c>
      <c r="K388">
        <v>50</v>
      </c>
      <c r="L388" t="s">
        <v>63</v>
      </c>
      <c r="M388">
        <v>7</v>
      </c>
      <c r="N388" t="s">
        <v>33</v>
      </c>
      <c r="O388" t="s">
        <v>81</v>
      </c>
      <c r="P388" t="s">
        <v>70</v>
      </c>
      <c r="Q388" s="2">
        <v>31411.37</v>
      </c>
      <c r="R388" s="2">
        <v>4524.8999999999996</v>
      </c>
      <c r="S388" t="s">
        <v>115</v>
      </c>
      <c r="T388" t="s">
        <v>71</v>
      </c>
      <c r="U388" t="s">
        <v>75</v>
      </c>
      <c r="V388">
        <v>3.8</v>
      </c>
      <c r="W388" t="s">
        <v>54</v>
      </c>
      <c r="X388" t="s">
        <v>55</v>
      </c>
      <c r="Y388" t="s">
        <v>72</v>
      </c>
    </row>
    <row r="389" spans="1:25" x14ac:dyDescent="0.3">
      <c r="A389" t="s">
        <v>855</v>
      </c>
      <c r="B389" s="1">
        <v>45313</v>
      </c>
      <c r="C389" t="s">
        <v>78</v>
      </c>
      <c r="D389" t="s">
        <v>58</v>
      </c>
      <c r="E389" t="s">
        <v>120</v>
      </c>
      <c r="F389" t="s">
        <v>28</v>
      </c>
      <c r="G389" t="s">
        <v>29</v>
      </c>
      <c r="H389" t="s">
        <v>86</v>
      </c>
      <c r="I389">
        <v>4</v>
      </c>
      <c r="J389" t="s">
        <v>856</v>
      </c>
      <c r="K389">
        <v>58</v>
      </c>
      <c r="L389" t="s">
        <v>63</v>
      </c>
      <c r="M389">
        <v>5</v>
      </c>
      <c r="N389" t="s">
        <v>64</v>
      </c>
      <c r="O389" t="s">
        <v>81</v>
      </c>
      <c r="P389" t="s">
        <v>35</v>
      </c>
      <c r="Q389" s="2">
        <v>39229.160000000003</v>
      </c>
      <c r="R389" s="2">
        <v>4762.9799999999996</v>
      </c>
      <c r="S389" t="s">
        <v>115</v>
      </c>
      <c r="T389" t="s">
        <v>52</v>
      </c>
      <c r="U389" t="s">
        <v>53</v>
      </c>
      <c r="V389">
        <v>2.8</v>
      </c>
      <c r="W389" t="s">
        <v>76</v>
      </c>
      <c r="X389" t="s">
        <v>40</v>
      </c>
      <c r="Y389" t="s">
        <v>72</v>
      </c>
    </row>
    <row r="390" spans="1:25" x14ac:dyDescent="0.3">
      <c r="A390" t="s">
        <v>857</v>
      </c>
      <c r="B390" s="1">
        <v>45314</v>
      </c>
      <c r="C390" t="s">
        <v>78</v>
      </c>
      <c r="D390" t="s">
        <v>58</v>
      </c>
      <c r="E390" t="s">
        <v>4085</v>
      </c>
      <c r="F390" t="s">
        <v>60</v>
      </c>
      <c r="G390" t="s">
        <v>29</v>
      </c>
      <c r="H390" t="s">
        <v>59</v>
      </c>
      <c r="I390">
        <v>10</v>
      </c>
      <c r="J390" t="s">
        <v>858</v>
      </c>
      <c r="K390">
        <v>61</v>
      </c>
      <c r="L390" t="s">
        <v>80</v>
      </c>
      <c r="M390">
        <v>1</v>
      </c>
      <c r="N390" t="s">
        <v>91</v>
      </c>
      <c r="O390" t="s">
        <v>81</v>
      </c>
      <c r="P390" t="s">
        <v>35</v>
      </c>
      <c r="Q390" s="2">
        <v>13184.63</v>
      </c>
      <c r="R390" s="2">
        <v>1827.87</v>
      </c>
      <c r="S390" t="s">
        <v>94</v>
      </c>
      <c r="T390" t="s">
        <v>52</v>
      </c>
      <c r="U390" t="s">
        <v>75</v>
      </c>
      <c r="V390">
        <v>2.2999999999999998</v>
      </c>
      <c r="W390" t="s">
        <v>76</v>
      </c>
      <c r="X390" t="s">
        <v>40</v>
      </c>
      <c r="Y390" t="s">
        <v>72</v>
      </c>
    </row>
    <row r="391" spans="1:25" x14ac:dyDescent="0.3">
      <c r="A391" t="s">
        <v>859</v>
      </c>
      <c r="B391" s="1">
        <v>45315</v>
      </c>
      <c r="C391" t="s">
        <v>117</v>
      </c>
      <c r="D391" t="s">
        <v>4083</v>
      </c>
      <c r="E391" t="s">
        <v>4084</v>
      </c>
      <c r="F391" t="s">
        <v>60</v>
      </c>
      <c r="G391" t="s">
        <v>29</v>
      </c>
      <c r="H391" t="s">
        <v>27</v>
      </c>
      <c r="I391">
        <v>4</v>
      </c>
      <c r="J391" t="s">
        <v>860</v>
      </c>
      <c r="K391">
        <v>53</v>
      </c>
      <c r="L391" t="s">
        <v>32</v>
      </c>
      <c r="M391">
        <v>2</v>
      </c>
      <c r="N391" t="s">
        <v>91</v>
      </c>
      <c r="O391" t="s">
        <v>34</v>
      </c>
      <c r="P391" t="s">
        <v>82</v>
      </c>
      <c r="Q391" s="2">
        <v>12631.37</v>
      </c>
      <c r="R391" s="2">
        <v>1880.91</v>
      </c>
      <c r="S391" t="s">
        <v>115</v>
      </c>
      <c r="T391" t="s">
        <v>52</v>
      </c>
      <c r="U391" t="s">
        <v>75</v>
      </c>
      <c r="V391">
        <v>3.1</v>
      </c>
      <c r="W391" t="s">
        <v>39</v>
      </c>
      <c r="X391" t="s">
        <v>106</v>
      </c>
      <c r="Y391" t="s">
        <v>41</v>
      </c>
    </row>
    <row r="392" spans="1:25" x14ac:dyDescent="0.3">
      <c r="A392" t="s">
        <v>861</v>
      </c>
      <c r="B392" s="1">
        <v>45316</v>
      </c>
      <c r="C392" t="s">
        <v>78</v>
      </c>
      <c r="D392" t="s">
        <v>58</v>
      </c>
      <c r="E392" t="s">
        <v>120</v>
      </c>
      <c r="F392" t="s">
        <v>28</v>
      </c>
      <c r="G392" t="s">
        <v>29</v>
      </c>
      <c r="H392" t="s">
        <v>86</v>
      </c>
      <c r="I392">
        <v>7</v>
      </c>
      <c r="J392" t="s">
        <v>862</v>
      </c>
      <c r="K392">
        <v>39</v>
      </c>
      <c r="L392" t="s">
        <v>63</v>
      </c>
      <c r="M392">
        <v>4</v>
      </c>
      <c r="N392" t="s">
        <v>48</v>
      </c>
      <c r="O392" t="s">
        <v>49</v>
      </c>
      <c r="P392" t="s">
        <v>50</v>
      </c>
      <c r="Q392" s="2">
        <v>43826</v>
      </c>
      <c r="R392" s="2">
        <v>3716.39</v>
      </c>
      <c r="S392" t="s">
        <v>94</v>
      </c>
      <c r="T392" t="s">
        <v>52</v>
      </c>
      <c r="U392" t="s">
        <v>38</v>
      </c>
      <c r="V392">
        <v>2.7</v>
      </c>
      <c r="W392" t="s">
        <v>76</v>
      </c>
      <c r="X392" t="s">
        <v>84</v>
      </c>
      <c r="Y392" t="s">
        <v>41</v>
      </c>
    </row>
    <row r="393" spans="1:25" x14ac:dyDescent="0.3">
      <c r="A393" t="s">
        <v>863</v>
      </c>
      <c r="B393" s="1">
        <v>45317</v>
      </c>
      <c r="C393" t="s">
        <v>117</v>
      </c>
      <c r="D393" t="s">
        <v>4083</v>
      </c>
      <c r="E393" t="s">
        <v>89</v>
      </c>
      <c r="F393" t="s">
        <v>28</v>
      </c>
      <c r="G393" t="s">
        <v>29</v>
      </c>
      <c r="H393" t="s">
        <v>61</v>
      </c>
      <c r="I393">
        <v>13</v>
      </c>
      <c r="J393" t="s">
        <v>864</v>
      </c>
      <c r="K393">
        <v>30</v>
      </c>
      <c r="L393" t="s">
        <v>63</v>
      </c>
      <c r="M393">
        <v>7</v>
      </c>
      <c r="N393" t="s">
        <v>64</v>
      </c>
      <c r="O393" t="s">
        <v>81</v>
      </c>
      <c r="P393" t="s">
        <v>50</v>
      </c>
      <c r="Q393" s="2">
        <v>27416.68</v>
      </c>
      <c r="R393" s="2">
        <v>2281.44</v>
      </c>
      <c r="S393" t="s">
        <v>51</v>
      </c>
      <c r="T393" t="s">
        <v>37</v>
      </c>
      <c r="U393" t="s">
        <v>53</v>
      </c>
      <c r="V393">
        <v>4.9000000000000004</v>
      </c>
      <c r="W393" t="s">
        <v>103</v>
      </c>
      <c r="X393" t="s">
        <v>84</v>
      </c>
      <c r="Y393" t="s">
        <v>72</v>
      </c>
    </row>
    <row r="394" spans="1:25" x14ac:dyDescent="0.3">
      <c r="A394" t="s">
        <v>865</v>
      </c>
      <c r="B394" s="1">
        <v>45318</v>
      </c>
      <c r="C394" t="s">
        <v>43</v>
      </c>
      <c r="D394" t="s">
        <v>58</v>
      </c>
      <c r="E394" t="s">
        <v>120</v>
      </c>
      <c r="F394" t="s">
        <v>28</v>
      </c>
      <c r="G394" t="s">
        <v>29</v>
      </c>
      <c r="H394" t="s">
        <v>86</v>
      </c>
      <c r="I394">
        <v>8</v>
      </c>
      <c r="J394" t="s">
        <v>866</v>
      </c>
      <c r="K394">
        <v>24</v>
      </c>
      <c r="L394" t="s">
        <v>63</v>
      </c>
      <c r="M394">
        <v>5</v>
      </c>
      <c r="N394" t="s">
        <v>64</v>
      </c>
      <c r="O394" t="s">
        <v>69</v>
      </c>
      <c r="P394" t="s">
        <v>70</v>
      </c>
      <c r="Q394" s="2">
        <v>16067.17</v>
      </c>
      <c r="R394" s="2">
        <v>143.05000000000001</v>
      </c>
      <c r="S394" t="s">
        <v>51</v>
      </c>
      <c r="T394" t="s">
        <v>71</v>
      </c>
      <c r="U394" t="s">
        <v>75</v>
      </c>
      <c r="V394">
        <v>3</v>
      </c>
      <c r="W394" t="s">
        <v>76</v>
      </c>
      <c r="X394" t="s">
        <v>40</v>
      </c>
      <c r="Y394" t="s">
        <v>41</v>
      </c>
    </row>
    <row r="395" spans="1:25" x14ac:dyDescent="0.3">
      <c r="A395" t="s">
        <v>867</v>
      </c>
      <c r="B395" s="1">
        <v>45319</v>
      </c>
      <c r="C395" t="s">
        <v>43</v>
      </c>
      <c r="D395" t="s">
        <v>58</v>
      </c>
      <c r="E395" t="s">
        <v>89</v>
      </c>
      <c r="F395" t="s">
        <v>28</v>
      </c>
      <c r="G395" t="s">
        <v>29</v>
      </c>
      <c r="H395" t="s">
        <v>61</v>
      </c>
      <c r="I395">
        <v>13</v>
      </c>
      <c r="J395" t="s">
        <v>868</v>
      </c>
      <c r="K395">
        <v>25</v>
      </c>
      <c r="L395" t="s">
        <v>63</v>
      </c>
      <c r="M395">
        <v>7</v>
      </c>
      <c r="N395" t="s">
        <v>33</v>
      </c>
      <c r="O395" t="s">
        <v>49</v>
      </c>
      <c r="P395" t="s">
        <v>70</v>
      </c>
      <c r="Q395" s="2">
        <v>35992.870000000003</v>
      </c>
      <c r="R395" s="2">
        <v>4599.38</v>
      </c>
      <c r="S395" t="s">
        <v>51</v>
      </c>
      <c r="T395" t="s">
        <v>52</v>
      </c>
      <c r="U395" t="s">
        <v>53</v>
      </c>
      <c r="V395">
        <v>4.2</v>
      </c>
      <c r="W395" t="s">
        <v>54</v>
      </c>
      <c r="X395" t="s">
        <v>65</v>
      </c>
      <c r="Y395" t="s">
        <v>41</v>
      </c>
    </row>
    <row r="396" spans="1:25" x14ac:dyDescent="0.3">
      <c r="A396" t="s">
        <v>869</v>
      </c>
      <c r="B396" s="1">
        <v>45320</v>
      </c>
      <c r="C396" t="s">
        <v>117</v>
      </c>
      <c r="D396" t="s">
        <v>4083</v>
      </c>
      <c r="E396" t="s">
        <v>4085</v>
      </c>
      <c r="F396" t="s">
        <v>60</v>
      </c>
      <c r="G396" t="s">
        <v>29</v>
      </c>
      <c r="H396" t="s">
        <v>59</v>
      </c>
      <c r="I396">
        <v>10</v>
      </c>
      <c r="J396" t="s">
        <v>870</v>
      </c>
      <c r="K396">
        <v>45</v>
      </c>
      <c r="L396" t="s">
        <v>80</v>
      </c>
      <c r="M396">
        <v>2</v>
      </c>
      <c r="N396" t="s">
        <v>48</v>
      </c>
      <c r="O396" t="s">
        <v>69</v>
      </c>
      <c r="P396" t="s">
        <v>50</v>
      </c>
      <c r="Q396" s="2">
        <v>45134.38</v>
      </c>
      <c r="R396" s="2">
        <v>2153.75</v>
      </c>
      <c r="S396" t="s">
        <v>115</v>
      </c>
      <c r="T396" t="s">
        <v>37</v>
      </c>
      <c r="U396" t="s">
        <v>53</v>
      </c>
      <c r="V396">
        <v>3.7</v>
      </c>
      <c r="W396" t="s">
        <v>54</v>
      </c>
      <c r="X396" t="s">
        <v>106</v>
      </c>
      <c r="Y396" t="s">
        <v>72</v>
      </c>
    </row>
    <row r="397" spans="1:25" x14ac:dyDescent="0.3">
      <c r="A397" t="s">
        <v>871</v>
      </c>
      <c r="B397" s="1">
        <v>45321</v>
      </c>
      <c r="C397" t="s">
        <v>43</v>
      </c>
      <c r="D397" t="s">
        <v>58</v>
      </c>
      <c r="E397" t="s">
        <v>120</v>
      </c>
      <c r="F397" t="s">
        <v>28</v>
      </c>
      <c r="G397" t="s">
        <v>29</v>
      </c>
      <c r="H397" t="s">
        <v>86</v>
      </c>
      <c r="I397">
        <v>13</v>
      </c>
      <c r="J397" t="s">
        <v>872</v>
      </c>
      <c r="K397">
        <v>62</v>
      </c>
      <c r="L397" t="s">
        <v>80</v>
      </c>
      <c r="M397">
        <v>2</v>
      </c>
      <c r="N397" t="s">
        <v>64</v>
      </c>
      <c r="O397" t="s">
        <v>34</v>
      </c>
      <c r="P397" t="s">
        <v>35</v>
      </c>
      <c r="Q397" s="2">
        <v>33454.519999999997</v>
      </c>
      <c r="R397" s="2">
        <v>1017.48</v>
      </c>
      <c r="S397" t="s">
        <v>94</v>
      </c>
      <c r="T397" t="s">
        <v>71</v>
      </c>
      <c r="U397" t="s">
        <v>83</v>
      </c>
      <c r="V397">
        <v>2.9</v>
      </c>
      <c r="W397" t="s">
        <v>76</v>
      </c>
      <c r="X397" t="s">
        <v>40</v>
      </c>
      <c r="Y397" t="s">
        <v>72</v>
      </c>
    </row>
    <row r="398" spans="1:25" x14ac:dyDescent="0.3">
      <c r="A398" t="s">
        <v>873</v>
      </c>
      <c r="B398" s="1">
        <v>45322</v>
      </c>
      <c r="C398" t="s">
        <v>43</v>
      </c>
      <c r="D398" t="s">
        <v>58</v>
      </c>
      <c r="E398" t="s">
        <v>45</v>
      </c>
      <c r="F398" t="s">
        <v>28</v>
      </c>
      <c r="G398" t="s">
        <v>29</v>
      </c>
      <c r="H398" t="s">
        <v>67</v>
      </c>
      <c r="I398">
        <v>3</v>
      </c>
      <c r="J398" t="s">
        <v>874</v>
      </c>
      <c r="K398">
        <v>60</v>
      </c>
      <c r="L398" t="s">
        <v>80</v>
      </c>
      <c r="M398">
        <v>1</v>
      </c>
      <c r="N398" t="s">
        <v>64</v>
      </c>
      <c r="O398" t="s">
        <v>34</v>
      </c>
      <c r="P398" t="s">
        <v>70</v>
      </c>
      <c r="Q398" s="2">
        <v>20630.53</v>
      </c>
      <c r="R398" s="2">
        <v>2778.32</v>
      </c>
      <c r="S398" t="s">
        <v>36</v>
      </c>
      <c r="T398" t="s">
        <v>71</v>
      </c>
      <c r="U398" t="s">
        <v>38</v>
      </c>
      <c r="V398">
        <v>2.9</v>
      </c>
      <c r="W398" t="s">
        <v>76</v>
      </c>
      <c r="X398" t="s">
        <v>65</v>
      </c>
      <c r="Y398" t="s">
        <v>72</v>
      </c>
    </row>
    <row r="399" spans="1:25" x14ac:dyDescent="0.3">
      <c r="A399" t="s">
        <v>875</v>
      </c>
      <c r="B399" s="1">
        <v>45323</v>
      </c>
      <c r="C399" t="s">
        <v>43</v>
      </c>
      <c r="D399" t="s">
        <v>58</v>
      </c>
      <c r="E399" t="s">
        <v>4085</v>
      </c>
      <c r="F399" t="s">
        <v>60</v>
      </c>
      <c r="G399" t="s">
        <v>29</v>
      </c>
      <c r="H399" t="s">
        <v>59</v>
      </c>
      <c r="I399">
        <v>3</v>
      </c>
      <c r="J399" t="s">
        <v>876</v>
      </c>
      <c r="K399">
        <v>26</v>
      </c>
      <c r="L399" t="s">
        <v>80</v>
      </c>
      <c r="M399">
        <v>2</v>
      </c>
      <c r="N399" t="s">
        <v>64</v>
      </c>
      <c r="O399" t="s">
        <v>49</v>
      </c>
      <c r="P399" t="s">
        <v>82</v>
      </c>
      <c r="Q399" s="2">
        <v>26745.7</v>
      </c>
      <c r="R399" s="2">
        <v>1094.53</v>
      </c>
      <c r="S399" t="s">
        <v>36</v>
      </c>
      <c r="T399" t="s">
        <v>71</v>
      </c>
      <c r="U399" t="s">
        <v>53</v>
      </c>
      <c r="V399">
        <v>2.4</v>
      </c>
      <c r="W399" t="s">
        <v>76</v>
      </c>
      <c r="X399" t="s">
        <v>65</v>
      </c>
      <c r="Y399" t="s">
        <v>72</v>
      </c>
    </row>
    <row r="400" spans="1:25" x14ac:dyDescent="0.3">
      <c r="A400" t="s">
        <v>877</v>
      </c>
      <c r="B400" s="1">
        <v>45324</v>
      </c>
      <c r="C400" t="s">
        <v>57</v>
      </c>
      <c r="D400" t="s">
        <v>44</v>
      </c>
      <c r="E400" t="s">
        <v>89</v>
      </c>
      <c r="F400" t="s">
        <v>28</v>
      </c>
      <c r="G400" t="s">
        <v>29</v>
      </c>
      <c r="H400" t="s">
        <v>61</v>
      </c>
      <c r="I400">
        <v>14</v>
      </c>
      <c r="J400" t="s">
        <v>878</v>
      </c>
      <c r="K400">
        <v>42</v>
      </c>
      <c r="L400" t="s">
        <v>32</v>
      </c>
      <c r="M400">
        <v>2</v>
      </c>
      <c r="N400" t="s">
        <v>91</v>
      </c>
      <c r="O400" t="s">
        <v>34</v>
      </c>
      <c r="P400" t="s">
        <v>35</v>
      </c>
      <c r="Q400" s="2">
        <v>38852.129999999997</v>
      </c>
      <c r="R400" s="2">
        <v>1030.1099999999999</v>
      </c>
      <c r="S400" t="s">
        <v>51</v>
      </c>
      <c r="T400" t="s">
        <v>37</v>
      </c>
      <c r="U400" t="s">
        <v>53</v>
      </c>
      <c r="V400">
        <v>1.4</v>
      </c>
      <c r="W400" t="s">
        <v>124</v>
      </c>
      <c r="X400" t="s">
        <v>106</v>
      </c>
      <c r="Y400" t="s">
        <v>72</v>
      </c>
    </row>
    <row r="401" spans="1:25" x14ac:dyDescent="0.3">
      <c r="A401" t="s">
        <v>879</v>
      </c>
      <c r="B401" s="1">
        <v>45325</v>
      </c>
      <c r="C401" t="s">
        <v>26</v>
      </c>
      <c r="D401" t="s">
        <v>26</v>
      </c>
      <c r="E401" t="s">
        <v>4085</v>
      </c>
      <c r="F401" t="s">
        <v>60</v>
      </c>
      <c r="G401" t="s">
        <v>29</v>
      </c>
      <c r="H401" t="s">
        <v>46</v>
      </c>
      <c r="I401">
        <v>6</v>
      </c>
      <c r="J401" t="s">
        <v>880</v>
      </c>
      <c r="K401">
        <v>33</v>
      </c>
      <c r="L401" t="s">
        <v>63</v>
      </c>
      <c r="M401">
        <v>6</v>
      </c>
      <c r="N401" t="s">
        <v>91</v>
      </c>
      <c r="O401" t="s">
        <v>34</v>
      </c>
      <c r="P401" t="s">
        <v>82</v>
      </c>
      <c r="Q401" s="2">
        <v>8037.56</v>
      </c>
      <c r="R401" s="2">
        <v>2728.66</v>
      </c>
      <c r="S401" t="s">
        <v>51</v>
      </c>
      <c r="T401" t="s">
        <v>52</v>
      </c>
      <c r="U401" t="s">
        <v>53</v>
      </c>
      <c r="V401">
        <v>4</v>
      </c>
      <c r="W401" t="s">
        <v>39</v>
      </c>
      <c r="X401" t="s">
        <v>84</v>
      </c>
      <c r="Y401" t="s">
        <v>72</v>
      </c>
    </row>
    <row r="402" spans="1:25" x14ac:dyDescent="0.3">
      <c r="A402" t="s">
        <v>881</v>
      </c>
      <c r="B402" s="1">
        <v>45326</v>
      </c>
      <c r="C402" t="s">
        <v>78</v>
      </c>
      <c r="D402" t="s">
        <v>58</v>
      </c>
      <c r="E402" t="s">
        <v>120</v>
      </c>
      <c r="F402" t="s">
        <v>28</v>
      </c>
      <c r="G402" t="s">
        <v>29</v>
      </c>
      <c r="H402" t="s">
        <v>86</v>
      </c>
      <c r="I402">
        <v>7</v>
      </c>
      <c r="J402" t="s">
        <v>882</v>
      </c>
      <c r="K402">
        <v>27</v>
      </c>
      <c r="L402" t="s">
        <v>80</v>
      </c>
      <c r="M402">
        <v>3</v>
      </c>
      <c r="N402" t="s">
        <v>91</v>
      </c>
      <c r="O402" t="s">
        <v>49</v>
      </c>
      <c r="P402" t="s">
        <v>70</v>
      </c>
      <c r="Q402" s="2">
        <v>14772.4</v>
      </c>
      <c r="R402" s="2">
        <v>1955.21</v>
      </c>
      <c r="S402" t="s">
        <v>115</v>
      </c>
      <c r="T402" t="s">
        <v>71</v>
      </c>
      <c r="U402" t="s">
        <v>38</v>
      </c>
      <c r="V402">
        <v>4.7</v>
      </c>
      <c r="W402" t="s">
        <v>103</v>
      </c>
      <c r="X402" t="s">
        <v>55</v>
      </c>
      <c r="Y402" t="s">
        <v>72</v>
      </c>
    </row>
    <row r="403" spans="1:25" x14ac:dyDescent="0.3">
      <c r="A403" t="s">
        <v>883</v>
      </c>
      <c r="B403" s="1">
        <v>45327</v>
      </c>
      <c r="C403" t="s">
        <v>57</v>
      </c>
      <c r="D403" t="s">
        <v>44</v>
      </c>
      <c r="E403" t="s">
        <v>4084</v>
      </c>
      <c r="F403" t="s">
        <v>60</v>
      </c>
      <c r="G403" t="s">
        <v>29</v>
      </c>
      <c r="H403" t="s">
        <v>27</v>
      </c>
      <c r="I403">
        <v>11</v>
      </c>
      <c r="J403" t="s">
        <v>884</v>
      </c>
      <c r="K403">
        <v>28</v>
      </c>
      <c r="L403" t="s">
        <v>63</v>
      </c>
      <c r="M403">
        <v>7</v>
      </c>
      <c r="N403" t="s">
        <v>33</v>
      </c>
      <c r="O403" t="s">
        <v>69</v>
      </c>
      <c r="P403" t="s">
        <v>50</v>
      </c>
      <c r="Q403" s="2">
        <v>25816.240000000002</v>
      </c>
      <c r="R403" s="2">
        <v>2864.97</v>
      </c>
      <c r="S403" t="s">
        <v>36</v>
      </c>
      <c r="T403" t="s">
        <v>37</v>
      </c>
      <c r="U403" t="s">
        <v>38</v>
      </c>
      <c r="V403">
        <v>1.9</v>
      </c>
      <c r="W403" t="s">
        <v>124</v>
      </c>
      <c r="X403" t="s">
        <v>65</v>
      </c>
      <c r="Y403" t="s">
        <v>41</v>
      </c>
    </row>
    <row r="404" spans="1:25" x14ac:dyDescent="0.3">
      <c r="A404" t="s">
        <v>885</v>
      </c>
      <c r="B404" s="1">
        <v>45328</v>
      </c>
      <c r="C404" t="s">
        <v>43</v>
      </c>
      <c r="D404" t="s">
        <v>58</v>
      </c>
      <c r="E404" t="s">
        <v>4084</v>
      </c>
      <c r="F404" t="s">
        <v>60</v>
      </c>
      <c r="G404" t="s">
        <v>29</v>
      </c>
      <c r="H404" t="s">
        <v>27</v>
      </c>
      <c r="I404">
        <v>13</v>
      </c>
      <c r="J404" t="s">
        <v>886</v>
      </c>
      <c r="K404">
        <v>48</v>
      </c>
      <c r="L404" t="s">
        <v>32</v>
      </c>
      <c r="M404">
        <v>1</v>
      </c>
      <c r="N404" t="s">
        <v>33</v>
      </c>
      <c r="O404" t="s">
        <v>81</v>
      </c>
      <c r="P404" t="s">
        <v>70</v>
      </c>
      <c r="Q404" s="2">
        <v>32190.84</v>
      </c>
      <c r="R404" s="2">
        <v>4984.13</v>
      </c>
      <c r="S404" t="s">
        <v>115</v>
      </c>
      <c r="T404" t="s">
        <v>71</v>
      </c>
      <c r="U404" t="s">
        <v>53</v>
      </c>
      <c r="V404">
        <v>4.7</v>
      </c>
      <c r="W404" t="s">
        <v>103</v>
      </c>
      <c r="X404" t="s">
        <v>55</v>
      </c>
      <c r="Y404" t="s">
        <v>41</v>
      </c>
    </row>
    <row r="405" spans="1:25" x14ac:dyDescent="0.3">
      <c r="A405" t="s">
        <v>887</v>
      </c>
      <c r="B405" s="1">
        <v>45329</v>
      </c>
      <c r="C405" t="s">
        <v>117</v>
      </c>
      <c r="D405" t="s">
        <v>4083</v>
      </c>
      <c r="E405" t="s">
        <v>89</v>
      </c>
      <c r="F405" t="s">
        <v>28</v>
      </c>
      <c r="G405" t="s">
        <v>29</v>
      </c>
      <c r="H405" t="s">
        <v>61</v>
      </c>
      <c r="I405">
        <v>9</v>
      </c>
      <c r="J405" t="s">
        <v>888</v>
      </c>
      <c r="K405">
        <v>29</v>
      </c>
      <c r="L405" t="s">
        <v>63</v>
      </c>
      <c r="M405">
        <v>1</v>
      </c>
      <c r="N405" t="s">
        <v>33</v>
      </c>
      <c r="O405" t="s">
        <v>49</v>
      </c>
      <c r="P405" t="s">
        <v>50</v>
      </c>
      <c r="Q405" s="2">
        <v>20262.45</v>
      </c>
      <c r="R405" s="2">
        <v>4295.09</v>
      </c>
      <c r="S405" t="s">
        <v>51</v>
      </c>
      <c r="T405" t="s">
        <v>37</v>
      </c>
      <c r="U405" t="s">
        <v>38</v>
      </c>
      <c r="V405">
        <v>1.9</v>
      </c>
      <c r="W405" t="s">
        <v>124</v>
      </c>
      <c r="X405" t="s">
        <v>55</v>
      </c>
      <c r="Y405" t="s">
        <v>41</v>
      </c>
    </row>
    <row r="406" spans="1:25" x14ac:dyDescent="0.3">
      <c r="A406" t="s">
        <v>889</v>
      </c>
      <c r="B406" s="1">
        <v>45330</v>
      </c>
      <c r="C406" t="s">
        <v>43</v>
      </c>
      <c r="D406" t="s">
        <v>58</v>
      </c>
      <c r="E406" t="s">
        <v>89</v>
      </c>
      <c r="F406" t="s">
        <v>28</v>
      </c>
      <c r="G406" t="s">
        <v>29</v>
      </c>
      <c r="H406" t="s">
        <v>61</v>
      </c>
      <c r="I406">
        <v>9</v>
      </c>
      <c r="J406" t="s">
        <v>890</v>
      </c>
      <c r="K406">
        <v>48</v>
      </c>
      <c r="L406" t="s">
        <v>63</v>
      </c>
      <c r="M406">
        <v>4</v>
      </c>
      <c r="N406" t="s">
        <v>64</v>
      </c>
      <c r="O406" t="s">
        <v>49</v>
      </c>
      <c r="P406" t="s">
        <v>35</v>
      </c>
      <c r="Q406" s="2">
        <v>18427.59</v>
      </c>
      <c r="R406" s="2">
        <v>38.35</v>
      </c>
      <c r="S406" t="s">
        <v>94</v>
      </c>
      <c r="T406" t="s">
        <v>52</v>
      </c>
      <c r="U406" t="s">
        <v>83</v>
      </c>
      <c r="V406">
        <v>3.1</v>
      </c>
      <c r="W406" t="s">
        <v>39</v>
      </c>
      <c r="X406" t="s">
        <v>106</v>
      </c>
      <c r="Y406" t="s">
        <v>41</v>
      </c>
    </row>
    <row r="407" spans="1:25" x14ac:dyDescent="0.3">
      <c r="A407" t="s">
        <v>891</v>
      </c>
      <c r="B407" s="1">
        <v>45331</v>
      </c>
      <c r="C407" t="s">
        <v>26</v>
      </c>
      <c r="D407" t="s">
        <v>26</v>
      </c>
      <c r="E407" t="s">
        <v>4084</v>
      </c>
      <c r="F407" t="s">
        <v>60</v>
      </c>
      <c r="G407" t="s">
        <v>29</v>
      </c>
      <c r="H407" t="s">
        <v>30</v>
      </c>
      <c r="I407">
        <v>10</v>
      </c>
      <c r="J407" t="s">
        <v>892</v>
      </c>
      <c r="K407">
        <v>31</v>
      </c>
      <c r="L407" t="s">
        <v>80</v>
      </c>
      <c r="M407">
        <v>2</v>
      </c>
      <c r="N407" t="s">
        <v>91</v>
      </c>
      <c r="O407" t="s">
        <v>81</v>
      </c>
      <c r="P407" t="s">
        <v>70</v>
      </c>
      <c r="Q407" s="2">
        <v>6862.29</v>
      </c>
      <c r="R407" s="2">
        <v>252.78</v>
      </c>
      <c r="S407" t="s">
        <v>94</v>
      </c>
      <c r="T407" t="s">
        <v>52</v>
      </c>
      <c r="U407" t="s">
        <v>38</v>
      </c>
      <c r="V407">
        <v>2.4</v>
      </c>
      <c r="W407" t="s">
        <v>76</v>
      </c>
      <c r="X407" t="s">
        <v>84</v>
      </c>
      <c r="Y407" t="s">
        <v>72</v>
      </c>
    </row>
    <row r="408" spans="1:25" x14ac:dyDescent="0.3">
      <c r="A408" t="s">
        <v>893</v>
      </c>
      <c r="B408" s="1">
        <v>45332</v>
      </c>
      <c r="C408" t="s">
        <v>43</v>
      </c>
      <c r="D408" t="s">
        <v>58</v>
      </c>
      <c r="E408" t="s">
        <v>89</v>
      </c>
      <c r="F408" t="s">
        <v>28</v>
      </c>
      <c r="G408" t="s">
        <v>29</v>
      </c>
      <c r="H408" t="s">
        <v>61</v>
      </c>
      <c r="I408">
        <v>7</v>
      </c>
      <c r="J408" t="s">
        <v>894</v>
      </c>
      <c r="K408">
        <v>68</v>
      </c>
      <c r="L408" t="s">
        <v>80</v>
      </c>
      <c r="M408">
        <v>4</v>
      </c>
      <c r="N408" t="s">
        <v>64</v>
      </c>
      <c r="O408" t="s">
        <v>69</v>
      </c>
      <c r="P408" t="s">
        <v>70</v>
      </c>
      <c r="Q408" s="2">
        <v>6467.08</v>
      </c>
      <c r="R408" s="2">
        <v>3050.4</v>
      </c>
      <c r="S408" t="s">
        <v>94</v>
      </c>
      <c r="T408" t="s">
        <v>71</v>
      </c>
      <c r="U408" t="s">
        <v>83</v>
      </c>
      <c r="V408">
        <v>1.5</v>
      </c>
      <c r="W408" t="s">
        <v>124</v>
      </c>
      <c r="X408" t="s">
        <v>106</v>
      </c>
      <c r="Y408" t="s">
        <v>41</v>
      </c>
    </row>
    <row r="409" spans="1:25" x14ac:dyDescent="0.3">
      <c r="A409" t="s">
        <v>895</v>
      </c>
      <c r="B409" s="1">
        <v>45333</v>
      </c>
      <c r="C409" t="s">
        <v>117</v>
      </c>
      <c r="D409" t="s">
        <v>4083</v>
      </c>
      <c r="E409" t="s">
        <v>4085</v>
      </c>
      <c r="F409" t="s">
        <v>60</v>
      </c>
      <c r="G409" t="s">
        <v>29</v>
      </c>
      <c r="H409" t="s">
        <v>46</v>
      </c>
      <c r="I409">
        <v>7</v>
      </c>
      <c r="J409" t="s">
        <v>896</v>
      </c>
      <c r="K409">
        <v>61</v>
      </c>
      <c r="L409" t="s">
        <v>32</v>
      </c>
      <c r="M409">
        <v>6</v>
      </c>
      <c r="N409" t="s">
        <v>64</v>
      </c>
      <c r="O409" t="s">
        <v>81</v>
      </c>
      <c r="P409" t="s">
        <v>70</v>
      </c>
      <c r="Q409" s="2">
        <v>17541.27</v>
      </c>
      <c r="R409" s="2">
        <v>3131.28</v>
      </c>
      <c r="S409" t="s">
        <v>51</v>
      </c>
      <c r="T409" t="s">
        <v>52</v>
      </c>
      <c r="U409" t="s">
        <v>83</v>
      </c>
      <c r="V409">
        <v>1.2</v>
      </c>
      <c r="W409" t="s">
        <v>124</v>
      </c>
      <c r="X409" t="s">
        <v>65</v>
      </c>
      <c r="Y409" t="s">
        <v>41</v>
      </c>
    </row>
    <row r="410" spans="1:25" x14ac:dyDescent="0.3">
      <c r="A410" t="s">
        <v>897</v>
      </c>
      <c r="B410" s="1">
        <v>45334</v>
      </c>
      <c r="C410" t="s">
        <v>26</v>
      </c>
      <c r="D410" t="s">
        <v>26</v>
      </c>
      <c r="E410" t="s">
        <v>45</v>
      </c>
      <c r="F410" t="s">
        <v>28</v>
      </c>
      <c r="G410" t="s">
        <v>29</v>
      </c>
      <c r="H410" t="s">
        <v>67</v>
      </c>
      <c r="I410">
        <v>3</v>
      </c>
      <c r="J410" t="s">
        <v>898</v>
      </c>
      <c r="K410">
        <v>49</v>
      </c>
      <c r="L410" t="s">
        <v>63</v>
      </c>
      <c r="M410">
        <v>5</v>
      </c>
      <c r="N410" t="s">
        <v>48</v>
      </c>
      <c r="O410" t="s">
        <v>81</v>
      </c>
      <c r="P410" t="s">
        <v>35</v>
      </c>
      <c r="Q410" s="2">
        <v>28872.77</v>
      </c>
      <c r="R410" s="2">
        <v>4390.95</v>
      </c>
      <c r="S410" t="s">
        <v>115</v>
      </c>
      <c r="T410" t="s">
        <v>52</v>
      </c>
      <c r="U410" t="s">
        <v>83</v>
      </c>
      <c r="V410">
        <v>2.5</v>
      </c>
      <c r="W410" t="s">
        <v>76</v>
      </c>
      <c r="X410" t="s">
        <v>84</v>
      </c>
      <c r="Y410" t="s">
        <v>41</v>
      </c>
    </row>
    <row r="411" spans="1:25" x14ac:dyDescent="0.3">
      <c r="A411" t="s">
        <v>899</v>
      </c>
      <c r="B411" s="1">
        <v>45335</v>
      </c>
      <c r="C411" t="s">
        <v>43</v>
      </c>
      <c r="D411" t="s">
        <v>58</v>
      </c>
      <c r="E411" t="s">
        <v>45</v>
      </c>
      <c r="F411" t="s">
        <v>28</v>
      </c>
      <c r="G411" t="s">
        <v>29</v>
      </c>
      <c r="H411" t="s">
        <v>67</v>
      </c>
      <c r="I411">
        <v>11</v>
      </c>
      <c r="J411" t="s">
        <v>900</v>
      </c>
      <c r="K411">
        <v>67</v>
      </c>
      <c r="L411" t="s">
        <v>80</v>
      </c>
      <c r="M411">
        <v>2</v>
      </c>
      <c r="N411" t="s">
        <v>64</v>
      </c>
      <c r="O411" t="s">
        <v>69</v>
      </c>
      <c r="P411" t="s">
        <v>82</v>
      </c>
      <c r="Q411" s="2">
        <v>30036.720000000001</v>
      </c>
      <c r="R411" s="2">
        <v>3145.29</v>
      </c>
      <c r="S411" t="s">
        <v>94</v>
      </c>
      <c r="T411" t="s">
        <v>37</v>
      </c>
      <c r="U411" t="s">
        <v>75</v>
      </c>
      <c r="V411">
        <v>1.2</v>
      </c>
      <c r="W411" t="s">
        <v>124</v>
      </c>
      <c r="X411" t="s">
        <v>40</v>
      </c>
      <c r="Y411" t="s">
        <v>41</v>
      </c>
    </row>
    <row r="412" spans="1:25" x14ac:dyDescent="0.3">
      <c r="A412" t="s">
        <v>901</v>
      </c>
      <c r="B412" s="1">
        <v>45336</v>
      </c>
      <c r="C412" t="s">
        <v>26</v>
      </c>
      <c r="D412" t="s">
        <v>26</v>
      </c>
      <c r="E412" t="s">
        <v>4085</v>
      </c>
      <c r="F412" t="s">
        <v>60</v>
      </c>
      <c r="G412" t="s">
        <v>29</v>
      </c>
      <c r="H412" t="s">
        <v>46</v>
      </c>
      <c r="I412">
        <v>8</v>
      </c>
      <c r="J412" t="s">
        <v>902</v>
      </c>
      <c r="K412">
        <v>34</v>
      </c>
      <c r="L412" t="s">
        <v>80</v>
      </c>
      <c r="M412">
        <v>5</v>
      </c>
      <c r="N412" t="s">
        <v>33</v>
      </c>
      <c r="O412" t="s">
        <v>69</v>
      </c>
      <c r="P412" t="s">
        <v>82</v>
      </c>
      <c r="Q412" s="2">
        <v>27231.24</v>
      </c>
      <c r="R412" s="2">
        <v>1138.57</v>
      </c>
      <c r="S412" t="s">
        <v>36</v>
      </c>
      <c r="T412" t="s">
        <v>37</v>
      </c>
      <c r="U412" t="s">
        <v>38</v>
      </c>
      <c r="V412">
        <v>1.4</v>
      </c>
      <c r="W412" t="s">
        <v>124</v>
      </c>
      <c r="X412" t="s">
        <v>84</v>
      </c>
      <c r="Y412" t="s">
        <v>72</v>
      </c>
    </row>
    <row r="413" spans="1:25" x14ac:dyDescent="0.3">
      <c r="A413" t="s">
        <v>903</v>
      </c>
      <c r="B413" s="1">
        <v>45337</v>
      </c>
      <c r="C413" t="s">
        <v>78</v>
      </c>
      <c r="D413" t="s">
        <v>58</v>
      </c>
      <c r="E413" t="s">
        <v>45</v>
      </c>
      <c r="F413" t="s">
        <v>28</v>
      </c>
      <c r="G413" t="s">
        <v>29</v>
      </c>
      <c r="H413" t="s">
        <v>67</v>
      </c>
      <c r="I413">
        <v>11</v>
      </c>
      <c r="J413" t="s">
        <v>904</v>
      </c>
      <c r="K413">
        <v>52</v>
      </c>
      <c r="L413" t="s">
        <v>80</v>
      </c>
      <c r="M413">
        <v>3</v>
      </c>
      <c r="N413" t="s">
        <v>91</v>
      </c>
      <c r="O413" t="s">
        <v>81</v>
      </c>
      <c r="P413" t="s">
        <v>50</v>
      </c>
      <c r="Q413" s="2">
        <v>23444.63</v>
      </c>
      <c r="R413" s="2">
        <v>2342.58</v>
      </c>
      <c r="S413" t="s">
        <v>36</v>
      </c>
      <c r="T413" t="s">
        <v>71</v>
      </c>
      <c r="U413" t="s">
        <v>53</v>
      </c>
      <c r="V413">
        <v>1.6</v>
      </c>
      <c r="W413" t="s">
        <v>124</v>
      </c>
      <c r="X413" t="s">
        <v>106</v>
      </c>
      <c r="Y413" t="s">
        <v>41</v>
      </c>
    </row>
    <row r="414" spans="1:25" x14ac:dyDescent="0.3">
      <c r="A414" t="s">
        <v>905</v>
      </c>
      <c r="B414" s="1">
        <v>45338</v>
      </c>
      <c r="C414" t="s">
        <v>78</v>
      </c>
      <c r="D414" t="s">
        <v>58</v>
      </c>
      <c r="E414" t="s">
        <v>120</v>
      </c>
      <c r="F414" t="s">
        <v>28</v>
      </c>
      <c r="G414" t="s">
        <v>29</v>
      </c>
      <c r="H414" t="s">
        <v>86</v>
      </c>
      <c r="I414">
        <v>5</v>
      </c>
      <c r="J414" t="s">
        <v>906</v>
      </c>
      <c r="K414">
        <v>18</v>
      </c>
      <c r="L414" t="s">
        <v>32</v>
      </c>
      <c r="M414">
        <v>6</v>
      </c>
      <c r="N414" t="s">
        <v>91</v>
      </c>
      <c r="O414" t="s">
        <v>81</v>
      </c>
      <c r="P414" t="s">
        <v>70</v>
      </c>
      <c r="Q414" s="2">
        <v>16353.12</v>
      </c>
      <c r="R414" s="2">
        <v>4044.93</v>
      </c>
      <c r="S414" t="s">
        <v>51</v>
      </c>
      <c r="T414" t="s">
        <v>37</v>
      </c>
      <c r="U414" t="s">
        <v>83</v>
      </c>
      <c r="V414">
        <v>1</v>
      </c>
      <c r="W414" t="s">
        <v>124</v>
      </c>
      <c r="X414" t="s">
        <v>106</v>
      </c>
      <c r="Y414" t="s">
        <v>72</v>
      </c>
    </row>
    <row r="415" spans="1:25" x14ac:dyDescent="0.3">
      <c r="A415" t="s">
        <v>907</v>
      </c>
      <c r="B415" s="1">
        <v>45339</v>
      </c>
      <c r="C415" t="s">
        <v>43</v>
      </c>
      <c r="D415" t="s">
        <v>58</v>
      </c>
      <c r="E415" t="s">
        <v>4085</v>
      </c>
      <c r="F415" t="s">
        <v>60</v>
      </c>
      <c r="G415" t="s">
        <v>29</v>
      </c>
      <c r="H415" t="s">
        <v>59</v>
      </c>
      <c r="I415">
        <v>7</v>
      </c>
      <c r="J415" t="s">
        <v>908</v>
      </c>
      <c r="K415">
        <v>46</v>
      </c>
      <c r="L415" t="s">
        <v>63</v>
      </c>
      <c r="M415">
        <v>2</v>
      </c>
      <c r="N415" t="s">
        <v>64</v>
      </c>
      <c r="O415" t="s">
        <v>49</v>
      </c>
      <c r="P415" t="s">
        <v>82</v>
      </c>
      <c r="Q415" s="2">
        <v>23031.25</v>
      </c>
      <c r="R415" s="2">
        <v>4614.12</v>
      </c>
      <c r="S415" t="s">
        <v>36</v>
      </c>
      <c r="T415" t="s">
        <v>52</v>
      </c>
      <c r="U415" t="s">
        <v>53</v>
      </c>
      <c r="V415">
        <v>1.6</v>
      </c>
      <c r="W415" t="s">
        <v>124</v>
      </c>
      <c r="X415" t="s">
        <v>55</v>
      </c>
      <c r="Y415" t="s">
        <v>72</v>
      </c>
    </row>
    <row r="416" spans="1:25" x14ac:dyDescent="0.3">
      <c r="A416" t="s">
        <v>909</v>
      </c>
      <c r="B416" s="1">
        <v>45340</v>
      </c>
      <c r="C416" t="s">
        <v>26</v>
      </c>
      <c r="D416" t="s">
        <v>26</v>
      </c>
      <c r="E416" t="s">
        <v>89</v>
      </c>
      <c r="F416" t="s">
        <v>28</v>
      </c>
      <c r="G416" t="s">
        <v>29</v>
      </c>
      <c r="H416" t="s">
        <v>61</v>
      </c>
      <c r="I416">
        <v>4</v>
      </c>
      <c r="J416" t="s">
        <v>910</v>
      </c>
      <c r="K416">
        <v>68</v>
      </c>
      <c r="L416" t="s">
        <v>80</v>
      </c>
      <c r="M416">
        <v>4</v>
      </c>
      <c r="N416" t="s">
        <v>33</v>
      </c>
      <c r="O416" t="s">
        <v>69</v>
      </c>
      <c r="P416" t="s">
        <v>35</v>
      </c>
      <c r="Q416" s="2">
        <v>11244.2</v>
      </c>
      <c r="R416" s="2">
        <v>1184.58</v>
      </c>
      <c r="S416" t="s">
        <v>36</v>
      </c>
      <c r="T416" t="s">
        <v>37</v>
      </c>
      <c r="U416" t="s">
        <v>83</v>
      </c>
      <c r="V416">
        <v>3.3</v>
      </c>
      <c r="W416" t="s">
        <v>76</v>
      </c>
      <c r="X416" t="s">
        <v>40</v>
      </c>
      <c r="Y416" t="s">
        <v>41</v>
      </c>
    </row>
    <row r="417" spans="1:25" x14ac:dyDescent="0.3">
      <c r="A417" t="s">
        <v>911</v>
      </c>
      <c r="B417" s="1">
        <v>45341</v>
      </c>
      <c r="C417" t="s">
        <v>117</v>
      </c>
      <c r="D417" t="s">
        <v>4083</v>
      </c>
      <c r="E417" t="s">
        <v>4085</v>
      </c>
      <c r="F417" t="s">
        <v>60</v>
      </c>
      <c r="G417" t="s">
        <v>29</v>
      </c>
      <c r="H417" t="s">
        <v>46</v>
      </c>
      <c r="I417">
        <v>12</v>
      </c>
      <c r="J417" t="s">
        <v>912</v>
      </c>
      <c r="K417">
        <v>21</v>
      </c>
      <c r="L417" t="s">
        <v>63</v>
      </c>
      <c r="M417">
        <v>4</v>
      </c>
      <c r="N417" t="s">
        <v>33</v>
      </c>
      <c r="O417" t="s">
        <v>34</v>
      </c>
      <c r="P417" t="s">
        <v>70</v>
      </c>
      <c r="Q417" s="2">
        <v>10186.67</v>
      </c>
      <c r="R417" s="2">
        <v>2698.02</v>
      </c>
      <c r="S417" t="s">
        <v>51</v>
      </c>
      <c r="T417" t="s">
        <v>52</v>
      </c>
      <c r="U417" t="s">
        <v>53</v>
      </c>
      <c r="V417">
        <v>4.3</v>
      </c>
      <c r="W417" t="s">
        <v>54</v>
      </c>
      <c r="X417" t="s">
        <v>84</v>
      </c>
      <c r="Y417" t="s">
        <v>72</v>
      </c>
    </row>
    <row r="418" spans="1:25" x14ac:dyDescent="0.3">
      <c r="A418" t="s">
        <v>913</v>
      </c>
      <c r="B418" s="1">
        <v>45342</v>
      </c>
      <c r="C418" t="s">
        <v>43</v>
      </c>
      <c r="D418" t="s">
        <v>58</v>
      </c>
      <c r="E418" t="s">
        <v>4084</v>
      </c>
      <c r="F418" t="s">
        <v>60</v>
      </c>
      <c r="G418" t="s">
        <v>29</v>
      </c>
      <c r="H418" t="s">
        <v>30</v>
      </c>
      <c r="I418">
        <v>7</v>
      </c>
      <c r="J418" t="s">
        <v>914</v>
      </c>
      <c r="K418">
        <v>40</v>
      </c>
      <c r="L418" t="s">
        <v>32</v>
      </c>
      <c r="M418">
        <v>2</v>
      </c>
      <c r="N418" t="s">
        <v>33</v>
      </c>
      <c r="O418" t="s">
        <v>69</v>
      </c>
      <c r="P418" t="s">
        <v>50</v>
      </c>
      <c r="Q418" s="2">
        <v>18497.45</v>
      </c>
      <c r="R418" s="2">
        <v>794.64</v>
      </c>
      <c r="S418" t="s">
        <v>115</v>
      </c>
      <c r="T418" t="s">
        <v>71</v>
      </c>
      <c r="U418" t="s">
        <v>75</v>
      </c>
      <c r="V418">
        <v>1.8</v>
      </c>
      <c r="W418" t="s">
        <v>124</v>
      </c>
      <c r="X418" t="s">
        <v>40</v>
      </c>
      <c r="Y418" t="s">
        <v>41</v>
      </c>
    </row>
    <row r="419" spans="1:25" x14ac:dyDescent="0.3">
      <c r="A419" t="s">
        <v>915</v>
      </c>
      <c r="B419" s="1">
        <v>45343</v>
      </c>
      <c r="C419" t="s">
        <v>78</v>
      </c>
      <c r="D419" t="s">
        <v>58</v>
      </c>
      <c r="E419" t="s">
        <v>89</v>
      </c>
      <c r="F419" t="s">
        <v>28</v>
      </c>
      <c r="G419" t="s">
        <v>29</v>
      </c>
      <c r="H419" t="s">
        <v>61</v>
      </c>
      <c r="I419">
        <v>10</v>
      </c>
      <c r="J419" t="s">
        <v>916</v>
      </c>
      <c r="K419">
        <v>45</v>
      </c>
      <c r="L419" t="s">
        <v>63</v>
      </c>
      <c r="M419">
        <v>7</v>
      </c>
      <c r="N419" t="s">
        <v>91</v>
      </c>
      <c r="O419" t="s">
        <v>81</v>
      </c>
      <c r="P419" t="s">
        <v>82</v>
      </c>
      <c r="Q419" s="2">
        <v>49790.7</v>
      </c>
      <c r="R419" s="2">
        <v>2485</v>
      </c>
      <c r="S419" t="s">
        <v>94</v>
      </c>
      <c r="T419" t="s">
        <v>52</v>
      </c>
      <c r="U419" t="s">
        <v>83</v>
      </c>
      <c r="V419">
        <v>1.3</v>
      </c>
      <c r="W419" t="s">
        <v>124</v>
      </c>
      <c r="X419" t="s">
        <v>55</v>
      </c>
      <c r="Y419" t="s">
        <v>72</v>
      </c>
    </row>
    <row r="420" spans="1:25" x14ac:dyDescent="0.3">
      <c r="A420" t="s">
        <v>917</v>
      </c>
      <c r="B420" s="1">
        <v>45344</v>
      </c>
      <c r="C420" t="s">
        <v>78</v>
      </c>
      <c r="D420" t="s">
        <v>58</v>
      </c>
      <c r="E420" t="s">
        <v>4084</v>
      </c>
      <c r="F420" t="s">
        <v>60</v>
      </c>
      <c r="G420" t="s">
        <v>29</v>
      </c>
      <c r="H420" t="s">
        <v>30</v>
      </c>
      <c r="I420">
        <v>13</v>
      </c>
      <c r="J420" t="s">
        <v>918</v>
      </c>
      <c r="K420">
        <v>33</v>
      </c>
      <c r="L420" t="s">
        <v>80</v>
      </c>
      <c r="M420">
        <v>4</v>
      </c>
      <c r="N420" t="s">
        <v>33</v>
      </c>
      <c r="O420" t="s">
        <v>81</v>
      </c>
      <c r="P420" t="s">
        <v>35</v>
      </c>
      <c r="Q420" s="2">
        <v>19692.36</v>
      </c>
      <c r="R420" s="2">
        <v>450.57</v>
      </c>
      <c r="S420" t="s">
        <v>51</v>
      </c>
      <c r="T420" t="s">
        <v>37</v>
      </c>
      <c r="U420" t="s">
        <v>75</v>
      </c>
      <c r="V420">
        <v>3.9</v>
      </c>
      <c r="W420" t="s">
        <v>54</v>
      </c>
      <c r="X420" t="s">
        <v>40</v>
      </c>
      <c r="Y420" t="s">
        <v>72</v>
      </c>
    </row>
    <row r="421" spans="1:25" x14ac:dyDescent="0.3">
      <c r="A421" t="s">
        <v>919</v>
      </c>
      <c r="B421" s="1">
        <v>45345</v>
      </c>
      <c r="C421" t="s">
        <v>43</v>
      </c>
      <c r="D421" t="s">
        <v>58</v>
      </c>
      <c r="E421" t="s">
        <v>89</v>
      </c>
      <c r="F421" t="s">
        <v>28</v>
      </c>
      <c r="G421" t="s">
        <v>29</v>
      </c>
      <c r="H421" t="s">
        <v>61</v>
      </c>
      <c r="I421">
        <v>4</v>
      </c>
      <c r="J421" t="s">
        <v>920</v>
      </c>
      <c r="K421">
        <v>29</v>
      </c>
      <c r="L421" t="s">
        <v>63</v>
      </c>
      <c r="M421">
        <v>7</v>
      </c>
      <c r="N421" t="s">
        <v>33</v>
      </c>
      <c r="O421" t="s">
        <v>81</v>
      </c>
      <c r="P421" t="s">
        <v>35</v>
      </c>
      <c r="Q421" s="2">
        <v>47140.54</v>
      </c>
      <c r="R421" s="2">
        <v>4708.6400000000003</v>
      </c>
      <c r="S421" t="s">
        <v>36</v>
      </c>
      <c r="T421" t="s">
        <v>37</v>
      </c>
      <c r="U421" t="s">
        <v>75</v>
      </c>
      <c r="V421">
        <v>1</v>
      </c>
      <c r="W421" t="s">
        <v>124</v>
      </c>
      <c r="X421" t="s">
        <v>40</v>
      </c>
      <c r="Y421" t="s">
        <v>72</v>
      </c>
    </row>
    <row r="422" spans="1:25" x14ac:dyDescent="0.3">
      <c r="A422" t="s">
        <v>921</v>
      </c>
      <c r="B422" s="1">
        <v>45346</v>
      </c>
      <c r="C422" t="s">
        <v>26</v>
      </c>
      <c r="D422" t="s">
        <v>26</v>
      </c>
      <c r="E422" t="s">
        <v>45</v>
      </c>
      <c r="F422" t="s">
        <v>28</v>
      </c>
      <c r="G422" t="s">
        <v>29</v>
      </c>
      <c r="H422" t="s">
        <v>67</v>
      </c>
      <c r="I422">
        <v>10</v>
      </c>
      <c r="J422" t="s">
        <v>922</v>
      </c>
      <c r="K422">
        <v>38</v>
      </c>
      <c r="L422" t="s">
        <v>63</v>
      </c>
      <c r="M422">
        <v>2</v>
      </c>
      <c r="N422" t="s">
        <v>64</v>
      </c>
      <c r="O422" t="s">
        <v>81</v>
      </c>
      <c r="P422" t="s">
        <v>50</v>
      </c>
      <c r="Q422" s="2">
        <v>22651.8</v>
      </c>
      <c r="R422" s="2">
        <v>3190.28</v>
      </c>
      <c r="S422" t="s">
        <v>94</v>
      </c>
      <c r="T422" t="s">
        <v>37</v>
      </c>
      <c r="U422" t="s">
        <v>38</v>
      </c>
      <c r="V422">
        <v>3.9</v>
      </c>
      <c r="W422" t="s">
        <v>54</v>
      </c>
      <c r="X422" t="s">
        <v>84</v>
      </c>
      <c r="Y422" t="s">
        <v>41</v>
      </c>
    </row>
    <row r="423" spans="1:25" x14ac:dyDescent="0.3">
      <c r="A423" t="s">
        <v>923</v>
      </c>
      <c r="B423" s="1">
        <v>45347</v>
      </c>
      <c r="C423" t="s">
        <v>78</v>
      </c>
      <c r="D423" t="s">
        <v>58</v>
      </c>
      <c r="E423" t="s">
        <v>4085</v>
      </c>
      <c r="F423" t="s">
        <v>60</v>
      </c>
      <c r="G423" t="s">
        <v>29</v>
      </c>
      <c r="H423" t="s">
        <v>59</v>
      </c>
      <c r="I423">
        <v>6</v>
      </c>
      <c r="J423" t="s">
        <v>924</v>
      </c>
      <c r="K423">
        <v>62</v>
      </c>
      <c r="L423" t="s">
        <v>32</v>
      </c>
      <c r="M423">
        <v>1</v>
      </c>
      <c r="N423" t="s">
        <v>48</v>
      </c>
      <c r="O423" t="s">
        <v>34</v>
      </c>
      <c r="P423" t="s">
        <v>82</v>
      </c>
      <c r="Q423" s="2">
        <v>24755.45</v>
      </c>
      <c r="R423" s="2">
        <v>4271.08</v>
      </c>
      <c r="S423" t="s">
        <v>94</v>
      </c>
      <c r="T423" t="s">
        <v>37</v>
      </c>
      <c r="U423" t="s">
        <v>53</v>
      </c>
      <c r="V423">
        <v>1.5</v>
      </c>
      <c r="W423" t="s">
        <v>124</v>
      </c>
      <c r="X423" t="s">
        <v>40</v>
      </c>
      <c r="Y423" t="s">
        <v>41</v>
      </c>
    </row>
    <row r="424" spans="1:25" x14ac:dyDescent="0.3">
      <c r="A424" t="s">
        <v>925</v>
      </c>
      <c r="B424" s="1">
        <v>45348</v>
      </c>
      <c r="C424" t="s">
        <v>26</v>
      </c>
      <c r="D424" t="s">
        <v>26</v>
      </c>
      <c r="E424" t="s">
        <v>120</v>
      </c>
      <c r="F424" t="s">
        <v>28</v>
      </c>
      <c r="G424" t="s">
        <v>29</v>
      </c>
      <c r="H424" t="s">
        <v>86</v>
      </c>
      <c r="I424">
        <v>12</v>
      </c>
      <c r="J424" t="s">
        <v>926</v>
      </c>
      <c r="K424">
        <v>34</v>
      </c>
      <c r="L424" t="s">
        <v>32</v>
      </c>
      <c r="M424">
        <v>4</v>
      </c>
      <c r="N424" t="s">
        <v>33</v>
      </c>
      <c r="O424" t="s">
        <v>69</v>
      </c>
      <c r="P424" t="s">
        <v>70</v>
      </c>
      <c r="Q424" s="2">
        <v>40867.83</v>
      </c>
      <c r="R424" s="2">
        <v>4991.4799999999996</v>
      </c>
      <c r="S424" t="s">
        <v>94</v>
      </c>
      <c r="T424" t="s">
        <v>71</v>
      </c>
      <c r="U424" t="s">
        <v>83</v>
      </c>
      <c r="V424">
        <v>1.9</v>
      </c>
      <c r="W424" t="s">
        <v>124</v>
      </c>
      <c r="X424" t="s">
        <v>55</v>
      </c>
      <c r="Y424" t="s">
        <v>41</v>
      </c>
    </row>
    <row r="425" spans="1:25" x14ac:dyDescent="0.3">
      <c r="A425" t="s">
        <v>927</v>
      </c>
      <c r="B425" s="1">
        <v>45349</v>
      </c>
      <c r="C425" t="s">
        <v>78</v>
      </c>
      <c r="D425" t="s">
        <v>58</v>
      </c>
      <c r="E425" t="s">
        <v>89</v>
      </c>
      <c r="F425" t="s">
        <v>28</v>
      </c>
      <c r="G425" t="s">
        <v>29</v>
      </c>
      <c r="H425" t="s">
        <v>61</v>
      </c>
      <c r="I425">
        <v>12</v>
      </c>
      <c r="J425" t="s">
        <v>928</v>
      </c>
      <c r="K425">
        <v>57</v>
      </c>
      <c r="L425" t="s">
        <v>63</v>
      </c>
      <c r="M425">
        <v>7</v>
      </c>
      <c r="N425" t="s">
        <v>64</v>
      </c>
      <c r="O425" t="s">
        <v>34</v>
      </c>
      <c r="P425" t="s">
        <v>35</v>
      </c>
      <c r="Q425" s="2">
        <v>9213.7199999999993</v>
      </c>
      <c r="R425" s="2">
        <v>913.33</v>
      </c>
      <c r="S425" t="s">
        <v>51</v>
      </c>
      <c r="T425" t="s">
        <v>52</v>
      </c>
      <c r="U425" t="s">
        <v>75</v>
      </c>
      <c r="V425">
        <v>1.5</v>
      </c>
      <c r="W425" t="s">
        <v>124</v>
      </c>
      <c r="X425" t="s">
        <v>65</v>
      </c>
      <c r="Y425" t="s">
        <v>41</v>
      </c>
    </row>
    <row r="426" spans="1:25" x14ac:dyDescent="0.3">
      <c r="A426" t="s">
        <v>929</v>
      </c>
      <c r="B426" s="1">
        <v>45350</v>
      </c>
      <c r="C426" t="s">
        <v>78</v>
      </c>
      <c r="D426" t="s">
        <v>58</v>
      </c>
      <c r="E426" t="s">
        <v>89</v>
      </c>
      <c r="F426" t="s">
        <v>28</v>
      </c>
      <c r="G426" t="s">
        <v>29</v>
      </c>
      <c r="H426" t="s">
        <v>61</v>
      </c>
      <c r="I426">
        <v>3</v>
      </c>
      <c r="J426" t="s">
        <v>930</v>
      </c>
      <c r="K426">
        <v>30</v>
      </c>
      <c r="L426" t="s">
        <v>63</v>
      </c>
      <c r="M426">
        <v>2</v>
      </c>
      <c r="N426" t="s">
        <v>64</v>
      </c>
      <c r="O426" t="s">
        <v>34</v>
      </c>
      <c r="P426" t="s">
        <v>50</v>
      </c>
      <c r="Q426" s="2">
        <v>13204.1</v>
      </c>
      <c r="R426" s="2">
        <v>3470.72</v>
      </c>
      <c r="S426" t="s">
        <v>94</v>
      </c>
      <c r="T426" t="s">
        <v>37</v>
      </c>
      <c r="U426" t="s">
        <v>53</v>
      </c>
      <c r="V426">
        <v>2</v>
      </c>
      <c r="W426" t="s">
        <v>76</v>
      </c>
      <c r="X426" t="s">
        <v>65</v>
      </c>
      <c r="Y426" t="s">
        <v>72</v>
      </c>
    </row>
    <row r="427" spans="1:25" x14ac:dyDescent="0.3">
      <c r="A427" t="s">
        <v>931</v>
      </c>
      <c r="B427" s="1">
        <v>45351</v>
      </c>
      <c r="C427" t="s">
        <v>57</v>
      </c>
      <c r="D427" t="s">
        <v>44</v>
      </c>
      <c r="E427" t="s">
        <v>4084</v>
      </c>
      <c r="F427" t="s">
        <v>60</v>
      </c>
      <c r="G427" t="s">
        <v>29</v>
      </c>
      <c r="H427" t="s">
        <v>30</v>
      </c>
      <c r="I427">
        <v>7</v>
      </c>
      <c r="J427" t="s">
        <v>932</v>
      </c>
      <c r="K427">
        <v>69</v>
      </c>
      <c r="L427" t="s">
        <v>63</v>
      </c>
      <c r="M427">
        <v>2</v>
      </c>
      <c r="N427" t="s">
        <v>33</v>
      </c>
      <c r="O427" t="s">
        <v>81</v>
      </c>
      <c r="P427" t="s">
        <v>35</v>
      </c>
      <c r="Q427" s="2">
        <v>48822.81</v>
      </c>
      <c r="R427" s="2">
        <v>4434.93</v>
      </c>
      <c r="S427" t="s">
        <v>115</v>
      </c>
      <c r="T427" t="s">
        <v>52</v>
      </c>
      <c r="U427" t="s">
        <v>38</v>
      </c>
      <c r="V427">
        <v>4.2</v>
      </c>
      <c r="W427" t="s">
        <v>54</v>
      </c>
      <c r="X427" t="s">
        <v>106</v>
      </c>
      <c r="Y427" t="s">
        <v>41</v>
      </c>
    </row>
    <row r="428" spans="1:25" x14ac:dyDescent="0.3">
      <c r="A428" t="s">
        <v>933</v>
      </c>
      <c r="B428" s="1">
        <v>45352</v>
      </c>
      <c r="C428" t="s">
        <v>78</v>
      </c>
      <c r="D428" t="s">
        <v>58</v>
      </c>
      <c r="E428" t="s">
        <v>45</v>
      </c>
      <c r="F428" t="s">
        <v>28</v>
      </c>
      <c r="G428" t="s">
        <v>29</v>
      </c>
      <c r="H428" t="s">
        <v>67</v>
      </c>
      <c r="I428">
        <v>3</v>
      </c>
      <c r="J428" t="s">
        <v>934</v>
      </c>
      <c r="K428">
        <v>49</v>
      </c>
      <c r="L428" t="s">
        <v>32</v>
      </c>
      <c r="M428">
        <v>7</v>
      </c>
      <c r="N428" t="s">
        <v>48</v>
      </c>
      <c r="O428" t="s">
        <v>34</v>
      </c>
      <c r="P428" t="s">
        <v>35</v>
      </c>
      <c r="Q428" s="2">
        <v>27766.28</v>
      </c>
      <c r="R428" s="2">
        <v>2879.69</v>
      </c>
      <c r="S428" t="s">
        <v>36</v>
      </c>
      <c r="T428" t="s">
        <v>71</v>
      </c>
      <c r="U428" t="s">
        <v>53</v>
      </c>
      <c r="V428">
        <v>1.5</v>
      </c>
      <c r="W428" t="s">
        <v>124</v>
      </c>
      <c r="X428" t="s">
        <v>65</v>
      </c>
      <c r="Y428" t="s">
        <v>72</v>
      </c>
    </row>
    <row r="429" spans="1:25" x14ac:dyDescent="0.3">
      <c r="A429" t="s">
        <v>935</v>
      </c>
      <c r="B429" s="1">
        <v>45353</v>
      </c>
      <c r="C429" t="s">
        <v>117</v>
      </c>
      <c r="D429" t="s">
        <v>4083</v>
      </c>
      <c r="E429" t="s">
        <v>4084</v>
      </c>
      <c r="F429" t="s">
        <v>60</v>
      </c>
      <c r="G429" t="s">
        <v>29</v>
      </c>
      <c r="H429" t="s">
        <v>30</v>
      </c>
      <c r="I429">
        <v>9</v>
      </c>
      <c r="J429" t="s">
        <v>936</v>
      </c>
      <c r="K429">
        <v>54</v>
      </c>
      <c r="L429" t="s">
        <v>32</v>
      </c>
      <c r="M429">
        <v>4</v>
      </c>
      <c r="N429" t="s">
        <v>91</v>
      </c>
      <c r="O429" t="s">
        <v>81</v>
      </c>
      <c r="P429" t="s">
        <v>82</v>
      </c>
      <c r="Q429" s="2">
        <v>6993.94</v>
      </c>
      <c r="R429" s="2">
        <v>3198.48</v>
      </c>
      <c r="S429" t="s">
        <v>51</v>
      </c>
      <c r="T429" t="s">
        <v>52</v>
      </c>
      <c r="U429" t="s">
        <v>53</v>
      </c>
      <c r="V429">
        <v>5</v>
      </c>
      <c r="W429" t="s">
        <v>103</v>
      </c>
      <c r="X429" t="s">
        <v>84</v>
      </c>
      <c r="Y429" t="s">
        <v>72</v>
      </c>
    </row>
    <row r="430" spans="1:25" x14ac:dyDescent="0.3">
      <c r="A430" t="s">
        <v>937</v>
      </c>
      <c r="B430" s="1">
        <v>45354</v>
      </c>
      <c r="C430" t="s">
        <v>43</v>
      </c>
      <c r="D430" t="s">
        <v>58</v>
      </c>
      <c r="E430" t="s">
        <v>4084</v>
      </c>
      <c r="F430" t="s">
        <v>60</v>
      </c>
      <c r="G430" t="s">
        <v>29</v>
      </c>
      <c r="H430" t="s">
        <v>30</v>
      </c>
      <c r="I430">
        <v>10</v>
      </c>
      <c r="J430" t="s">
        <v>938</v>
      </c>
      <c r="K430">
        <v>67</v>
      </c>
      <c r="L430" t="s">
        <v>63</v>
      </c>
      <c r="M430">
        <v>1</v>
      </c>
      <c r="N430" t="s">
        <v>48</v>
      </c>
      <c r="O430" t="s">
        <v>81</v>
      </c>
      <c r="P430" t="s">
        <v>82</v>
      </c>
      <c r="Q430" s="2">
        <v>7132.13</v>
      </c>
      <c r="R430" s="2">
        <v>2038.36</v>
      </c>
      <c r="S430" t="s">
        <v>51</v>
      </c>
      <c r="T430" t="s">
        <v>37</v>
      </c>
      <c r="U430" t="s">
        <v>38</v>
      </c>
      <c r="V430">
        <v>2.2999999999999998</v>
      </c>
      <c r="W430" t="s">
        <v>76</v>
      </c>
      <c r="X430" t="s">
        <v>106</v>
      </c>
      <c r="Y430" t="s">
        <v>72</v>
      </c>
    </row>
    <row r="431" spans="1:25" x14ac:dyDescent="0.3">
      <c r="A431" t="s">
        <v>939</v>
      </c>
      <c r="B431" s="1">
        <v>45355</v>
      </c>
      <c r="C431" t="s">
        <v>43</v>
      </c>
      <c r="D431" t="s">
        <v>58</v>
      </c>
      <c r="E431" t="s">
        <v>45</v>
      </c>
      <c r="F431" t="s">
        <v>28</v>
      </c>
      <c r="G431" t="s">
        <v>29</v>
      </c>
      <c r="H431" t="s">
        <v>67</v>
      </c>
      <c r="I431">
        <v>5</v>
      </c>
      <c r="J431" t="s">
        <v>940</v>
      </c>
      <c r="K431">
        <v>32</v>
      </c>
      <c r="L431" t="s">
        <v>32</v>
      </c>
      <c r="M431">
        <v>4</v>
      </c>
      <c r="N431" t="s">
        <v>33</v>
      </c>
      <c r="O431" t="s">
        <v>81</v>
      </c>
      <c r="P431" t="s">
        <v>70</v>
      </c>
      <c r="Q431" s="2">
        <v>45825.83</v>
      </c>
      <c r="R431" s="2">
        <v>3373.8</v>
      </c>
      <c r="S431" t="s">
        <v>94</v>
      </c>
      <c r="T431" t="s">
        <v>52</v>
      </c>
      <c r="U431" t="s">
        <v>38</v>
      </c>
      <c r="V431">
        <v>4.7</v>
      </c>
      <c r="W431" t="s">
        <v>103</v>
      </c>
      <c r="X431" t="s">
        <v>65</v>
      </c>
      <c r="Y431" t="s">
        <v>72</v>
      </c>
    </row>
    <row r="432" spans="1:25" x14ac:dyDescent="0.3">
      <c r="A432" t="s">
        <v>941</v>
      </c>
      <c r="B432" s="1">
        <v>45356</v>
      </c>
      <c r="C432" t="s">
        <v>26</v>
      </c>
      <c r="D432" t="s">
        <v>26</v>
      </c>
      <c r="E432" t="s">
        <v>120</v>
      </c>
      <c r="F432" t="s">
        <v>28</v>
      </c>
      <c r="G432" t="s">
        <v>29</v>
      </c>
      <c r="H432" t="s">
        <v>86</v>
      </c>
      <c r="I432">
        <v>5</v>
      </c>
      <c r="J432" t="s">
        <v>942</v>
      </c>
      <c r="K432">
        <v>29</v>
      </c>
      <c r="L432" t="s">
        <v>80</v>
      </c>
      <c r="M432">
        <v>2</v>
      </c>
      <c r="N432" t="s">
        <v>48</v>
      </c>
      <c r="O432" t="s">
        <v>34</v>
      </c>
      <c r="P432" t="s">
        <v>35</v>
      </c>
      <c r="Q432" s="2">
        <v>44301.43</v>
      </c>
      <c r="R432" s="2">
        <v>1977.89</v>
      </c>
      <c r="S432" t="s">
        <v>36</v>
      </c>
      <c r="T432" t="s">
        <v>37</v>
      </c>
      <c r="U432" t="s">
        <v>38</v>
      </c>
      <c r="V432">
        <v>1.8</v>
      </c>
      <c r="W432" t="s">
        <v>124</v>
      </c>
      <c r="X432" t="s">
        <v>65</v>
      </c>
      <c r="Y432" t="s">
        <v>72</v>
      </c>
    </row>
    <row r="433" spans="1:25" x14ac:dyDescent="0.3">
      <c r="A433" t="s">
        <v>943</v>
      </c>
      <c r="B433" s="1">
        <v>45357</v>
      </c>
      <c r="C433" t="s">
        <v>78</v>
      </c>
      <c r="D433" t="s">
        <v>58</v>
      </c>
      <c r="E433" t="s">
        <v>4084</v>
      </c>
      <c r="F433" t="s">
        <v>60</v>
      </c>
      <c r="G433" t="s">
        <v>29</v>
      </c>
      <c r="H433" t="s">
        <v>30</v>
      </c>
      <c r="I433">
        <v>9</v>
      </c>
      <c r="J433" t="s">
        <v>944</v>
      </c>
      <c r="K433">
        <v>66</v>
      </c>
      <c r="L433" t="s">
        <v>32</v>
      </c>
      <c r="M433">
        <v>1</v>
      </c>
      <c r="N433" t="s">
        <v>64</v>
      </c>
      <c r="O433" t="s">
        <v>81</v>
      </c>
      <c r="P433" t="s">
        <v>50</v>
      </c>
      <c r="Q433" s="2">
        <v>25627.96</v>
      </c>
      <c r="R433" s="2">
        <v>2383.1</v>
      </c>
      <c r="S433" t="s">
        <v>94</v>
      </c>
      <c r="T433" t="s">
        <v>37</v>
      </c>
      <c r="U433" t="s">
        <v>75</v>
      </c>
      <c r="V433">
        <v>1.8</v>
      </c>
      <c r="W433" t="s">
        <v>124</v>
      </c>
      <c r="X433" t="s">
        <v>106</v>
      </c>
      <c r="Y433" t="s">
        <v>72</v>
      </c>
    </row>
    <row r="434" spans="1:25" x14ac:dyDescent="0.3">
      <c r="A434" t="s">
        <v>945</v>
      </c>
      <c r="B434" s="1">
        <v>45358</v>
      </c>
      <c r="C434" t="s">
        <v>117</v>
      </c>
      <c r="D434" t="s">
        <v>4083</v>
      </c>
      <c r="E434" t="s">
        <v>4084</v>
      </c>
      <c r="F434" t="s">
        <v>60</v>
      </c>
      <c r="G434" t="s">
        <v>29</v>
      </c>
      <c r="H434" t="s">
        <v>27</v>
      </c>
      <c r="I434">
        <v>6</v>
      </c>
      <c r="J434" t="s">
        <v>946</v>
      </c>
      <c r="K434">
        <v>32</v>
      </c>
      <c r="L434" t="s">
        <v>32</v>
      </c>
      <c r="M434">
        <v>5</v>
      </c>
      <c r="N434" t="s">
        <v>64</v>
      </c>
      <c r="O434" t="s">
        <v>34</v>
      </c>
      <c r="P434" t="s">
        <v>35</v>
      </c>
      <c r="Q434" s="2">
        <v>12344.99</v>
      </c>
      <c r="R434" s="2">
        <v>514.55999999999995</v>
      </c>
      <c r="S434" t="s">
        <v>94</v>
      </c>
      <c r="T434" t="s">
        <v>71</v>
      </c>
      <c r="U434" t="s">
        <v>53</v>
      </c>
      <c r="V434">
        <v>3.3</v>
      </c>
      <c r="W434" t="s">
        <v>39</v>
      </c>
      <c r="X434" t="s">
        <v>84</v>
      </c>
      <c r="Y434" t="s">
        <v>72</v>
      </c>
    </row>
    <row r="435" spans="1:25" x14ac:dyDescent="0.3">
      <c r="A435" t="s">
        <v>947</v>
      </c>
      <c r="B435" s="1">
        <v>45359</v>
      </c>
      <c r="C435" t="s">
        <v>26</v>
      </c>
      <c r="D435" t="s">
        <v>26</v>
      </c>
      <c r="E435" t="s">
        <v>89</v>
      </c>
      <c r="F435" t="s">
        <v>28</v>
      </c>
      <c r="G435" t="s">
        <v>29</v>
      </c>
      <c r="H435" t="s">
        <v>61</v>
      </c>
      <c r="I435">
        <v>5</v>
      </c>
      <c r="J435" t="s">
        <v>948</v>
      </c>
      <c r="K435">
        <v>51</v>
      </c>
      <c r="L435" t="s">
        <v>32</v>
      </c>
      <c r="M435">
        <v>3</v>
      </c>
      <c r="N435" t="s">
        <v>48</v>
      </c>
      <c r="O435" t="s">
        <v>69</v>
      </c>
      <c r="P435" t="s">
        <v>50</v>
      </c>
      <c r="Q435" s="2">
        <v>42362.81</v>
      </c>
      <c r="R435" s="2">
        <v>39.04</v>
      </c>
      <c r="S435" t="s">
        <v>51</v>
      </c>
      <c r="T435" t="s">
        <v>71</v>
      </c>
      <c r="U435" t="s">
        <v>38</v>
      </c>
      <c r="V435">
        <v>1.2</v>
      </c>
      <c r="W435" t="s">
        <v>124</v>
      </c>
      <c r="X435" t="s">
        <v>106</v>
      </c>
      <c r="Y435" t="s">
        <v>72</v>
      </c>
    </row>
    <row r="436" spans="1:25" x14ac:dyDescent="0.3">
      <c r="A436" t="s">
        <v>949</v>
      </c>
      <c r="B436" s="1">
        <v>45360</v>
      </c>
      <c r="C436" t="s">
        <v>57</v>
      </c>
      <c r="D436" t="s">
        <v>44</v>
      </c>
      <c r="E436" t="s">
        <v>45</v>
      </c>
      <c r="F436" t="s">
        <v>28</v>
      </c>
      <c r="G436" t="s">
        <v>29</v>
      </c>
      <c r="H436" t="s">
        <v>67</v>
      </c>
      <c r="I436">
        <v>10</v>
      </c>
      <c r="J436" t="s">
        <v>950</v>
      </c>
      <c r="K436">
        <v>23</v>
      </c>
      <c r="L436" t="s">
        <v>80</v>
      </c>
      <c r="M436">
        <v>4</v>
      </c>
      <c r="N436" t="s">
        <v>91</v>
      </c>
      <c r="O436" t="s">
        <v>81</v>
      </c>
      <c r="P436" t="s">
        <v>35</v>
      </c>
      <c r="Q436" s="2">
        <v>19607</v>
      </c>
      <c r="R436" s="2">
        <v>275.76</v>
      </c>
      <c r="S436" t="s">
        <v>115</v>
      </c>
      <c r="T436" t="s">
        <v>52</v>
      </c>
      <c r="U436" t="s">
        <v>53</v>
      </c>
      <c r="V436">
        <v>4.2</v>
      </c>
      <c r="W436" t="s">
        <v>54</v>
      </c>
      <c r="X436" t="s">
        <v>84</v>
      </c>
      <c r="Y436" t="s">
        <v>72</v>
      </c>
    </row>
    <row r="437" spans="1:25" x14ac:dyDescent="0.3">
      <c r="A437" t="s">
        <v>951</v>
      </c>
      <c r="B437" s="1">
        <v>45361</v>
      </c>
      <c r="C437" t="s">
        <v>26</v>
      </c>
      <c r="D437" t="s">
        <v>26</v>
      </c>
      <c r="E437" t="s">
        <v>4085</v>
      </c>
      <c r="F437" t="s">
        <v>60</v>
      </c>
      <c r="G437" t="s">
        <v>29</v>
      </c>
      <c r="H437" t="s">
        <v>46</v>
      </c>
      <c r="I437">
        <v>5</v>
      </c>
      <c r="J437" t="s">
        <v>952</v>
      </c>
      <c r="K437">
        <v>34</v>
      </c>
      <c r="L437" t="s">
        <v>80</v>
      </c>
      <c r="M437">
        <v>6</v>
      </c>
      <c r="N437" t="s">
        <v>48</v>
      </c>
      <c r="O437" t="s">
        <v>49</v>
      </c>
      <c r="P437" t="s">
        <v>50</v>
      </c>
      <c r="Q437" s="2">
        <v>23857.63</v>
      </c>
      <c r="R437" s="2">
        <v>962.61</v>
      </c>
      <c r="S437" t="s">
        <v>36</v>
      </c>
      <c r="T437" t="s">
        <v>52</v>
      </c>
      <c r="U437" t="s">
        <v>53</v>
      </c>
      <c r="V437">
        <v>2.8</v>
      </c>
      <c r="W437" t="s">
        <v>76</v>
      </c>
      <c r="X437" t="s">
        <v>84</v>
      </c>
      <c r="Y437" t="s">
        <v>72</v>
      </c>
    </row>
    <row r="438" spans="1:25" x14ac:dyDescent="0.3">
      <c r="A438" t="s">
        <v>953</v>
      </c>
      <c r="B438" s="1">
        <v>45362</v>
      </c>
      <c r="C438" t="s">
        <v>26</v>
      </c>
      <c r="D438" t="s">
        <v>26</v>
      </c>
      <c r="E438" t="s">
        <v>120</v>
      </c>
      <c r="F438" t="s">
        <v>28</v>
      </c>
      <c r="G438" t="s">
        <v>29</v>
      </c>
      <c r="H438" t="s">
        <v>86</v>
      </c>
      <c r="I438">
        <v>9</v>
      </c>
      <c r="J438" t="s">
        <v>954</v>
      </c>
      <c r="K438">
        <v>65</v>
      </c>
      <c r="L438" t="s">
        <v>80</v>
      </c>
      <c r="M438">
        <v>2</v>
      </c>
      <c r="N438" t="s">
        <v>33</v>
      </c>
      <c r="O438" t="s">
        <v>49</v>
      </c>
      <c r="P438" t="s">
        <v>35</v>
      </c>
      <c r="Q438" s="2">
        <v>35711.440000000002</v>
      </c>
      <c r="R438" s="2">
        <v>2283.02</v>
      </c>
      <c r="S438" t="s">
        <v>36</v>
      </c>
      <c r="T438" t="s">
        <v>37</v>
      </c>
      <c r="U438" t="s">
        <v>75</v>
      </c>
      <c r="V438">
        <v>3.8</v>
      </c>
      <c r="W438" t="s">
        <v>54</v>
      </c>
      <c r="X438" t="s">
        <v>55</v>
      </c>
      <c r="Y438" t="s">
        <v>72</v>
      </c>
    </row>
    <row r="439" spans="1:25" x14ac:dyDescent="0.3">
      <c r="A439" t="s">
        <v>955</v>
      </c>
      <c r="B439" s="1">
        <v>45363</v>
      </c>
      <c r="C439" t="s">
        <v>78</v>
      </c>
      <c r="D439" t="s">
        <v>58</v>
      </c>
      <c r="E439" t="s">
        <v>120</v>
      </c>
      <c r="F439" t="s">
        <v>28</v>
      </c>
      <c r="G439" t="s">
        <v>29</v>
      </c>
      <c r="H439" t="s">
        <v>86</v>
      </c>
      <c r="I439">
        <v>4</v>
      </c>
      <c r="J439" t="s">
        <v>956</v>
      </c>
      <c r="K439">
        <v>66</v>
      </c>
      <c r="L439" t="s">
        <v>63</v>
      </c>
      <c r="M439">
        <v>1</v>
      </c>
      <c r="N439" t="s">
        <v>91</v>
      </c>
      <c r="O439" t="s">
        <v>49</v>
      </c>
      <c r="P439" t="s">
        <v>35</v>
      </c>
      <c r="Q439" s="2">
        <v>20902.93</v>
      </c>
      <c r="R439" s="2">
        <v>104.97</v>
      </c>
      <c r="S439" t="s">
        <v>36</v>
      </c>
      <c r="T439" t="s">
        <v>37</v>
      </c>
      <c r="U439" t="s">
        <v>53</v>
      </c>
      <c r="V439">
        <v>1.7</v>
      </c>
      <c r="W439" t="s">
        <v>124</v>
      </c>
      <c r="X439" t="s">
        <v>65</v>
      </c>
      <c r="Y439" t="s">
        <v>41</v>
      </c>
    </row>
    <row r="440" spans="1:25" x14ac:dyDescent="0.3">
      <c r="A440" t="s">
        <v>957</v>
      </c>
      <c r="B440" s="1">
        <v>45364</v>
      </c>
      <c r="C440" t="s">
        <v>57</v>
      </c>
      <c r="D440" t="s">
        <v>44</v>
      </c>
      <c r="E440" t="s">
        <v>45</v>
      </c>
      <c r="F440" t="s">
        <v>28</v>
      </c>
      <c r="G440" t="s">
        <v>29</v>
      </c>
      <c r="H440" t="s">
        <v>67</v>
      </c>
      <c r="I440">
        <v>13</v>
      </c>
      <c r="J440" t="s">
        <v>958</v>
      </c>
      <c r="K440">
        <v>37</v>
      </c>
      <c r="L440" t="s">
        <v>63</v>
      </c>
      <c r="M440">
        <v>7</v>
      </c>
      <c r="N440" t="s">
        <v>48</v>
      </c>
      <c r="O440" t="s">
        <v>49</v>
      </c>
      <c r="P440" t="s">
        <v>70</v>
      </c>
      <c r="Q440" s="2">
        <v>33290.15</v>
      </c>
      <c r="R440" s="2">
        <v>779.68</v>
      </c>
      <c r="S440" t="s">
        <v>36</v>
      </c>
      <c r="T440" t="s">
        <v>37</v>
      </c>
      <c r="U440" t="s">
        <v>75</v>
      </c>
      <c r="V440">
        <v>3.6</v>
      </c>
      <c r="W440" t="s">
        <v>54</v>
      </c>
      <c r="X440" t="s">
        <v>65</v>
      </c>
      <c r="Y440" t="s">
        <v>72</v>
      </c>
    </row>
    <row r="441" spans="1:25" x14ac:dyDescent="0.3">
      <c r="A441" t="s">
        <v>959</v>
      </c>
      <c r="B441" s="1">
        <v>45365</v>
      </c>
      <c r="C441" t="s">
        <v>26</v>
      </c>
      <c r="D441" t="s">
        <v>26</v>
      </c>
      <c r="E441" t="s">
        <v>89</v>
      </c>
      <c r="F441" t="s">
        <v>28</v>
      </c>
      <c r="G441" t="s">
        <v>29</v>
      </c>
      <c r="H441" t="s">
        <v>61</v>
      </c>
      <c r="I441">
        <v>13</v>
      </c>
      <c r="J441" t="s">
        <v>960</v>
      </c>
      <c r="K441">
        <v>26</v>
      </c>
      <c r="L441" t="s">
        <v>80</v>
      </c>
      <c r="M441">
        <v>7</v>
      </c>
      <c r="N441" t="s">
        <v>48</v>
      </c>
      <c r="O441" t="s">
        <v>49</v>
      </c>
      <c r="P441" t="s">
        <v>82</v>
      </c>
      <c r="Q441" s="2">
        <v>44837.72</v>
      </c>
      <c r="R441" s="2">
        <v>3907.22</v>
      </c>
      <c r="S441" t="s">
        <v>115</v>
      </c>
      <c r="T441" t="s">
        <v>37</v>
      </c>
      <c r="U441" t="s">
        <v>38</v>
      </c>
      <c r="V441">
        <v>3.4</v>
      </c>
      <c r="W441" t="s">
        <v>76</v>
      </c>
      <c r="X441" t="s">
        <v>40</v>
      </c>
      <c r="Y441" t="s">
        <v>41</v>
      </c>
    </row>
    <row r="442" spans="1:25" x14ac:dyDescent="0.3">
      <c r="A442" t="s">
        <v>961</v>
      </c>
      <c r="B442" s="1">
        <v>45366</v>
      </c>
      <c r="C442" t="s">
        <v>117</v>
      </c>
      <c r="D442" t="s">
        <v>4083</v>
      </c>
      <c r="E442" t="s">
        <v>89</v>
      </c>
      <c r="F442" t="s">
        <v>28</v>
      </c>
      <c r="G442" t="s">
        <v>29</v>
      </c>
      <c r="H442" t="s">
        <v>61</v>
      </c>
      <c r="I442">
        <v>3</v>
      </c>
      <c r="J442" t="s">
        <v>962</v>
      </c>
      <c r="K442">
        <v>22</v>
      </c>
      <c r="L442" t="s">
        <v>63</v>
      </c>
      <c r="M442">
        <v>7</v>
      </c>
      <c r="N442" t="s">
        <v>91</v>
      </c>
      <c r="O442" t="s">
        <v>34</v>
      </c>
      <c r="P442" t="s">
        <v>82</v>
      </c>
      <c r="Q442" s="2">
        <v>40881.800000000003</v>
      </c>
      <c r="R442" s="2">
        <v>3810.83</v>
      </c>
      <c r="S442" t="s">
        <v>51</v>
      </c>
      <c r="T442" t="s">
        <v>71</v>
      </c>
      <c r="U442" t="s">
        <v>38</v>
      </c>
      <c r="V442">
        <v>4</v>
      </c>
      <c r="W442" t="s">
        <v>39</v>
      </c>
      <c r="X442" t="s">
        <v>106</v>
      </c>
      <c r="Y442" t="s">
        <v>41</v>
      </c>
    </row>
    <row r="443" spans="1:25" x14ac:dyDescent="0.3">
      <c r="A443" t="s">
        <v>963</v>
      </c>
      <c r="B443" s="1">
        <v>45367</v>
      </c>
      <c r="C443" t="s">
        <v>117</v>
      </c>
      <c r="D443" t="s">
        <v>4083</v>
      </c>
      <c r="E443" t="s">
        <v>45</v>
      </c>
      <c r="F443" t="s">
        <v>28</v>
      </c>
      <c r="G443" t="s">
        <v>29</v>
      </c>
      <c r="H443" t="s">
        <v>67</v>
      </c>
      <c r="I443">
        <v>14</v>
      </c>
      <c r="J443" t="s">
        <v>964</v>
      </c>
      <c r="K443">
        <v>40</v>
      </c>
      <c r="L443" t="s">
        <v>63</v>
      </c>
      <c r="M443">
        <v>1</v>
      </c>
      <c r="N443" t="s">
        <v>48</v>
      </c>
      <c r="O443" t="s">
        <v>69</v>
      </c>
      <c r="P443" t="s">
        <v>50</v>
      </c>
      <c r="Q443" s="2">
        <v>22172.5</v>
      </c>
      <c r="R443" s="2">
        <v>3948.65</v>
      </c>
      <c r="S443" t="s">
        <v>115</v>
      </c>
      <c r="T443" t="s">
        <v>37</v>
      </c>
      <c r="U443" t="s">
        <v>53</v>
      </c>
      <c r="V443">
        <v>2.2000000000000002</v>
      </c>
      <c r="W443" t="s">
        <v>76</v>
      </c>
      <c r="X443" t="s">
        <v>55</v>
      </c>
      <c r="Y443" t="s">
        <v>72</v>
      </c>
    </row>
    <row r="444" spans="1:25" x14ac:dyDescent="0.3">
      <c r="A444" t="s">
        <v>965</v>
      </c>
      <c r="B444" s="1">
        <v>45368</v>
      </c>
      <c r="C444" t="s">
        <v>43</v>
      </c>
      <c r="D444" t="s">
        <v>58</v>
      </c>
      <c r="E444" t="s">
        <v>89</v>
      </c>
      <c r="F444" t="s">
        <v>28</v>
      </c>
      <c r="G444" t="s">
        <v>29</v>
      </c>
      <c r="H444" t="s">
        <v>61</v>
      </c>
      <c r="I444">
        <v>8</v>
      </c>
      <c r="J444" t="s">
        <v>966</v>
      </c>
      <c r="K444">
        <v>50</v>
      </c>
      <c r="L444" t="s">
        <v>63</v>
      </c>
      <c r="M444">
        <v>5</v>
      </c>
      <c r="N444" t="s">
        <v>33</v>
      </c>
      <c r="O444" t="s">
        <v>34</v>
      </c>
      <c r="P444" t="s">
        <v>35</v>
      </c>
      <c r="Q444" s="2">
        <v>17957.14</v>
      </c>
      <c r="R444" s="2">
        <v>4607.7</v>
      </c>
      <c r="S444" t="s">
        <v>94</v>
      </c>
      <c r="T444" t="s">
        <v>71</v>
      </c>
      <c r="U444" t="s">
        <v>75</v>
      </c>
      <c r="V444">
        <v>4.7</v>
      </c>
      <c r="W444" t="s">
        <v>103</v>
      </c>
      <c r="X444" t="s">
        <v>65</v>
      </c>
      <c r="Y444" t="s">
        <v>72</v>
      </c>
    </row>
    <row r="445" spans="1:25" x14ac:dyDescent="0.3">
      <c r="A445" t="s">
        <v>967</v>
      </c>
      <c r="B445" s="1">
        <v>45369</v>
      </c>
      <c r="C445" t="s">
        <v>57</v>
      </c>
      <c r="D445" t="s">
        <v>44</v>
      </c>
      <c r="E445" t="s">
        <v>120</v>
      </c>
      <c r="F445" t="s">
        <v>28</v>
      </c>
      <c r="G445" t="s">
        <v>29</v>
      </c>
      <c r="H445" t="s">
        <v>86</v>
      </c>
      <c r="I445">
        <v>10</v>
      </c>
      <c r="J445" t="s">
        <v>968</v>
      </c>
      <c r="K445">
        <v>55</v>
      </c>
      <c r="L445" t="s">
        <v>80</v>
      </c>
      <c r="M445">
        <v>4</v>
      </c>
      <c r="N445" t="s">
        <v>64</v>
      </c>
      <c r="O445" t="s">
        <v>81</v>
      </c>
      <c r="P445" t="s">
        <v>35</v>
      </c>
      <c r="Q445" s="2">
        <v>17847.97</v>
      </c>
      <c r="R445" s="2">
        <v>595.36</v>
      </c>
      <c r="S445" t="s">
        <v>51</v>
      </c>
      <c r="T445" t="s">
        <v>52</v>
      </c>
      <c r="U445" t="s">
        <v>75</v>
      </c>
      <c r="V445">
        <v>4.8</v>
      </c>
      <c r="W445" t="s">
        <v>103</v>
      </c>
      <c r="X445" t="s">
        <v>40</v>
      </c>
      <c r="Y445" t="s">
        <v>72</v>
      </c>
    </row>
    <row r="446" spans="1:25" x14ac:dyDescent="0.3">
      <c r="A446" t="s">
        <v>969</v>
      </c>
      <c r="B446" s="1">
        <v>45370</v>
      </c>
      <c r="C446" t="s">
        <v>57</v>
      </c>
      <c r="D446" t="s">
        <v>44</v>
      </c>
      <c r="E446" t="s">
        <v>120</v>
      </c>
      <c r="F446" t="s">
        <v>28</v>
      </c>
      <c r="G446" t="s">
        <v>29</v>
      </c>
      <c r="H446" t="s">
        <v>86</v>
      </c>
      <c r="I446">
        <v>3</v>
      </c>
      <c r="J446" t="s">
        <v>970</v>
      </c>
      <c r="K446">
        <v>31</v>
      </c>
      <c r="L446" t="s">
        <v>32</v>
      </c>
      <c r="M446">
        <v>6</v>
      </c>
      <c r="N446" t="s">
        <v>33</v>
      </c>
      <c r="O446" t="s">
        <v>69</v>
      </c>
      <c r="P446" t="s">
        <v>82</v>
      </c>
      <c r="Q446" s="2">
        <v>20686.599999999999</v>
      </c>
      <c r="R446" s="2">
        <v>815.7</v>
      </c>
      <c r="S446" t="s">
        <v>115</v>
      </c>
      <c r="T446" t="s">
        <v>52</v>
      </c>
      <c r="U446" t="s">
        <v>83</v>
      </c>
      <c r="V446">
        <v>4.5</v>
      </c>
      <c r="W446" t="s">
        <v>103</v>
      </c>
      <c r="X446" t="s">
        <v>55</v>
      </c>
      <c r="Y446" t="s">
        <v>72</v>
      </c>
    </row>
    <row r="447" spans="1:25" x14ac:dyDescent="0.3">
      <c r="A447" t="s">
        <v>971</v>
      </c>
      <c r="B447" s="1">
        <v>45371</v>
      </c>
      <c r="C447" t="s">
        <v>43</v>
      </c>
      <c r="D447" t="s">
        <v>58</v>
      </c>
      <c r="E447" t="s">
        <v>4085</v>
      </c>
      <c r="F447" t="s">
        <v>60</v>
      </c>
      <c r="G447" t="s">
        <v>29</v>
      </c>
      <c r="H447" t="s">
        <v>46</v>
      </c>
      <c r="I447">
        <v>12</v>
      </c>
      <c r="J447" t="s">
        <v>972</v>
      </c>
      <c r="K447">
        <v>34</v>
      </c>
      <c r="L447" t="s">
        <v>80</v>
      </c>
      <c r="M447">
        <v>7</v>
      </c>
      <c r="N447" t="s">
        <v>48</v>
      </c>
      <c r="O447" t="s">
        <v>69</v>
      </c>
      <c r="P447" t="s">
        <v>50</v>
      </c>
      <c r="Q447" s="2">
        <v>27208.26</v>
      </c>
      <c r="R447" s="2">
        <v>1667.77</v>
      </c>
      <c r="S447" t="s">
        <v>36</v>
      </c>
      <c r="T447" t="s">
        <v>71</v>
      </c>
      <c r="U447" t="s">
        <v>83</v>
      </c>
      <c r="V447">
        <v>3.3</v>
      </c>
      <c r="W447" t="s">
        <v>76</v>
      </c>
      <c r="X447" t="s">
        <v>84</v>
      </c>
      <c r="Y447" t="s">
        <v>41</v>
      </c>
    </row>
    <row r="448" spans="1:25" x14ac:dyDescent="0.3">
      <c r="A448" t="s">
        <v>973</v>
      </c>
      <c r="B448" s="1">
        <v>45372</v>
      </c>
      <c r="C448" t="s">
        <v>26</v>
      </c>
      <c r="D448" t="s">
        <v>26</v>
      </c>
      <c r="E448" t="s">
        <v>45</v>
      </c>
      <c r="F448" t="s">
        <v>28</v>
      </c>
      <c r="G448" t="s">
        <v>29</v>
      </c>
      <c r="H448" t="s">
        <v>67</v>
      </c>
      <c r="I448">
        <v>14</v>
      </c>
      <c r="J448" t="s">
        <v>974</v>
      </c>
      <c r="K448">
        <v>36</v>
      </c>
      <c r="L448" t="s">
        <v>80</v>
      </c>
      <c r="M448">
        <v>1</v>
      </c>
      <c r="N448" t="s">
        <v>64</v>
      </c>
      <c r="O448" t="s">
        <v>69</v>
      </c>
      <c r="P448" t="s">
        <v>70</v>
      </c>
      <c r="Q448" s="2">
        <v>23746.89</v>
      </c>
      <c r="R448" s="2">
        <v>4575.71</v>
      </c>
      <c r="S448" t="s">
        <v>36</v>
      </c>
      <c r="T448" t="s">
        <v>37</v>
      </c>
      <c r="U448" t="s">
        <v>38</v>
      </c>
      <c r="V448">
        <v>2.7</v>
      </c>
      <c r="W448" t="s">
        <v>76</v>
      </c>
      <c r="X448" t="s">
        <v>65</v>
      </c>
      <c r="Y448" t="s">
        <v>41</v>
      </c>
    </row>
    <row r="449" spans="1:25" x14ac:dyDescent="0.3">
      <c r="A449" t="s">
        <v>975</v>
      </c>
      <c r="B449" s="1">
        <v>45373</v>
      </c>
      <c r="C449" t="s">
        <v>57</v>
      </c>
      <c r="D449" t="s">
        <v>44</v>
      </c>
      <c r="E449" t="s">
        <v>4084</v>
      </c>
      <c r="F449" t="s">
        <v>60</v>
      </c>
      <c r="G449" t="s">
        <v>29</v>
      </c>
      <c r="H449" t="s">
        <v>30</v>
      </c>
      <c r="I449">
        <v>11</v>
      </c>
      <c r="J449" t="s">
        <v>976</v>
      </c>
      <c r="K449">
        <v>50</v>
      </c>
      <c r="L449" t="s">
        <v>63</v>
      </c>
      <c r="M449">
        <v>7</v>
      </c>
      <c r="N449" t="s">
        <v>91</v>
      </c>
      <c r="O449" t="s">
        <v>69</v>
      </c>
      <c r="P449" t="s">
        <v>70</v>
      </c>
      <c r="Q449" s="2">
        <v>10985.18</v>
      </c>
      <c r="R449" s="2">
        <v>3877.39</v>
      </c>
      <c r="S449" t="s">
        <v>51</v>
      </c>
      <c r="T449" t="s">
        <v>52</v>
      </c>
      <c r="U449" t="s">
        <v>38</v>
      </c>
      <c r="V449">
        <v>1.2</v>
      </c>
      <c r="W449" t="s">
        <v>124</v>
      </c>
      <c r="X449" t="s">
        <v>106</v>
      </c>
      <c r="Y449" t="s">
        <v>72</v>
      </c>
    </row>
    <row r="450" spans="1:25" x14ac:dyDescent="0.3">
      <c r="A450" t="s">
        <v>977</v>
      </c>
      <c r="B450" s="1">
        <v>45374</v>
      </c>
      <c r="C450" t="s">
        <v>117</v>
      </c>
      <c r="D450" t="s">
        <v>4083</v>
      </c>
      <c r="E450" t="s">
        <v>4084</v>
      </c>
      <c r="F450" t="s">
        <v>60</v>
      </c>
      <c r="G450" t="s">
        <v>29</v>
      </c>
      <c r="H450" t="s">
        <v>30</v>
      </c>
      <c r="I450">
        <v>5</v>
      </c>
      <c r="J450" t="s">
        <v>978</v>
      </c>
      <c r="K450">
        <v>18</v>
      </c>
      <c r="L450" t="s">
        <v>63</v>
      </c>
      <c r="M450">
        <v>5</v>
      </c>
      <c r="N450" t="s">
        <v>33</v>
      </c>
      <c r="O450" t="s">
        <v>49</v>
      </c>
      <c r="P450" t="s">
        <v>70</v>
      </c>
      <c r="Q450" s="2">
        <v>12355.51</v>
      </c>
      <c r="R450" s="2">
        <v>1620.61</v>
      </c>
      <c r="S450" t="s">
        <v>115</v>
      </c>
      <c r="T450" t="s">
        <v>71</v>
      </c>
      <c r="U450" t="s">
        <v>83</v>
      </c>
      <c r="V450">
        <v>4.8</v>
      </c>
      <c r="W450" t="s">
        <v>103</v>
      </c>
      <c r="X450" t="s">
        <v>55</v>
      </c>
      <c r="Y450" t="s">
        <v>41</v>
      </c>
    </row>
    <row r="451" spans="1:25" x14ac:dyDescent="0.3">
      <c r="A451" t="s">
        <v>979</v>
      </c>
      <c r="B451" s="1">
        <v>45375</v>
      </c>
      <c r="C451" t="s">
        <v>117</v>
      </c>
      <c r="D451" t="s">
        <v>4083</v>
      </c>
      <c r="E451" t="s">
        <v>4085</v>
      </c>
      <c r="F451" t="s">
        <v>60</v>
      </c>
      <c r="G451" t="s">
        <v>29</v>
      </c>
      <c r="H451" t="s">
        <v>46</v>
      </c>
      <c r="I451">
        <v>5</v>
      </c>
      <c r="J451" t="s">
        <v>980</v>
      </c>
      <c r="K451">
        <v>30</v>
      </c>
      <c r="L451" t="s">
        <v>32</v>
      </c>
      <c r="M451">
        <v>2</v>
      </c>
      <c r="N451" t="s">
        <v>91</v>
      </c>
      <c r="O451" t="s">
        <v>81</v>
      </c>
      <c r="P451" t="s">
        <v>35</v>
      </c>
      <c r="Q451" s="2">
        <v>20431.830000000002</v>
      </c>
      <c r="R451" s="2">
        <v>438.18</v>
      </c>
      <c r="S451" t="s">
        <v>51</v>
      </c>
      <c r="T451" t="s">
        <v>52</v>
      </c>
      <c r="U451" t="s">
        <v>75</v>
      </c>
      <c r="V451">
        <v>4.8</v>
      </c>
      <c r="W451" t="s">
        <v>103</v>
      </c>
      <c r="X451" t="s">
        <v>40</v>
      </c>
      <c r="Y451" t="s">
        <v>72</v>
      </c>
    </row>
    <row r="452" spans="1:25" x14ac:dyDescent="0.3">
      <c r="A452" t="s">
        <v>981</v>
      </c>
      <c r="B452" s="1">
        <v>45376</v>
      </c>
      <c r="C452" t="s">
        <v>78</v>
      </c>
      <c r="D452" t="s">
        <v>58</v>
      </c>
      <c r="E452" t="s">
        <v>4085</v>
      </c>
      <c r="F452" t="s">
        <v>60</v>
      </c>
      <c r="G452" t="s">
        <v>29</v>
      </c>
      <c r="H452" t="s">
        <v>59</v>
      </c>
      <c r="I452">
        <v>6</v>
      </c>
      <c r="J452" t="s">
        <v>982</v>
      </c>
      <c r="K452">
        <v>63</v>
      </c>
      <c r="L452" t="s">
        <v>32</v>
      </c>
      <c r="M452">
        <v>7</v>
      </c>
      <c r="N452" t="s">
        <v>64</v>
      </c>
      <c r="O452" t="s">
        <v>69</v>
      </c>
      <c r="P452" t="s">
        <v>50</v>
      </c>
      <c r="Q452" s="2">
        <v>30292.880000000001</v>
      </c>
      <c r="R452" s="2">
        <v>3081.9</v>
      </c>
      <c r="S452" t="s">
        <v>36</v>
      </c>
      <c r="T452" t="s">
        <v>37</v>
      </c>
      <c r="U452" t="s">
        <v>53</v>
      </c>
      <c r="V452">
        <v>1.1000000000000001</v>
      </c>
      <c r="W452" t="s">
        <v>124</v>
      </c>
      <c r="X452" t="s">
        <v>106</v>
      </c>
      <c r="Y452" t="s">
        <v>72</v>
      </c>
    </row>
    <row r="453" spans="1:25" x14ac:dyDescent="0.3">
      <c r="A453" t="s">
        <v>983</v>
      </c>
      <c r="B453" s="1">
        <v>45377</v>
      </c>
      <c r="C453" t="s">
        <v>57</v>
      </c>
      <c r="D453" t="s">
        <v>44</v>
      </c>
      <c r="E453" t="s">
        <v>89</v>
      </c>
      <c r="F453" t="s">
        <v>28</v>
      </c>
      <c r="G453" t="s">
        <v>29</v>
      </c>
      <c r="H453" t="s">
        <v>61</v>
      </c>
      <c r="I453">
        <v>13</v>
      </c>
      <c r="J453" t="s">
        <v>984</v>
      </c>
      <c r="K453">
        <v>44</v>
      </c>
      <c r="L453" t="s">
        <v>32</v>
      </c>
      <c r="M453">
        <v>5</v>
      </c>
      <c r="N453" t="s">
        <v>48</v>
      </c>
      <c r="O453" t="s">
        <v>69</v>
      </c>
      <c r="P453" t="s">
        <v>82</v>
      </c>
      <c r="Q453" s="2">
        <v>31669.88</v>
      </c>
      <c r="R453" s="2">
        <v>1284.0999999999999</v>
      </c>
      <c r="S453" t="s">
        <v>115</v>
      </c>
      <c r="T453" t="s">
        <v>71</v>
      </c>
      <c r="U453" t="s">
        <v>53</v>
      </c>
      <c r="V453">
        <v>2.4</v>
      </c>
      <c r="W453" t="s">
        <v>76</v>
      </c>
      <c r="X453" t="s">
        <v>84</v>
      </c>
      <c r="Y453" t="s">
        <v>72</v>
      </c>
    </row>
    <row r="454" spans="1:25" x14ac:dyDescent="0.3">
      <c r="A454" t="s">
        <v>985</v>
      </c>
      <c r="B454" s="1">
        <v>45378</v>
      </c>
      <c r="C454" t="s">
        <v>26</v>
      </c>
      <c r="D454" t="s">
        <v>26</v>
      </c>
      <c r="E454" t="s">
        <v>4085</v>
      </c>
      <c r="F454" t="s">
        <v>60</v>
      </c>
      <c r="G454" t="s">
        <v>29</v>
      </c>
      <c r="H454" t="s">
        <v>46</v>
      </c>
      <c r="I454">
        <v>3</v>
      </c>
      <c r="J454" t="s">
        <v>986</v>
      </c>
      <c r="K454">
        <v>23</v>
      </c>
      <c r="L454" t="s">
        <v>32</v>
      </c>
      <c r="M454">
        <v>4</v>
      </c>
      <c r="N454" t="s">
        <v>64</v>
      </c>
      <c r="O454" t="s">
        <v>49</v>
      </c>
      <c r="P454" t="s">
        <v>35</v>
      </c>
      <c r="Q454" s="2">
        <v>26879.32</v>
      </c>
      <c r="R454" s="2">
        <v>2655.76</v>
      </c>
      <c r="S454" t="s">
        <v>36</v>
      </c>
      <c r="T454" t="s">
        <v>52</v>
      </c>
      <c r="U454" t="s">
        <v>75</v>
      </c>
      <c r="V454">
        <v>4.5</v>
      </c>
      <c r="W454" t="s">
        <v>103</v>
      </c>
      <c r="X454" t="s">
        <v>106</v>
      </c>
      <c r="Y454" t="s">
        <v>41</v>
      </c>
    </row>
    <row r="455" spans="1:25" x14ac:dyDescent="0.3">
      <c r="A455" t="s">
        <v>987</v>
      </c>
      <c r="B455" s="1">
        <v>45379</v>
      </c>
      <c r="C455" t="s">
        <v>43</v>
      </c>
      <c r="D455" t="s">
        <v>58</v>
      </c>
      <c r="E455" t="s">
        <v>4085</v>
      </c>
      <c r="F455" t="s">
        <v>60</v>
      </c>
      <c r="G455" t="s">
        <v>29</v>
      </c>
      <c r="H455" t="s">
        <v>59</v>
      </c>
      <c r="I455">
        <v>11</v>
      </c>
      <c r="J455" t="s">
        <v>988</v>
      </c>
      <c r="K455">
        <v>23</v>
      </c>
      <c r="L455" t="s">
        <v>80</v>
      </c>
      <c r="M455">
        <v>7</v>
      </c>
      <c r="N455" t="s">
        <v>64</v>
      </c>
      <c r="O455" t="s">
        <v>34</v>
      </c>
      <c r="P455" t="s">
        <v>35</v>
      </c>
      <c r="Q455" s="2">
        <v>38244.910000000003</v>
      </c>
      <c r="R455" s="2">
        <v>4709.0200000000004</v>
      </c>
      <c r="S455" t="s">
        <v>51</v>
      </c>
      <c r="T455" t="s">
        <v>37</v>
      </c>
      <c r="U455" t="s">
        <v>38</v>
      </c>
      <c r="V455">
        <v>1.3</v>
      </c>
      <c r="W455" t="s">
        <v>124</v>
      </c>
      <c r="X455" t="s">
        <v>40</v>
      </c>
      <c r="Y455" t="s">
        <v>41</v>
      </c>
    </row>
    <row r="456" spans="1:25" x14ac:dyDescent="0.3">
      <c r="A456" t="s">
        <v>989</v>
      </c>
      <c r="B456" s="1">
        <v>45380</v>
      </c>
      <c r="C456" t="s">
        <v>43</v>
      </c>
      <c r="D456" t="s">
        <v>58</v>
      </c>
      <c r="E456" t="s">
        <v>4084</v>
      </c>
      <c r="F456" t="s">
        <v>60</v>
      </c>
      <c r="G456" t="s">
        <v>29</v>
      </c>
      <c r="H456" t="s">
        <v>27</v>
      </c>
      <c r="I456">
        <v>13</v>
      </c>
      <c r="J456" t="s">
        <v>990</v>
      </c>
      <c r="K456">
        <v>50</v>
      </c>
      <c r="L456" t="s">
        <v>32</v>
      </c>
      <c r="M456">
        <v>5</v>
      </c>
      <c r="N456" t="s">
        <v>91</v>
      </c>
      <c r="O456" t="s">
        <v>34</v>
      </c>
      <c r="P456" t="s">
        <v>70</v>
      </c>
      <c r="Q456" s="2">
        <v>38176.199999999997</v>
      </c>
      <c r="R456" s="2">
        <v>2863.09</v>
      </c>
      <c r="S456" t="s">
        <v>51</v>
      </c>
      <c r="T456" t="s">
        <v>71</v>
      </c>
      <c r="U456" t="s">
        <v>53</v>
      </c>
      <c r="V456">
        <v>1.8</v>
      </c>
      <c r="W456" t="s">
        <v>124</v>
      </c>
      <c r="X456" t="s">
        <v>84</v>
      </c>
      <c r="Y456" t="s">
        <v>41</v>
      </c>
    </row>
    <row r="457" spans="1:25" x14ac:dyDescent="0.3">
      <c r="A457" t="s">
        <v>991</v>
      </c>
      <c r="B457" s="1">
        <v>45381</v>
      </c>
      <c r="C457" t="s">
        <v>26</v>
      </c>
      <c r="D457" t="s">
        <v>26</v>
      </c>
      <c r="E457" t="s">
        <v>89</v>
      </c>
      <c r="F457" t="s">
        <v>28</v>
      </c>
      <c r="G457" t="s">
        <v>29</v>
      </c>
      <c r="H457" t="s">
        <v>61</v>
      </c>
      <c r="I457">
        <v>5</v>
      </c>
      <c r="J457" t="s">
        <v>992</v>
      </c>
      <c r="K457">
        <v>47</v>
      </c>
      <c r="L457" t="s">
        <v>80</v>
      </c>
      <c r="M457">
        <v>1</v>
      </c>
      <c r="N457" t="s">
        <v>33</v>
      </c>
      <c r="O457" t="s">
        <v>34</v>
      </c>
      <c r="P457" t="s">
        <v>50</v>
      </c>
      <c r="Q457" s="2">
        <v>24243.24</v>
      </c>
      <c r="R457" s="2">
        <v>4619.17</v>
      </c>
      <c r="S457" t="s">
        <v>51</v>
      </c>
      <c r="T457" t="s">
        <v>71</v>
      </c>
      <c r="U457" t="s">
        <v>75</v>
      </c>
      <c r="V457">
        <v>4.9000000000000004</v>
      </c>
      <c r="W457" t="s">
        <v>103</v>
      </c>
      <c r="X457" t="s">
        <v>40</v>
      </c>
      <c r="Y457" t="s">
        <v>72</v>
      </c>
    </row>
    <row r="458" spans="1:25" x14ac:dyDescent="0.3">
      <c r="A458" t="s">
        <v>993</v>
      </c>
      <c r="B458" s="1">
        <v>45382</v>
      </c>
      <c r="C458" t="s">
        <v>78</v>
      </c>
      <c r="D458" t="s">
        <v>58</v>
      </c>
      <c r="E458" t="s">
        <v>4085</v>
      </c>
      <c r="F458" t="s">
        <v>60</v>
      </c>
      <c r="G458" t="s">
        <v>29</v>
      </c>
      <c r="H458" t="s">
        <v>46</v>
      </c>
      <c r="I458">
        <v>12</v>
      </c>
      <c r="J458" t="s">
        <v>994</v>
      </c>
      <c r="K458">
        <v>63</v>
      </c>
      <c r="L458" t="s">
        <v>63</v>
      </c>
      <c r="M458">
        <v>1</v>
      </c>
      <c r="N458" t="s">
        <v>64</v>
      </c>
      <c r="O458" t="s">
        <v>81</v>
      </c>
      <c r="P458" t="s">
        <v>50</v>
      </c>
      <c r="Q458" s="2">
        <v>10599.84</v>
      </c>
      <c r="R458" s="2">
        <v>1965.19</v>
      </c>
      <c r="S458" t="s">
        <v>51</v>
      </c>
      <c r="T458" t="s">
        <v>71</v>
      </c>
      <c r="U458" t="s">
        <v>53</v>
      </c>
      <c r="V458">
        <v>4.4000000000000004</v>
      </c>
      <c r="W458" t="s">
        <v>54</v>
      </c>
      <c r="X458" t="s">
        <v>65</v>
      </c>
      <c r="Y458" t="s">
        <v>41</v>
      </c>
    </row>
    <row r="459" spans="1:25" x14ac:dyDescent="0.3">
      <c r="A459" t="s">
        <v>995</v>
      </c>
      <c r="B459" s="1">
        <v>45383</v>
      </c>
      <c r="C459" t="s">
        <v>43</v>
      </c>
      <c r="D459" t="s">
        <v>58</v>
      </c>
      <c r="E459" t="s">
        <v>4085</v>
      </c>
      <c r="F459" t="s">
        <v>60</v>
      </c>
      <c r="G459" t="s">
        <v>29</v>
      </c>
      <c r="H459" t="s">
        <v>59</v>
      </c>
      <c r="I459">
        <v>6</v>
      </c>
      <c r="J459" t="s">
        <v>996</v>
      </c>
      <c r="K459">
        <v>52</v>
      </c>
      <c r="L459" t="s">
        <v>32</v>
      </c>
      <c r="M459">
        <v>3</v>
      </c>
      <c r="N459" t="s">
        <v>48</v>
      </c>
      <c r="O459" t="s">
        <v>34</v>
      </c>
      <c r="P459" t="s">
        <v>70</v>
      </c>
      <c r="Q459" s="2">
        <v>28857.86</v>
      </c>
      <c r="R459" s="2">
        <v>3166.76</v>
      </c>
      <c r="S459" t="s">
        <v>51</v>
      </c>
      <c r="T459" t="s">
        <v>71</v>
      </c>
      <c r="U459" t="s">
        <v>75</v>
      </c>
      <c r="V459">
        <v>4.5999999999999996</v>
      </c>
      <c r="W459" t="s">
        <v>103</v>
      </c>
      <c r="X459" t="s">
        <v>40</v>
      </c>
      <c r="Y459" t="s">
        <v>72</v>
      </c>
    </row>
    <row r="460" spans="1:25" x14ac:dyDescent="0.3">
      <c r="A460" t="s">
        <v>997</v>
      </c>
      <c r="B460" s="1">
        <v>45384</v>
      </c>
      <c r="C460" t="s">
        <v>57</v>
      </c>
      <c r="D460" t="s">
        <v>44</v>
      </c>
      <c r="E460" t="s">
        <v>89</v>
      </c>
      <c r="F460" t="s">
        <v>28</v>
      </c>
      <c r="G460" t="s">
        <v>29</v>
      </c>
      <c r="H460" t="s">
        <v>61</v>
      </c>
      <c r="I460">
        <v>3</v>
      </c>
      <c r="J460" t="s">
        <v>998</v>
      </c>
      <c r="K460">
        <v>40</v>
      </c>
      <c r="L460" t="s">
        <v>63</v>
      </c>
      <c r="M460">
        <v>5</v>
      </c>
      <c r="N460" t="s">
        <v>64</v>
      </c>
      <c r="O460" t="s">
        <v>69</v>
      </c>
      <c r="P460" t="s">
        <v>70</v>
      </c>
      <c r="Q460" s="2">
        <v>22166.11</v>
      </c>
      <c r="R460" s="2">
        <v>4469.45</v>
      </c>
      <c r="S460" t="s">
        <v>94</v>
      </c>
      <c r="T460" t="s">
        <v>52</v>
      </c>
      <c r="U460" t="s">
        <v>83</v>
      </c>
      <c r="V460">
        <v>1.6</v>
      </c>
      <c r="W460" t="s">
        <v>124</v>
      </c>
      <c r="X460" t="s">
        <v>106</v>
      </c>
      <c r="Y460" t="s">
        <v>72</v>
      </c>
    </row>
    <row r="461" spans="1:25" x14ac:dyDescent="0.3">
      <c r="A461" t="s">
        <v>999</v>
      </c>
      <c r="B461" s="1">
        <v>45385</v>
      </c>
      <c r="C461" t="s">
        <v>78</v>
      </c>
      <c r="D461" t="s">
        <v>58</v>
      </c>
      <c r="E461" t="s">
        <v>45</v>
      </c>
      <c r="F461" t="s">
        <v>28</v>
      </c>
      <c r="G461" t="s">
        <v>29</v>
      </c>
      <c r="H461" t="s">
        <v>67</v>
      </c>
      <c r="I461">
        <v>6</v>
      </c>
      <c r="J461" t="s">
        <v>1000</v>
      </c>
      <c r="K461">
        <v>27</v>
      </c>
      <c r="L461" t="s">
        <v>63</v>
      </c>
      <c r="M461">
        <v>2</v>
      </c>
      <c r="N461" t="s">
        <v>91</v>
      </c>
      <c r="O461" t="s">
        <v>49</v>
      </c>
      <c r="P461" t="s">
        <v>70</v>
      </c>
      <c r="Q461" s="2">
        <v>11206.53</v>
      </c>
      <c r="R461" s="2">
        <v>2939.94</v>
      </c>
      <c r="S461" t="s">
        <v>51</v>
      </c>
      <c r="T461" t="s">
        <v>71</v>
      </c>
      <c r="U461" t="s">
        <v>83</v>
      </c>
      <c r="V461">
        <v>1.8</v>
      </c>
      <c r="W461" t="s">
        <v>124</v>
      </c>
      <c r="X461" t="s">
        <v>65</v>
      </c>
      <c r="Y461" t="s">
        <v>41</v>
      </c>
    </row>
    <row r="462" spans="1:25" x14ac:dyDescent="0.3">
      <c r="A462" t="s">
        <v>1001</v>
      </c>
      <c r="B462" s="1">
        <v>45386</v>
      </c>
      <c r="C462" t="s">
        <v>57</v>
      </c>
      <c r="D462" t="s">
        <v>44</v>
      </c>
      <c r="E462" t="s">
        <v>89</v>
      </c>
      <c r="F462" t="s">
        <v>28</v>
      </c>
      <c r="G462" t="s">
        <v>29</v>
      </c>
      <c r="H462" t="s">
        <v>61</v>
      </c>
      <c r="I462">
        <v>3</v>
      </c>
      <c r="J462" t="s">
        <v>1002</v>
      </c>
      <c r="K462">
        <v>68</v>
      </c>
      <c r="L462" t="s">
        <v>80</v>
      </c>
      <c r="M462">
        <v>7</v>
      </c>
      <c r="N462" t="s">
        <v>33</v>
      </c>
      <c r="O462" t="s">
        <v>49</v>
      </c>
      <c r="P462" t="s">
        <v>35</v>
      </c>
      <c r="Q462" s="2">
        <v>49181.77</v>
      </c>
      <c r="R462" s="2">
        <v>3074.49</v>
      </c>
      <c r="S462" t="s">
        <v>51</v>
      </c>
      <c r="T462" t="s">
        <v>71</v>
      </c>
      <c r="U462" t="s">
        <v>53</v>
      </c>
      <c r="V462">
        <v>3.4</v>
      </c>
      <c r="W462" t="s">
        <v>76</v>
      </c>
      <c r="X462" t="s">
        <v>65</v>
      </c>
      <c r="Y462" t="s">
        <v>72</v>
      </c>
    </row>
    <row r="463" spans="1:25" x14ac:dyDescent="0.3">
      <c r="A463" t="s">
        <v>1003</v>
      </c>
      <c r="B463" s="1">
        <v>45387</v>
      </c>
      <c r="C463" t="s">
        <v>117</v>
      </c>
      <c r="D463" t="s">
        <v>4083</v>
      </c>
      <c r="E463" t="s">
        <v>4084</v>
      </c>
      <c r="F463" t="s">
        <v>60</v>
      </c>
      <c r="G463" t="s">
        <v>29</v>
      </c>
      <c r="H463" t="s">
        <v>30</v>
      </c>
      <c r="I463">
        <v>7</v>
      </c>
      <c r="J463" t="s">
        <v>1004</v>
      </c>
      <c r="K463">
        <v>36</v>
      </c>
      <c r="L463" t="s">
        <v>32</v>
      </c>
      <c r="M463">
        <v>6</v>
      </c>
      <c r="N463" t="s">
        <v>48</v>
      </c>
      <c r="O463" t="s">
        <v>34</v>
      </c>
      <c r="P463" t="s">
        <v>35</v>
      </c>
      <c r="Q463" s="2">
        <v>21638.99</v>
      </c>
      <c r="R463" s="2">
        <v>3581.54</v>
      </c>
      <c r="S463" t="s">
        <v>36</v>
      </c>
      <c r="T463" t="s">
        <v>71</v>
      </c>
      <c r="U463" t="s">
        <v>53</v>
      </c>
      <c r="V463">
        <v>3</v>
      </c>
      <c r="W463" t="s">
        <v>76</v>
      </c>
      <c r="X463" t="s">
        <v>55</v>
      </c>
      <c r="Y463" t="s">
        <v>72</v>
      </c>
    </row>
    <row r="464" spans="1:25" x14ac:dyDescent="0.3">
      <c r="A464" t="s">
        <v>1005</v>
      </c>
      <c r="B464" s="1">
        <v>45388</v>
      </c>
      <c r="C464" t="s">
        <v>78</v>
      </c>
      <c r="D464" t="s">
        <v>58</v>
      </c>
      <c r="E464" t="s">
        <v>45</v>
      </c>
      <c r="F464" t="s">
        <v>28</v>
      </c>
      <c r="G464" t="s">
        <v>29</v>
      </c>
      <c r="H464" t="s">
        <v>67</v>
      </c>
      <c r="I464">
        <v>7</v>
      </c>
      <c r="J464" t="s">
        <v>1006</v>
      </c>
      <c r="K464">
        <v>68</v>
      </c>
      <c r="L464" t="s">
        <v>80</v>
      </c>
      <c r="M464">
        <v>6</v>
      </c>
      <c r="N464" t="s">
        <v>91</v>
      </c>
      <c r="O464" t="s">
        <v>49</v>
      </c>
      <c r="P464" t="s">
        <v>35</v>
      </c>
      <c r="Q464" s="2">
        <v>33160.9</v>
      </c>
      <c r="R464" s="2">
        <v>4410.54</v>
      </c>
      <c r="S464" t="s">
        <v>51</v>
      </c>
      <c r="T464" t="s">
        <v>71</v>
      </c>
      <c r="U464" t="s">
        <v>53</v>
      </c>
      <c r="V464">
        <v>2.2000000000000002</v>
      </c>
      <c r="W464" t="s">
        <v>76</v>
      </c>
      <c r="X464" t="s">
        <v>106</v>
      </c>
      <c r="Y464" t="s">
        <v>72</v>
      </c>
    </row>
    <row r="465" spans="1:25" x14ac:dyDescent="0.3">
      <c r="A465" t="s">
        <v>1007</v>
      </c>
      <c r="B465" s="1">
        <v>45389</v>
      </c>
      <c r="C465" t="s">
        <v>43</v>
      </c>
      <c r="D465" t="s">
        <v>58</v>
      </c>
      <c r="E465" t="s">
        <v>120</v>
      </c>
      <c r="F465" t="s">
        <v>28</v>
      </c>
      <c r="G465" t="s">
        <v>29</v>
      </c>
      <c r="H465" t="s">
        <v>86</v>
      </c>
      <c r="I465">
        <v>13</v>
      </c>
      <c r="J465" t="s">
        <v>1008</v>
      </c>
      <c r="K465">
        <v>45</v>
      </c>
      <c r="L465" t="s">
        <v>63</v>
      </c>
      <c r="M465">
        <v>4</v>
      </c>
      <c r="N465" t="s">
        <v>64</v>
      </c>
      <c r="O465" t="s">
        <v>69</v>
      </c>
      <c r="P465" t="s">
        <v>82</v>
      </c>
      <c r="Q465" s="2">
        <v>27055.8</v>
      </c>
      <c r="R465" s="2">
        <v>440.9</v>
      </c>
      <c r="S465" t="s">
        <v>115</v>
      </c>
      <c r="T465" t="s">
        <v>71</v>
      </c>
      <c r="U465" t="s">
        <v>53</v>
      </c>
      <c r="V465">
        <v>4.5</v>
      </c>
      <c r="W465" t="s">
        <v>103</v>
      </c>
      <c r="X465" t="s">
        <v>106</v>
      </c>
      <c r="Y465" t="s">
        <v>72</v>
      </c>
    </row>
    <row r="466" spans="1:25" x14ac:dyDescent="0.3">
      <c r="A466" t="s">
        <v>1009</v>
      </c>
      <c r="B466" s="1">
        <v>45390</v>
      </c>
      <c r="C466" t="s">
        <v>78</v>
      </c>
      <c r="D466" t="s">
        <v>58</v>
      </c>
      <c r="E466" t="s">
        <v>89</v>
      </c>
      <c r="F466" t="s">
        <v>28</v>
      </c>
      <c r="G466" t="s">
        <v>29</v>
      </c>
      <c r="H466" t="s">
        <v>61</v>
      </c>
      <c r="I466">
        <v>9</v>
      </c>
      <c r="J466" t="s">
        <v>1010</v>
      </c>
      <c r="K466">
        <v>40</v>
      </c>
      <c r="L466" t="s">
        <v>32</v>
      </c>
      <c r="M466">
        <v>3</v>
      </c>
      <c r="N466" t="s">
        <v>64</v>
      </c>
      <c r="O466" t="s">
        <v>34</v>
      </c>
      <c r="P466" t="s">
        <v>82</v>
      </c>
      <c r="Q466" s="2">
        <v>11427.27</v>
      </c>
      <c r="R466" s="2">
        <v>1684.3</v>
      </c>
      <c r="S466" t="s">
        <v>51</v>
      </c>
      <c r="T466" t="s">
        <v>37</v>
      </c>
      <c r="U466" t="s">
        <v>83</v>
      </c>
      <c r="V466">
        <v>4.5999999999999996</v>
      </c>
      <c r="W466" t="s">
        <v>103</v>
      </c>
      <c r="X466" t="s">
        <v>84</v>
      </c>
      <c r="Y466" t="s">
        <v>41</v>
      </c>
    </row>
    <row r="467" spans="1:25" x14ac:dyDescent="0.3">
      <c r="A467" t="s">
        <v>1011</v>
      </c>
      <c r="B467" s="1">
        <v>45391</v>
      </c>
      <c r="C467" t="s">
        <v>78</v>
      </c>
      <c r="D467" t="s">
        <v>58</v>
      </c>
      <c r="E467" t="s">
        <v>4084</v>
      </c>
      <c r="F467" t="s">
        <v>60</v>
      </c>
      <c r="G467" t="s">
        <v>29</v>
      </c>
      <c r="H467" t="s">
        <v>27</v>
      </c>
      <c r="I467">
        <v>10</v>
      </c>
      <c r="J467" t="s">
        <v>1012</v>
      </c>
      <c r="K467">
        <v>21</v>
      </c>
      <c r="L467" t="s">
        <v>63</v>
      </c>
      <c r="M467">
        <v>5</v>
      </c>
      <c r="N467" t="s">
        <v>33</v>
      </c>
      <c r="O467" t="s">
        <v>69</v>
      </c>
      <c r="P467" t="s">
        <v>50</v>
      </c>
      <c r="Q467" s="2">
        <v>7499.46</v>
      </c>
      <c r="R467" s="2">
        <v>1988.42</v>
      </c>
      <c r="S467" t="s">
        <v>94</v>
      </c>
      <c r="T467" t="s">
        <v>52</v>
      </c>
      <c r="U467" t="s">
        <v>83</v>
      </c>
      <c r="V467">
        <v>2.2000000000000002</v>
      </c>
      <c r="W467" t="s">
        <v>76</v>
      </c>
      <c r="X467" t="s">
        <v>40</v>
      </c>
      <c r="Y467" t="s">
        <v>72</v>
      </c>
    </row>
    <row r="468" spans="1:25" x14ac:dyDescent="0.3">
      <c r="A468" t="s">
        <v>1013</v>
      </c>
      <c r="B468" s="1">
        <v>45392</v>
      </c>
      <c r="C468" t="s">
        <v>78</v>
      </c>
      <c r="D468" t="s">
        <v>58</v>
      </c>
      <c r="E468" t="s">
        <v>45</v>
      </c>
      <c r="F468" t="s">
        <v>28</v>
      </c>
      <c r="G468" t="s">
        <v>29</v>
      </c>
      <c r="H468" t="s">
        <v>67</v>
      </c>
      <c r="I468">
        <v>6</v>
      </c>
      <c r="J468" t="s">
        <v>1014</v>
      </c>
      <c r="K468">
        <v>37</v>
      </c>
      <c r="L468" t="s">
        <v>63</v>
      </c>
      <c r="M468">
        <v>2</v>
      </c>
      <c r="N468" t="s">
        <v>91</v>
      </c>
      <c r="O468" t="s">
        <v>81</v>
      </c>
      <c r="P468" t="s">
        <v>70</v>
      </c>
      <c r="Q468" s="2">
        <v>33159.620000000003</v>
      </c>
      <c r="R468" s="2">
        <v>4548.55</v>
      </c>
      <c r="S468" t="s">
        <v>51</v>
      </c>
      <c r="T468" t="s">
        <v>37</v>
      </c>
      <c r="U468" t="s">
        <v>75</v>
      </c>
      <c r="V468">
        <v>1.6</v>
      </c>
      <c r="W468" t="s">
        <v>124</v>
      </c>
      <c r="X468" t="s">
        <v>40</v>
      </c>
      <c r="Y468" t="s">
        <v>72</v>
      </c>
    </row>
    <row r="469" spans="1:25" x14ac:dyDescent="0.3">
      <c r="A469" t="s">
        <v>1015</v>
      </c>
      <c r="B469" s="1">
        <v>45393</v>
      </c>
      <c r="C469" t="s">
        <v>78</v>
      </c>
      <c r="D469" t="s">
        <v>58</v>
      </c>
      <c r="E469" t="s">
        <v>89</v>
      </c>
      <c r="F469" t="s">
        <v>28</v>
      </c>
      <c r="G469" t="s">
        <v>29</v>
      </c>
      <c r="H469" t="s">
        <v>61</v>
      </c>
      <c r="I469">
        <v>9</v>
      </c>
      <c r="J469" t="s">
        <v>1016</v>
      </c>
      <c r="K469">
        <v>36</v>
      </c>
      <c r="L469" t="s">
        <v>32</v>
      </c>
      <c r="M469">
        <v>3</v>
      </c>
      <c r="N469" t="s">
        <v>91</v>
      </c>
      <c r="O469" t="s">
        <v>69</v>
      </c>
      <c r="P469" t="s">
        <v>70</v>
      </c>
      <c r="Q469" s="2">
        <v>16115.98</v>
      </c>
      <c r="R469" s="2">
        <v>4780.04</v>
      </c>
      <c r="S469" t="s">
        <v>36</v>
      </c>
      <c r="T469" t="s">
        <v>52</v>
      </c>
      <c r="U469" t="s">
        <v>53</v>
      </c>
      <c r="V469">
        <v>1.6</v>
      </c>
      <c r="W469" t="s">
        <v>124</v>
      </c>
      <c r="X469" t="s">
        <v>106</v>
      </c>
      <c r="Y469" t="s">
        <v>72</v>
      </c>
    </row>
    <row r="470" spans="1:25" x14ac:dyDescent="0.3">
      <c r="A470" t="s">
        <v>1017</v>
      </c>
      <c r="B470" s="1">
        <v>45394</v>
      </c>
      <c r="C470" t="s">
        <v>57</v>
      </c>
      <c r="D470" t="s">
        <v>44</v>
      </c>
      <c r="E470" t="s">
        <v>4085</v>
      </c>
      <c r="F470" t="s">
        <v>60</v>
      </c>
      <c r="G470" t="s">
        <v>29</v>
      </c>
      <c r="H470" t="s">
        <v>46</v>
      </c>
      <c r="I470">
        <v>6</v>
      </c>
      <c r="J470" t="s">
        <v>1018</v>
      </c>
      <c r="K470">
        <v>59</v>
      </c>
      <c r="L470" t="s">
        <v>32</v>
      </c>
      <c r="M470">
        <v>1</v>
      </c>
      <c r="N470" t="s">
        <v>33</v>
      </c>
      <c r="O470" t="s">
        <v>69</v>
      </c>
      <c r="P470" t="s">
        <v>35</v>
      </c>
      <c r="Q470" s="2">
        <v>15964.43</v>
      </c>
      <c r="R470" s="2">
        <v>601.9</v>
      </c>
      <c r="S470" t="s">
        <v>115</v>
      </c>
      <c r="T470" t="s">
        <v>71</v>
      </c>
      <c r="U470" t="s">
        <v>83</v>
      </c>
      <c r="V470">
        <v>2.9</v>
      </c>
      <c r="W470" t="s">
        <v>76</v>
      </c>
      <c r="X470" t="s">
        <v>40</v>
      </c>
      <c r="Y470" t="s">
        <v>41</v>
      </c>
    </row>
    <row r="471" spans="1:25" x14ac:dyDescent="0.3">
      <c r="A471" t="s">
        <v>1019</v>
      </c>
      <c r="B471" s="1">
        <v>45395</v>
      </c>
      <c r="C471" t="s">
        <v>117</v>
      </c>
      <c r="D471" t="s">
        <v>4083</v>
      </c>
      <c r="E471" t="s">
        <v>89</v>
      </c>
      <c r="F471" t="s">
        <v>28</v>
      </c>
      <c r="G471" t="s">
        <v>29</v>
      </c>
      <c r="H471" t="s">
        <v>61</v>
      </c>
      <c r="I471">
        <v>5</v>
      </c>
      <c r="J471" t="s">
        <v>1020</v>
      </c>
      <c r="K471">
        <v>44</v>
      </c>
      <c r="L471" t="s">
        <v>32</v>
      </c>
      <c r="M471">
        <v>4</v>
      </c>
      <c r="N471" t="s">
        <v>48</v>
      </c>
      <c r="O471" t="s">
        <v>69</v>
      </c>
      <c r="P471" t="s">
        <v>82</v>
      </c>
      <c r="Q471" s="2">
        <v>48063.93</v>
      </c>
      <c r="R471" s="2">
        <v>595.54</v>
      </c>
      <c r="S471" t="s">
        <v>115</v>
      </c>
      <c r="T471" t="s">
        <v>52</v>
      </c>
      <c r="U471" t="s">
        <v>38</v>
      </c>
      <c r="V471">
        <v>1.5</v>
      </c>
      <c r="W471" t="s">
        <v>124</v>
      </c>
      <c r="X471" t="s">
        <v>106</v>
      </c>
      <c r="Y471" t="s">
        <v>72</v>
      </c>
    </row>
    <row r="472" spans="1:25" x14ac:dyDescent="0.3">
      <c r="A472" t="s">
        <v>1021</v>
      </c>
      <c r="B472" s="1">
        <v>45396</v>
      </c>
      <c r="C472" t="s">
        <v>26</v>
      </c>
      <c r="D472" t="s">
        <v>26</v>
      </c>
      <c r="E472" t="s">
        <v>120</v>
      </c>
      <c r="F472" t="s">
        <v>28</v>
      </c>
      <c r="G472" t="s">
        <v>29</v>
      </c>
      <c r="H472" t="s">
        <v>86</v>
      </c>
      <c r="I472">
        <v>8</v>
      </c>
      <c r="J472" t="s">
        <v>1022</v>
      </c>
      <c r="K472">
        <v>51</v>
      </c>
      <c r="L472" t="s">
        <v>80</v>
      </c>
      <c r="M472">
        <v>7</v>
      </c>
      <c r="N472" t="s">
        <v>91</v>
      </c>
      <c r="O472" t="s">
        <v>69</v>
      </c>
      <c r="P472" t="s">
        <v>70</v>
      </c>
      <c r="Q472" s="2">
        <v>25779.8</v>
      </c>
      <c r="R472" s="2">
        <v>4674.3100000000004</v>
      </c>
      <c r="S472" t="s">
        <v>51</v>
      </c>
      <c r="T472" t="s">
        <v>71</v>
      </c>
      <c r="U472" t="s">
        <v>75</v>
      </c>
      <c r="V472">
        <v>2.9</v>
      </c>
      <c r="W472" t="s">
        <v>76</v>
      </c>
      <c r="X472" t="s">
        <v>65</v>
      </c>
      <c r="Y472" t="s">
        <v>72</v>
      </c>
    </row>
    <row r="473" spans="1:25" x14ac:dyDescent="0.3">
      <c r="A473" t="s">
        <v>1023</v>
      </c>
      <c r="B473" s="1">
        <v>45397</v>
      </c>
      <c r="C473" t="s">
        <v>78</v>
      </c>
      <c r="D473" t="s">
        <v>58</v>
      </c>
      <c r="E473" t="s">
        <v>89</v>
      </c>
      <c r="F473" t="s">
        <v>28</v>
      </c>
      <c r="G473" t="s">
        <v>29</v>
      </c>
      <c r="H473" t="s">
        <v>61</v>
      </c>
      <c r="I473">
        <v>6</v>
      </c>
      <c r="J473" t="s">
        <v>1024</v>
      </c>
      <c r="K473">
        <v>21</v>
      </c>
      <c r="L473" t="s">
        <v>80</v>
      </c>
      <c r="M473">
        <v>7</v>
      </c>
      <c r="N473" t="s">
        <v>33</v>
      </c>
      <c r="O473" t="s">
        <v>81</v>
      </c>
      <c r="P473" t="s">
        <v>50</v>
      </c>
      <c r="Q473" s="2">
        <v>6324.17</v>
      </c>
      <c r="R473" s="2">
        <v>1478.86</v>
      </c>
      <c r="S473" t="s">
        <v>51</v>
      </c>
      <c r="T473" t="s">
        <v>71</v>
      </c>
      <c r="U473" t="s">
        <v>75</v>
      </c>
      <c r="V473">
        <v>2.8</v>
      </c>
      <c r="W473" t="s">
        <v>76</v>
      </c>
      <c r="X473" t="s">
        <v>40</v>
      </c>
      <c r="Y473" t="s">
        <v>41</v>
      </c>
    </row>
    <row r="474" spans="1:25" x14ac:dyDescent="0.3">
      <c r="A474" t="s">
        <v>1025</v>
      </c>
      <c r="B474" s="1">
        <v>45398</v>
      </c>
      <c r="C474" t="s">
        <v>43</v>
      </c>
      <c r="D474" t="s">
        <v>58</v>
      </c>
      <c r="E474" t="s">
        <v>45</v>
      </c>
      <c r="F474" t="s">
        <v>28</v>
      </c>
      <c r="G474" t="s">
        <v>29</v>
      </c>
      <c r="H474" t="s">
        <v>67</v>
      </c>
      <c r="I474">
        <v>5</v>
      </c>
      <c r="J474" t="s">
        <v>1026</v>
      </c>
      <c r="K474">
        <v>55</v>
      </c>
      <c r="L474" t="s">
        <v>63</v>
      </c>
      <c r="M474">
        <v>7</v>
      </c>
      <c r="N474" t="s">
        <v>91</v>
      </c>
      <c r="O474" t="s">
        <v>34</v>
      </c>
      <c r="P474" t="s">
        <v>70</v>
      </c>
      <c r="Q474" s="2">
        <v>20292.919999999998</v>
      </c>
      <c r="R474" s="2">
        <v>1209.07</v>
      </c>
      <c r="S474" t="s">
        <v>51</v>
      </c>
      <c r="T474" t="s">
        <v>37</v>
      </c>
      <c r="U474" t="s">
        <v>75</v>
      </c>
      <c r="V474">
        <v>4.5</v>
      </c>
      <c r="W474" t="s">
        <v>103</v>
      </c>
      <c r="X474" t="s">
        <v>40</v>
      </c>
      <c r="Y474" t="s">
        <v>72</v>
      </c>
    </row>
    <row r="475" spans="1:25" x14ac:dyDescent="0.3">
      <c r="A475" t="s">
        <v>1027</v>
      </c>
      <c r="B475" s="1">
        <v>45399</v>
      </c>
      <c r="C475" t="s">
        <v>78</v>
      </c>
      <c r="D475" t="s">
        <v>58</v>
      </c>
      <c r="E475" t="s">
        <v>45</v>
      </c>
      <c r="F475" t="s">
        <v>28</v>
      </c>
      <c r="G475" t="s">
        <v>29</v>
      </c>
      <c r="H475" t="s">
        <v>67</v>
      </c>
      <c r="I475">
        <v>11</v>
      </c>
      <c r="J475" t="s">
        <v>1028</v>
      </c>
      <c r="K475">
        <v>24</v>
      </c>
      <c r="L475" t="s">
        <v>32</v>
      </c>
      <c r="M475">
        <v>5</v>
      </c>
      <c r="N475" t="s">
        <v>33</v>
      </c>
      <c r="O475" t="s">
        <v>69</v>
      </c>
      <c r="P475" t="s">
        <v>35</v>
      </c>
      <c r="Q475" s="2">
        <v>31302.12</v>
      </c>
      <c r="R475" s="2">
        <v>178.11</v>
      </c>
      <c r="S475" t="s">
        <v>51</v>
      </c>
      <c r="T475" t="s">
        <v>37</v>
      </c>
      <c r="U475" t="s">
        <v>38</v>
      </c>
      <c r="V475">
        <v>2.2000000000000002</v>
      </c>
      <c r="W475" t="s">
        <v>76</v>
      </c>
      <c r="X475" t="s">
        <v>106</v>
      </c>
      <c r="Y475" t="s">
        <v>41</v>
      </c>
    </row>
    <row r="476" spans="1:25" x14ac:dyDescent="0.3">
      <c r="A476" t="s">
        <v>1029</v>
      </c>
      <c r="B476" s="1">
        <v>45400</v>
      </c>
      <c r="C476" t="s">
        <v>43</v>
      </c>
      <c r="D476" t="s">
        <v>58</v>
      </c>
      <c r="E476" t="s">
        <v>89</v>
      </c>
      <c r="F476" t="s">
        <v>28</v>
      </c>
      <c r="G476" t="s">
        <v>29</v>
      </c>
      <c r="H476" t="s">
        <v>61</v>
      </c>
      <c r="I476">
        <v>7</v>
      </c>
      <c r="J476" t="s">
        <v>1030</v>
      </c>
      <c r="K476">
        <v>65</v>
      </c>
      <c r="L476" t="s">
        <v>63</v>
      </c>
      <c r="M476">
        <v>6</v>
      </c>
      <c r="N476" t="s">
        <v>64</v>
      </c>
      <c r="O476" t="s">
        <v>34</v>
      </c>
      <c r="P476" t="s">
        <v>35</v>
      </c>
      <c r="Q476" s="2">
        <v>19785.53</v>
      </c>
      <c r="R476" s="2">
        <v>1377.98</v>
      </c>
      <c r="S476" t="s">
        <v>36</v>
      </c>
      <c r="T476" t="s">
        <v>37</v>
      </c>
      <c r="U476" t="s">
        <v>38</v>
      </c>
      <c r="V476">
        <v>3.2</v>
      </c>
      <c r="W476" t="s">
        <v>76</v>
      </c>
      <c r="X476" t="s">
        <v>106</v>
      </c>
      <c r="Y476" t="s">
        <v>72</v>
      </c>
    </row>
    <row r="477" spans="1:25" x14ac:dyDescent="0.3">
      <c r="A477" t="s">
        <v>1031</v>
      </c>
      <c r="B477" s="1">
        <v>45401</v>
      </c>
      <c r="C477" t="s">
        <v>57</v>
      </c>
      <c r="D477" t="s">
        <v>44</v>
      </c>
      <c r="E477" t="s">
        <v>45</v>
      </c>
      <c r="F477" t="s">
        <v>28</v>
      </c>
      <c r="G477" t="s">
        <v>29</v>
      </c>
      <c r="H477" t="s">
        <v>67</v>
      </c>
      <c r="I477">
        <v>9</v>
      </c>
      <c r="J477" t="s">
        <v>1032</v>
      </c>
      <c r="K477">
        <v>24</v>
      </c>
      <c r="L477" t="s">
        <v>63</v>
      </c>
      <c r="M477">
        <v>2</v>
      </c>
      <c r="N477" t="s">
        <v>64</v>
      </c>
      <c r="O477" t="s">
        <v>49</v>
      </c>
      <c r="P477" t="s">
        <v>82</v>
      </c>
      <c r="Q477" s="2">
        <v>6208.34</v>
      </c>
      <c r="R477" s="2">
        <v>3467.63</v>
      </c>
      <c r="S477" t="s">
        <v>36</v>
      </c>
      <c r="T477" t="s">
        <v>52</v>
      </c>
      <c r="U477" t="s">
        <v>38</v>
      </c>
      <c r="V477">
        <v>4</v>
      </c>
      <c r="W477" t="s">
        <v>54</v>
      </c>
      <c r="X477" t="s">
        <v>84</v>
      </c>
      <c r="Y477" t="s">
        <v>41</v>
      </c>
    </row>
    <row r="478" spans="1:25" x14ac:dyDescent="0.3">
      <c r="A478" t="s">
        <v>1033</v>
      </c>
      <c r="B478" s="1">
        <v>45402</v>
      </c>
      <c r="C478" t="s">
        <v>43</v>
      </c>
      <c r="D478" t="s">
        <v>58</v>
      </c>
      <c r="E478" t="s">
        <v>4085</v>
      </c>
      <c r="F478" t="s">
        <v>60</v>
      </c>
      <c r="G478" t="s">
        <v>29</v>
      </c>
      <c r="H478" t="s">
        <v>46</v>
      </c>
      <c r="I478">
        <v>14</v>
      </c>
      <c r="J478" t="s">
        <v>1034</v>
      </c>
      <c r="K478">
        <v>67</v>
      </c>
      <c r="L478" t="s">
        <v>63</v>
      </c>
      <c r="M478">
        <v>7</v>
      </c>
      <c r="N478" t="s">
        <v>91</v>
      </c>
      <c r="O478" t="s">
        <v>69</v>
      </c>
      <c r="P478" t="s">
        <v>50</v>
      </c>
      <c r="Q478" s="2">
        <v>24994.01</v>
      </c>
      <c r="R478" s="2">
        <v>2130.1799999999998</v>
      </c>
      <c r="S478" t="s">
        <v>115</v>
      </c>
      <c r="T478" t="s">
        <v>52</v>
      </c>
      <c r="U478" t="s">
        <v>83</v>
      </c>
      <c r="V478">
        <v>3.4</v>
      </c>
      <c r="W478" t="s">
        <v>76</v>
      </c>
      <c r="X478" t="s">
        <v>40</v>
      </c>
      <c r="Y478" t="s">
        <v>72</v>
      </c>
    </row>
    <row r="479" spans="1:25" x14ac:dyDescent="0.3">
      <c r="A479" t="s">
        <v>1035</v>
      </c>
      <c r="B479" s="1">
        <v>45403</v>
      </c>
      <c r="C479" t="s">
        <v>26</v>
      </c>
      <c r="D479" t="s">
        <v>26</v>
      </c>
      <c r="E479" t="s">
        <v>89</v>
      </c>
      <c r="F479" t="s">
        <v>28</v>
      </c>
      <c r="G479" t="s">
        <v>29</v>
      </c>
      <c r="H479" t="s">
        <v>61</v>
      </c>
      <c r="I479">
        <v>8</v>
      </c>
      <c r="J479" t="s">
        <v>1036</v>
      </c>
      <c r="K479">
        <v>69</v>
      </c>
      <c r="L479" t="s">
        <v>63</v>
      </c>
      <c r="M479">
        <v>7</v>
      </c>
      <c r="N479" t="s">
        <v>91</v>
      </c>
      <c r="O479" t="s">
        <v>69</v>
      </c>
      <c r="P479" t="s">
        <v>50</v>
      </c>
      <c r="Q479" s="2">
        <v>9765.7900000000009</v>
      </c>
      <c r="R479" s="2">
        <v>2584.35</v>
      </c>
      <c r="S479" t="s">
        <v>51</v>
      </c>
      <c r="T479" t="s">
        <v>37</v>
      </c>
      <c r="U479" t="s">
        <v>38</v>
      </c>
      <c r="V479">
        <v>4.8</v>
      </c>
      <c r="W479" t="s">
        <v>103</v>
      </c>
      <c r="X479" t="s">
        <v>55</v>
      </c>
      <c r="Y479" t="s">
        <v>41</v>
      </c>
    </row>
    <row r="480" spans="1:25" x14ac:dyDescent="0.3">
      <c r="A480" t="s">
        <v>1037</v>
      </c>
      <c r="B480" s="1">
        <v>45404</v>
      </c>
      <c r="C480" t="s">
        <v>117</v>
      </c>
      <c r="D480" t="s">
        <v>4083</v>
      </c>
      <c r="E480" t="s">
        <v>4085</v>
      </c>
      <c r="F480" t="s">
        <v>60</v>
      </c>
      <c r="G480" t="s">
        <v>29</v>
      </c>
      <c r="H480" t="s">
        <v>46</v>
      </c>
      <c r="I480">
        <v>12</v>
      </c>
      <c r="J480" t="s">
        <v>1038</v>
      </c>
      <c r="K480">
        <v>43</v>
      </c>
      <c r="L480" t="s">
        <v>63</v>
      </c>
      <c r="M480">
        <v>1</v>
      </c>
      <c r="N480" t="s">
        <v>64</v>
      </c>
      <c r="O480" t="s">
        <v>49</v>
      </c>
      <c r="P480" t="s">
        <v>70</v>
      </c>
      <c r="Q480" s="2">
        <v>32862.199999999997</v>
      </c>
      <c r="R480" s="2">
        <v>4586.4799999999996</v>
      </c>
      <c r="S480" t="s">
        <v>36</v>
      </c>
      <c r="T480" t="s">
        <v>37</v>
      </c>
      <c r="U480" t="s">
        <v>75</v>
      </c>
      <c r="V480">
        <v>3.4</v>
      </c>
      <c r="W480" t="s">
        <v>76</v>
      </c>
      <c r="X480" t="s">
        <v>106</v>
      </c>
      <c r="Y480" t="s">
        <v>41</v>
      </c>
    </row>
    <row r="481" spans="1:25" x14ac:dyDescent="0.3">
      <c r="A481" t="s">
        <v>1039</v>
      </c>
      <c r="B481" s="1">
        <v>45405</v>
      </c>
      <c r="C481" t="s">
        <v>43</v>
      </c>
      <c r="D481" t="s">
        <v>58</v>
      </c>
      <c r="E481" t="s">
        <v>4085</v>
      </c>
      <c r="F481" t="s">
        <v>60</v>
      </c>
      <c r="G481" t="s">
        <v>29</v>
      </c>
      <c r="H481" t="s">
        <v>46</v>
      </c>
      <c r="I481">
        <v>7</v>
      </c>
      <c r="J481" t="s">
        <v>1040</v>
      </c>
      <c r="K481">
        <v>43</v>
      </c>
      <c r="L481" t="s">
        <v>32</v>
      </c>
      <c r="M481">
        <v>3</v>
      </c>
      <c r="N481" t="s">
        <v>48</v>
      </c>
      <c r="O481" t="s">
        <v>34</v>
      </c>
      <c r="P481" t="s">
        <v>50</v>
      </c>
      <c r="Q481" s="2">
        <v>32881.42</v>
      </c>
      <c r="R481" s="2">
        <v>573.45000000000005</v>
      </c>
      <c r="S481" t="s">
        <v>36</v>
      </c>
      <c r="T481" t="s">
        <v>71</v>
      </c>
      <c r="U481" t="s">
        <v>53</v>
      </c>
      <c r="V481">
        <v>4.5999999999999996</v>
      </c>
      <c r="W481" t="s">
        <v>103</v>
      </c>
      <c r="X481" t="s">
        <v>55</v>
      </c>
      <c r="Y481" t="s">
        <v>72</v>
      </c>
    </row>
    <row r="482" spans="1:25" x14ac:dyDescent="0.3">
      <c r="A482" t="s">
        <v>1041</v>
      </c>
      <c r="B482" s="1">
        <v>45406</v>
      </c>
      <c r="C482" t="s">
        <v>43</v>
      </c>
      <c r="D482" t="s">
        <v>58</v>
      </c>
      <c r="E482" t="s">
        <v>4084</v>
      </c>
      <c r="F482" t="s">
        <v>60</v>
      </c>
      <c r="G482" t="s">
        <v>29</v>
      </c>
      <c r="H482" t="s">
        <v>30</v>
      </c>
      <c r="I482">
        <v>9</v>
      </c>
      <c r="J482" t="s">
        <v>1042</v>
      </c>
      <c r="K482">
        <v>36</v>
      </c>
      <c r="L482" t="s">
        <v>80</v>
      </c>
      <c r="M482">
        <v>7</v>
      </c>
      <c r="N482" t="s">
        <v>33</v>
      </c>
      <c r="O482" t="s">
        <v>81</v>
      </c>
      <c r="P482" t="s">
        <v>70</v>
      </c>
      <c r="Q482" s="2">
        <v>6699.16</v>
      </c>
      <c r="R482" s="2">
        <v>356.2</v>
      </c>
      <c r="S482" t="s">
        <v>115</v>
      </c>
      <c r="T482" t="s">
        <v>52</v>
      </c>
      <c r="U482" t="s">
        <v>75</v>
      </c>
      <c r="V482">
        <v>2</v>
      </c>
      <c r="W482" t="s">
        <v>76</v>
      </c>
      <c r="X482" t="s">
        <v>65</v>
      </c>
      <c r="Y482" t="s">
        <v>72</v>
      </c>
    </row>
    <row r="483" spans="1:25" x14ac:dyDescent="0.3">
      <c r="A483" t="s">
        <v>1043</v>
      </c>
      <c r="B483" s="1">
        <v>45407</v>
      </c>
      <c r="C483" t="s">
        <v>117</v>
      </c>
      <c r="D483" t="s">
        <v>4083</v>
      </c>
      <c r="E483" t="s">
        <v>89</v>
      </c>
      <c r="F483" t="s">
        <v>28</v>
      </c>
      <c r="G483" t="s">
        <v>29</v>
      </c>
      <c r="H483" t="s">
        <v>61</v>
      </c>
      <c r="I483">
        <v>13</v>
      </c>
      <c r="J483" t="s">
        <v>1044</v>
      </c>
      <c r="K483">
        <v>26</v>
      </c>
      <c r="L483" t="s">
        <v>32</v>
      </c>
      <c r="M483">
        <v>4</v>
      </c>
      <c r="N483" t="s">
        <v>48</v>
      </c>
      <c r="O483" t="s">
        <v>69</v>
      </c>
      <c r="P483" t="s">
        <v>70</v>
      </c>
      <c r="Q483" s="2">
        <v>18079.98</v>
      </c>
      <c r="R483" s="2">
        <v>4259.6499999999996</v>
      </c>
      <c r="S483" t="s">
        <v>115</v>
      </c>
      <c r="T483" t="s">
        <v>71</v>
      </c>
      <c r="U483" t="s">
        <v>75</v>
      </c>
      <c r="V483">
        <v>3.2</v>
      </c>
      <c r="W483" t="s">
        <v>76</v>
      </c>
      <c r="X483" t="s">
        <v>65</v>
      </c>
      <c r="Y483" t="s">
        <v>41</v>
      </c>
    </row>
    <row r="484" spans="1:25" x14ac:dyDescent="0.3">
      <c r="A484" t="s">
        <v>1045</v>
      </c>
      <c r="B484" s="1">
        <v>45408</v>
      </c>
      <c r="C484" t="s">
        <v>26</v>
      </c>
      <c r="D484" t="s">
        <v>26</v>
      </c>
      <c r="E484" t="s">
        <v>45</v>
      </c>
      <c r="F484" t="s">
        <v>28</v>
      </c>
      <c r="G484" t="s">
        <v>29</v>
      </c>
      <c r="H484" t="s">
        <v>67</v>
      </c>
      <c r="I484">
        <v>8</v>
      </c>
      <c r="J484" t="s">
        <v>1046</v>
      </c>
      <c r="K484">
        <v>37</v>
      </c>
      <c r="L484" t="s">
        <v>32</v>
      </c>
      <c r="M484">
        <v>3</v>
      </c>
      <c r="N484" t="s">
        <v>48</v>
      </c>
      <c r="O484" t="s">
        <v>49</v>
      </c>
      <c r="P484" t="s">
        <v>82</v>
      </c>
      <c r="Q484" s="2">
        <v>23615.88</v>
      </c>
      <c r="R484" s="2">
        <v>3874.28</v>
      </c>
      <c r="S484" t="s">
        <v>94</v>
      </c>
      <c r="T484" t="s">
        <v>52</v>
      </c>
      <c r="U484" t="s">
        <v>83</v>
      </c>
      <c r="V484">
        <v>3.2</v>
      </c>
      <c r="W484" t="s">
        <v>76</v>
      </c>
      <c r="X484" t="s">
        <v>55</v>
      </c>
      <c r="Y484" t="s">
        <v>72</v>
      </c>
    </row>
    <row r="485" spans="1:25" x14ac:dyDescent="0.3">
      <c r="A485" t="s">
        <v>1047</v>
      </c>
      <c r="B485" s="1">
        <v>45409</v>
      </c>
      <c r="C485" t="s">
        <v>78</v>
      </c>
      <c r="D485" t="s">
        <v>58</v>
      </c>
      <c r="E485" t="s">
        <v>4085</v>
      </c>
      <c r="F485" t="s">
        <v>60</v>
      </c>
      <c r="G485" t="s">
        <v>29</v>
      </c>
      <c r="H485" t="s">
        <v>46</v>
      </c>
      <c r="I485">
        <v>12</v>
      </c>
      <c r="J485" t="s">
        <v>1048</v>
      </c>
      <c r="K485">
        <v>59</v>
      </c>
      <c r="L485" t="s">
        <v>32</v>
      </c>
      <c r="M485">
        <v>6</v>
      </c>
      <c r="N485" t="s">
        <v>48</v>
      </c>
      <c r="O485" t="s">
        <v>49</v>
      </c>
      <c r="P485" t="s">
        <v>50</v>
      </c>
      <c r="Q485" s="2">
        <v>29761.88</v>
      </c>
      <c r="R485" s="2">
        <v>1318.67</v>
      </c>
      <c r="S485" t="s">
        <v>36</v>
      </c>
      <c r="T485" t="s">
        <v>37</v>
      </c>
      <c r="U485" t="s">
        <v>75</v>
      </c>
      <c r="V485">
        <v>5</v>
      </c>
      <c r="W485" t="s">
        <v>103</v>
      </c>
      <c r="X485" t="s">
        <v>65</v>
      </c>
      <c r="Y485" t="s">
        <v>72</v>
      </c>
    </row>
    <row r="486" spans="1:25" x14ac:dyDescent="0.3">
      <c r="A486" t="s">
        <v>1049</v>
      </c>
      <c r="B486" s="1">
        <v>45410</v>
      </c>
      <c r="C486" t="s">
        <v>43</v>
      </c>
      <c r="D486" t="s">
        <v>58</v>
      </c>
      <c r="E486" t="s">
        <v>4084</v>
      </c>
      <c r="F486" t="s">
        <v>60</v>
      </c>
      <c r="G486" t="s">
        <v>29</v>
      </c>
      <c r="H486" t="s">
        <v>30</v>
      </c>
      <c r="I486">
        <v>4</v>
      </c>
      <c r="J486" t="s">
        <v>1050</v>
      </c>
      <c r="K486">
        <v>62</v>
      </c>
      <c r="L486" t="s">
        <v>80</v>
      </c>
      <c r="M486">
        <v>3</v>
      </c>
      <c r="N486" t="s">
        <v>64</v>
      </c>
      <c r="O486" t="s">
        <v>69</v>
      </c>
      <c r="P486" t="s">
        <v>35</v>
      </c>
      <c r="Q486" s="2">
        <v>18322.849999999999</v>
      </c>
      <c r="R486" s="2">
        <v>1621.17</v>
      </c>
      <c r="S486" t="s">
        <v>115</v>
      </c>
      <c r="T486" t="s">
        <v>52</v>
      </c>
      <c r="U486" t="s">
        <v>83</v>
      </c>
      <c r="V486">
        <v>1.8</v>
      </c>
      <c r="W486" t="s">
        <v>124</v>
      </c>
      <c r="X486" t="s">
        <v>55</v>
      </c>
      <c r="Y486" t="s">
        <v>41</v>
      </c>
    </row>
    <row r="487" spans="1:25" x14ac:dyDescent="0.3">
      <c r="A487" t="s">
        <v>1051</v>
      </c>
      <c r="B487" s="1">
        <v>45411</v>
      </c>
      <c r="C487" t="s">
        <v>117</v>
      </c>
      <c r="D487" t="s">
        <v>4083</v>
      </c>
      <c r="E487" t="s">
        <v>89</v>
      </c>
      <c r="F487" t="s">
        <v>28</v>
      </c>
      <c r="G487" t="s">
        <v>29</v>
      </c>
      <c r="H487" t="s">
        <v>61</v>
      </c>
      <c r="I487">
        <v>5</v>
      </c>
      <c r="J487" t="s">
        <v>1052</v>
      </c>
      <c r="K487">
        <v>67</v>
      </c>
      <c r="L487" t="s">
        <v>80</v>
      </c>
      <c r="M487">
        <v>2</v>
      </c>
      <c r="N487" t="s">
        <v>91</v>
      </c>
      <c r="O487" t="s">
        <v>34</v>
      </c>
      <c r="P487" t="s">
        <v>70</v>
      </c>
      <c r="Q487" s="2">
        <v>17948.59</v>
      </c>
      <c r="R487" s="2">
        <v>1551.39</v>
      </c>
      <c r="S487" t="s">
        <v>36</v>
      </c>
      <c r="T487" t="s">
        <v>52</v>
      </c>
      <c r="U487" t="s">
        <v>83</v>
      </c>
      <c r="V487">
        <v>1.6</v>
      </c>
      <c r="W487" t="s">
        <v>124</v>
      </c>
      <c r="X487" t="s">
        <v>84</v>
      </c>
      <c r="Y487" t="s">
        <v>41</v>
      </c>
    </row>
    <row r="488" spans="1:25" x14ac:dyDescent="0.3">
      <c r="A488" t="s">
        <v>1053</v>
      </c>
      <c r="B488" s="1">
        <v>45412</v>
      </c>
      <c r="C488" t="s">
        <v>57</v>
      </c>
      <c r="D488" t="s">
        <v>44</v>
      </c>
      <c r="E488" t="s">
        <v>89</v>
      </c>
      <c r="F488" t="s">
        <v>28</v>
      </c>
      <c r="G488" t="s">
        <v>29</v>
      </c>
      <c r="H488" t="s">
        <v>61</v>
      </c>
      <c r="I488">
        <v>4</v>
      </c>
      <c r="J488" t="s">
        <v>1054</v>
      </c>
      <c r="K488">
        <v>33</v>
      </c>
      <c r="L488" t="s">
        <v>80</v>
      </c>
      <c r="M488">
        <v>1</v>
      </c>
      <c r="N488" t="s">
        <v>48</v>
      </c>
      <c r="O488" t="s">
        <v>34</v>
      </c>
      <c r="P488" t="s">
        <v>70</v>
      </c>
      <c r="Q488" s="2">
        <v>49235.68</v>
      </c>
      <c r="R488" s="2">
        <v>3239.04</v>
      </c>
      <c r="S488" t="s">
        <v>36</v>
      </c>
      <c r="T488" t="s">
        <v>71</v>
      </c>
      <c r="U488" t="s">
        <v>53</v>
      </c>
      <c r="V488">
        <v>3.4</v>
      </c>
      <c r="W488" t="s">
        <v>76</v>
      </c>
      <c r="X488" t="s">
        <v>84</v>
      </c>
      <c r="Y488" t="s">
        <v>72</v>
      </c>
    </row>
    <row r="489" spans="1:25" x14ac:dyDescent="0.3">
      <c r="A489" t="s">
        <v>1055</v>
      </c>
      <c r="B489" s="1">
        <v>45413</v>
      </c>
      <c r="C489" t="s">
        <v>117</v>
      </c>
      <c r="D489" t="s">
        <v>4083</v>
      </c>
      <c r="E489" t="s">
        <v>120</v>
      </c>
      <c r="F489" t="s">
        <v>28</v>
      </c>
      <c r="G489" t="s">
        <v>29</v>
      </c>
      <c r="H489" t="s">
        <v>86</v>
      </c>
      <c r="I489">
        <v>14</v>
      </c>
      <c r="J489" t="s">
        <v>1056</v>
      </c>
      <c r="K489">
        <v>34</v>
      </c>
      <c r="L489" t="s">
        <v>32</v>
      </c>
      <c r="M489">
        <v>5</v>
      </c>
      <c r="N489" t="s">
        <v>64</v>
      </c>
      <c r="O489" t="s">
        <v>69</v>
      </c>
      <c r="P489" t="s">
        <v>70</v>
      </c>
      <c r="Q489" s="2">
        <v>6883.83</v>
      </c>
      <c r="R489" s="2">
        <v>306.06</v>
      </c>
      <c r="S489" t="s">
        <v>51</v>
      </c>
      <c r="T489" t="s">
        <v>37</v>
      </c>
      <c r="U489" t="s">
        <v>75</v>
      </c>
      <c r="V489">
        <v>1.9</v>
      </c>
      <c r="W489" t="s">
        <v>124</v>
      </c>
      <c r="X489" t="s">
        <v>65</v>
      </c>
      <c r="Y489" t="s">
        <v>72</v>
      </c>
    </row>
    <row r="490" spans="1:25" x14ac:dyDescent="0.3">
      <c r="A490" t="s">
        <v>1057</v>
      </c>
      <c r="B490" s="1">
        <v>45414</v>
      </c>
      <c r="C490" t="s">
        <v>57</v>
      </c>
      <c r="D490" t="s">
        <v>44</v>
      </c>
      <c r="E490" t="s">
        <v>120</v>
      </c>
      <c r="F490" t="s">
        <v>28</v>
      </c>
      <c r="G490" t="s">
        <v>29</v>
      </c>
      <c r="H490" t="s">
        <v>86</v>
      </c>
      <c r="I490">
        <v>5</v>
      </c>
      <c r="J490" t="s">
        <v>1058</v>
      </c>
      <c r="K490">
        <v>39</v>
      </c>
      <c r="L490" t="s">
        <v>80</v>
      </c>
      <c r="M490">
        <v>2</v>
      </c>
      <c r="N490" t="s">
        <v>33</v>
      </c>
      <c r="O490" t="s">
        <v>49</v>
      </c>
      <c r="P490" t="s">
        <v>50</v>
      </c>
      <c r="Q490" s="2">
        <v>49507.040000000001</v>
      </c>
      <c r="R490" s="2">
        <v>2447.0100000000002</v>
      </c>
      <c r="S490" t="s">
        <v>51</v>
      </c>
      <c r="T490" t="s">
        <v>37</v>
      </c>
      <c r="U490" t="s">
        <v>53</v>
      </c>
      <c r="V490">
        <v>3.6</v>
      </c>
      <c r="W490" t="s">
        <v>54</v>
      </c>
      <c r="X490" t="s">
        <v>55</v>
      </c>
      <c r="Y490" t="s">
        <v>72</v>
      </c>
    </row>
    <row r="491" spans="1:25" x14ac:dyDescent="0.3">
      <c r="A491" t="s">
        <v>1059</v>
      </c>
      <c r="B491" s="1">
        <v>45415</v>
      </c>
      <c r="C491" t="s">
        <v>26</v>
      </c>
      <c r="D491" t="s">
        <v>26</v>
      </c>
      <c r="E491" t="s">
        <v>4085</v>
      </c>
      <c r="F491" t="s">
        <v>60</v>
      </c>
      <c r="G491" t="s">
        <v>29</v>
      </c>
      <c r="H491" t="s">
        <v>59</v>
      </c>
      <c r="I491">
        <v>3</v>
      </c>
      <c r="J491" t="s">
        <v>1060</v>
      </c>
      <c r="K491">
        <v>30</v>
      </c>
      <c r="L491" t="s">
        <v>63</v>
      </c>
      <c r="M491">
        <v>6</v>
      </c>
      <c r="N491" t="s">
        <v>91</v>
      </c>
      <c r="O491" t="s">
        <v>69</v>
      </c>
      <c r="P491" t="s">
        <v>50</v>
      </c>
      <c r="Q491" s="2">
        <v>7148.84</v>
      </c>
      <c r="R491" s="2">
        <v>669.36</v>
      </c>
      <c r="S491" t="s">
        <v>51</v>
      </c>
      <c r="T491" t="s">
        <v>37</v>
      </c>
      <c r="U491" t="s">
        <v>53</v>
      </c>
      <c r="V491">
        <v>4.9000000000000004</v>
      </c>
      <c r="W491" t="s">
        <v>103</v>
      </c>
      <c r="X491" t="s">
        <v>55</v>
      </c>
      <c r="Y491" t="s">
        <v>72</v>
      </c>
    </row>
    <row r="492" spans="1:25" x14ac:dyDescent="0.3">
      <c r="A492" t="s">
        <v>1061</v>
      </c>
      <c r="B492" s="1">
        <v>45416</v>
      </c>
      <c r="C492" t="s">
        <v>78</v>
      </c>
      <c r="D492" t="s">
        <v>58</v>
      </c>
      <c r="E492" t="s">
        <v>120</v>
      </c>
      <c r="F492" t="s">
        <v>28</v>
      </c>
      <c r="G492" t="s">
        <v>29</v>
      </c>
      <c r="H492" t="s">
        <v>86</v>
      </c>
      <c r="I492">
        <v>10</v>
      </c>
      <c r="J492" t="s">
        <v>1062</v>
      </c>
      <c r="K492">
        <v>29</v>
      </c>
      <c r="L492" t="s">
        <v>80</v>
      </c>
      <c r="M492">
        <v>4</v>
      </c>
      <c r="N492" t="s">
        <v>33</v>
      </c>
      <c r="O492" t="s">
        <v>81</v>
      </c>
      <c r="P492" t="s">
        <v>50</v>
      </c>
      <c r="Q492" s="2">
        <v>17975.36</v>
      </c>
      <c r="R492" s="2">
        <v>4098.6899999999996</v>
      </c>
      <c r="S492" t="s">
        <v>51</v>
      </c>
      <c r="T492" t="s">
        <v>71</v>
      </c>
      <c r="U492" t="s">
        <v>75</v>
      </c>
      <c r="V492">
        <v>4.8</v>
      </c>
      <c r="W492" t="s">
        <v>103</v>
      </c>
      <c r="X492" t="s">
        <v>55</v>
      </c>
      <c r="Y492" t="s">
        <v>41</v>
      </c>
    </row>
    <row r="493" spans="1:25" x14ac:dyDescent="0.3">
      <c r="A493" t="s">
        <v>1063</v>
      </c>
      <c r="B493" s="1">
        <v>45417</v>
      </c>
      <c r="C493" t="s">
        <v>117</v>
      </c>
      <c r="D493" t="s">
        <v>4083</v>
      </c>
      <c r="E493" t="s">
        <v>4085</v>
      </c>
      <c r="F493" t="s">
        <v>60</v>
      </c>
      <c r="G493" t="s">
        <v>29</v>
      </c>
      <c r="H493" t="s">
        <v>46</v>
      </c>
      <c r="I493">
        <v>8</v>
      </c>
      <c r="J493" t="s">
        <v>1064</v>
      </c>
      <c r="K493">
        <v>27</v>
      </c>
      <c r="L493" t="s">
        <v>32</v>
      </c>
      <c r="M493">
        <v>6</v>
      </c>
      <c r="N493" t="s">
        <v>48</v>
      </c>
      <c r="O493" t="s">
        <v>81</v>
      </c>
      <c r="P493" t="s">
        <v>70</v>
      </c>
      <c r="Q493" s="2">
        <v>27216.09</v>
      </c>
      <c r="R493" s="2">
        <v>1903.32</v>
      </c>
      <c r="S493" t="s">
        <v>36</v>
      </c>
      <c r="T493" t="s">
        <v>71</v>
      </c>
      <c r="U493" t="s">
        <v>75</v>
      </c>
      <c r="V493">
        <v>1.9</v>
      </c>
      <c r="W493" t="s">
        <v>124</v>
      </c>
      <c r="X493" t="s">
        <v>65</v>
      </c>
      <c r="Y493" t="s">
        <v>41</v>
      </c>
    </row>
    <row r="494" spans="1:25" x14ac:dyDescent="0.3">
      <c r="A494" t="s">
        <v>1065</v>
      </c>
      <c r="B494" s="1">
        <v>45418</v>
      </c>
      <c r="C494" t="s">
        <v>43</v>
      </c>
      <c r="D494" t="s">
        <v>58</v>
      </c>
      <c r="E494" t="s">
        <v>45</v>
      </c>
      <c r="F494" t="s">
        <v>28</v>
      </c>
      <c r="G494" t="s">
        <v>29</v>
      </c>
      <c r="H494" t="s">
        <v>67</v>
      </c>
      <c r="I494">
        <v>4</v>
      </c>
      <c r="J494" t="s">
        <v>1066</v>
      </c>
      <c r="K494">
        <v>18</v>
      </c>
      <c r="L494" t="s">
        <v>32</v>
      </c>
      <c r="M494">
        <v>6</v>
      </c>
      <c r="N494" t="s">
        <v>91</v>
      </c>
      <c r="O494" t="s">
        <v>34</v>
      </c>
      <c r="P494" t="s">
        <v>35</v>
      </c>
      <c r="Q494" s="2">
        <v>11448.43</v>
      </c>
      <c r="R494" s="2">
        <v>2637.86</v>
      </c>
      <c r="S494" t="s">
        <v>94</v>
      </c>
      <c r="T494" t="s">
        <v>71</v>
      </c>
      <c r="U494" t="s">
        <v>38</v>
      </c>
      <c r="V494">
        <v>1.7</v>
      </c>
      <c r="W494" t="s">
        <v>124</v>
      </c>
      <c r="X494" t="s">
        <v>55</v>
      </c>
      <c r="Y494" t="s">
        <v>41</v>
      </c>
    </row>
    <row r="495" spans="1:25" x14ac:dyDescent="0.3">
      <c r="A495" t="s">
        <v>1067</v>
      </c>
      <c r="B495" s="1">
        <v>45419</v>
      </c>
      <c r="C495" t="s">
        <v>26</v>
      </c>
      <c r="D495" t="s">
        <v>26</v>
      </c>
      <c r="E495" t="s">
        <v>4085</v>
      </c>
      <c r="F495" t="s">
        <v>60</v>
      </c>
      <c r="G495" t="s">
        <v>29</v>
      </c>
      <c r="H495" t="s">
        <v>46</v>
      </c>
      <c r="I495">
        <v>10</v>
      </c>
      <c r="J495" t="s">
        <v>1068</v>
      </c>
      <c r="K495">
        <v>49</v>
      </c>
      <c r="L495" t="s">
        <v>63</v>
      </c>
      <c r="M495">
        <v>3</v>
      </c>
      <c r="N495" t="s">
        <v>48</v>
      </c>
      <c r="O495" t="s">
        <v>81</v>
      </c>
      <c r="P495" t="s">
        <v>35</v>
      </c>
      <c r="Q495" s="2">
        <v>11068.09</v>
      </c>
      <c r="R495" s="2">
        <v>146.59</v>
      </c>
      <c r="S495" t="s">
        <v>94</v>
      </c>
      <c r="T495" t="s">
        <v>52</v>
      </c>
      <c r="U495" t="s">
        <v>38</v>
      </c>
      <c r="V495">
        <v>3.2</v>
      </c>
      <c r="W495" t="s">
        <v>76</v>
      </c>
      <c r="X495" t="s">
        <v>106</v>
      </c>
      <c r="Y495" t="s">
        <v>41</v>
      </c>
    </row>
    <row r="496" spans="1:25" x14ac:dyDescent="0.3">
      <c r="A496" t="s">
        <v>1069</v>
      </c>
      <c r="B496" s="1">
        <v>45420</v>
      </c>
      <c r="C496" t="s">
        <v>117</v>
      </c>
      <c r="D496" t="s">
        <v>4083</v>
      </c>
      <c r="E496" t="s">
        <v>120</v>
      </c>
      <c r="F496" t="s">
        <v>28</v>
      </c>
      <c r="G496" t="s">
        <v>29</v>
      </c>
      <c r="H496" t="s">
        <v>86</v>
      </c>
      <c r="I496">
        <v>8</v>
      </c>
      <c r="J496" t="s">
        <v>1070</v>
      </c>
      <c r="K496">
        <v>47</v>
      </c>
      <c r="L496" t="s">
        <v>80</v>
      </c>
      <c r="M496">
        <v>4</v>
      </c>
      <c r="N496" t="s">
        <v>91</v>
      </c>
      <c r="O496" t="s">
        <v>49</v>
      </c>
      <c r="P496" t="s">
        <v>50</v>
      </c>
      <c r="Q496" s="2">
        <v>16534.07</v>
      </c>
      <c r="R496" s="2">
        <v>291.32</v>
      </c>
      <c r="S496" t="s">
        <v>94</v>
      </c>
      <c r="T496" t="s">
        <v>52</v>
      </c>
      <c r="U496" t="s">
        <v>83</v>
      </c>
      <c r="V496">
        <v>3.3</v>
      </c>
      <c r="W496" t="s">
        <v>76</v>
      </c>
      <c r="X496" t="s">
        <v>55</v>
      </c>
      <c r="Y496" t="s">
        <v>72</v>
      </c>
    </row>
    <row r="497" spans="1:25" x14ac:dyDescent="0.3">
      <c r="A497" t="s">
        <v>1071</v>
      </c>
      <c r="B497" s="1">
        <v>45421</v>
      </c>
      <c r="C497" t="s">
        <v>43</v>
      </c>
      <c r="D497" t="s">
        <v>58</v>
      </c>
      <c r="E497" t="s">
        <v>45</v>
      </c>
      <c r="F497" t="s">
        <v>28</v>
      </c>
      <c r="G497" t="s">
        <v>29</v>
      </c>
      <c r="H497" t="s">
        <v>67</v>
      </c>
      <c r="I497">
        <v>9</v>
      </c>
      <c r="J497" t="s">
        <v>1072</v>
      </c>
      <c r="K497">
        <v>25</v>
      </c>
      <c r="L497" t="s">
        <v>80</v>
      </c>
      <c r="M497">
        <v>2</v>
      </c>
      <c r="N497" t="s">
        <v>48</v>
      </c>
      <c r="O497" t="s">
        <v>81</v>
      </c>
      <c r="P497" t="s">
        <v>35</v>
      </c>
      <c r="Q497" s="2">
        <v>48807.82</v>
      </c>
      <c r="R497" s="2">
        <v>3375.27</v>
      </c>
      <c r="S497" t="s">
        <v>36</v>
      </c>
      <c r="T497" t="s">
        <v>71</v>
      </c>
      <c r="U497" t="s">
        <v>75</v>
      </c>
      <c r="V497">
        <v>3.6</v>
      </c>
      <c r="W497" t="s">
        <v>54</v>
      </c>
      <c r="X497" t="s">
        <v>106</v>
      </c>
      <c r="Y497" t="s">
        <v>41</v>
      </c>
    </row>
    <row r="498" spans="1:25" x14ac:dyDescent="0.3">
      <c r="A498" t="s">
        <v>1073</v>
      </c>
      <c r="B498" s="1">
        <v>45422</v>
      </c>
      <c r="C498" t="s">
        <v>117</v>
      </c>
      <c r="D498" t="s">
        <v>4083</v>
      </c>
      <c r="E498" t="s">
        <v>120</v>
      </c>
      <c r="F498" t="s">
        <v>28</v>
      </c>
      <c r="G498" t="s">
        <v>29</v>
      </c>
      <c r="H498" t="s">
        <v>86</v>
      </c>
      <c r="I498">
        <v>13</v>
      </c>
      <c r="J498" t="s">
        <v>1074</v>
      </c>
      <c r="K498">
        <v>38</v>
      </c>
      <c r="L498" t="s">
        <v>63</v>
      </c>
      <c r="M498">
        <v>6</v>
      </c>
      <c r="N498" t="s">
        <v>33</v>
      </c>
      <c r="O498" t="s">
        <v>69</v>
      </c>
      <c r="P498" t="s">
        <v>70</v>
      </c>
      <c r="Q498" s="2">
        <v>22105.26</v>
      </c>
      <c r="R498" s="2">
        <v>3833.85</v>
      </c>
      <c r="S498" t="s">
        <v>94</v>
      </c>
      <c r="T498" t="s">
        <v>71</v>
      </c>
      <c r="U498" t="s">
        <v>83</v>
      </c>
      <c r="V498">
        <v>4</v>
      </c>
      <c r="W498" t="s">
        <v>54</v>
      </c>
      <c r="X498" t="s">
        <v>84</v>
      </c>
      <c r="Y498" t="s">
        <v>41</v>
      </c>
    </row>
    <row r="499" spans="1:25" x14ac:dyDescent="0.3">
      <c r="A499" t="s">
        <v>1075</v>
      </c>
      <c r="B499" s="1">
        <v>45423</v>
      </c>
      <c r="C499" t="s">
        <v>57</v>
      </c>
      <c r="D499" t="s">
        <v>44</v>
      </c>
      <c r="E499" t="s">
        <v>4085</v>
      </c>
      <c r="F499" t="s">
        <v>60</v>
      </c>
      <c r="G499" t="s">
        <v>29</v>
      </c>
      <c r="H499" t="s">
        <v>59</v>
      </c>
      <c r="I499">
        <v>3</v>
      </c>
      <c r="J499" t="s">
        <v>1076</v>
      </c>
      <c r="K499">
        <v>39</v>
      </c>
      <c r="L499" t="s">
        <v>32</v>
      </c>
      <c r="M499">
        <v>2</v>
      </c>
      <c r="N499" t="s">
        <v>33</v>
      </c>
      <c r="O499" t="s">
        <v>49</v>
      </c>
      <c r="P499" t="s">
        <v>50</v>
      </c>
      <c r="Q499" s="2">
        <v>30469.77</v>
      </c>
      <c r="R499" s="2">
        <v>3550.18</v>
      </c>
      <c r="S499" t="s">
        <v>36</v>
      </c>
      <c r="T499" t="s">
        <v>37</v>
      </c>
      <c r="U499" t="s">
        <v>53</v>
      </c>
      <c r="V499">
        <v>3.4</v>
      </c>
      <c r="W499" t="s">
        <v>76</v>
      </c>
      <c r="X499" t="s">
        <v>106</v>
      </c>
      <c r="Y499" t="s">
        <v>72</v>
      </c>
    </row>
    <row r="500" spans="1:25" x14ac:dyDescent="0.3">
      <c r="A500" t="s">
        <v>1077</v>
      </c>
      <c r="B500" s="1">
        <v>45424</v>
      </c>
      <c r="C500" t="s">
        <v>117</v>
      </c>
      <c r="D500" t="s">
        <v>4083</v>
      </c>
      <c r="E500" t="s">
        <v>4084</v>
      </c>
      <c r="F500" t="s">
        <v>60</v>
      </c>
      <c r="G500" t="s">
        <v>29</v>
      </c>
      <c r="H500" t="s">
        <v>27</v>
      </c>
      <c r="I500">
        <v>9</v>
      </c>
      <c r="J500" t="s">
        <v>1078</v>
      </c>
      <c r="K500">
        <v>35</v>
      </c>
      <c r="L500" t="s">
        <v>32</v>
      </c>
      <c r="M500">
        <v>7</v>
      </c>
      <c r="N500" t="s">
        <v>48</v>
      </c>
      <c r="O500" t="s">
        <v>34</v>
      </c>
      <c r="P500" t="s">
        <v>50</v>
      </c>
      <c r="Q500" s="2">
        <v>36693.11</v>
      </c>
      <c r="R500" s="2">
        <v>3685.09</v>
      </c>
      <c r="S500" t="s">
        <v>115</v>
      </c>
      <c r="T500" t="s">
        <v>52</v>
      </c>
      <c r="U500" t="s">
        <v>53</v>
      </c>
      <c r="V500">
        <v>1.4</v>
      </c>
      <c r="W500" t="s">
        <v>124</v>
      </c>
      <c r="X500" t="s">
        <v>84</v>
      </c>
      <c r="Y500" t="s">
        <v>72</v>
      </c>
    </row>
    <row r="501" spans="1:25" x14ac:dyDescent="0.3">
      <c r="A501" t="s">
        <v>1079</v>
      </c>
      <c r="B501" s="1">
        <v>45425</v>
      </c>
      <c r="C501" t="s">
        <v>117</v>
      </c>
      <c r="D501" t="s">
        <v>4083</v>
      </c>
      <c r="E501" t="s">
        <v>89</v>
      </c>
      <c r="F501" t="s">
        <v>28</v>
      </c>
      <c r="G501" t="s">
        <v>29</v>
      </c>
      <c r="H501" t="s">
        <v>61</v>
      </c>
      <c r="I501">
        <v>5</v>
      </c>
      <c r="J501" t="s">
        <v>1080</v>
      </c>
      <c r="K501">
        <v>19</v>
      </c>
      <c r="L501" t="s">
        <v>80</v>
      </c>
      <c r="M501">
        <v>7</v>
      </c>
      <c r="N501" t="s">
        <v>91</v>
      </c>
      <c r="O501" t="s">
        <v>34</v>
      </c>
      <c r="P501" t="s">
        <v>70</v>
      </c>
      <c r="Q501" s="2">
        <v>38399.980000000003</v>
      </c>
      <c r="R501" s="2">
        <v>523.1</v>
      </c>
      <c r="S501" t="s">
        <v>94</v>
      </c>
      <c r="T501" t="s">
        <v>52</v>
      </c>
      <c r="U501" t="s">
        <v>38</v>
      </c>
      <c r="V501">
        <v>4.2</v>
      </c>
      <c r="W501" t="s">
        <v>54</v>
      </c>
      <c r="X501" t="s">
        <v>65</v>
      </c>
      <c r="Y501" t="s">
        <v>41</v>
      </c>
    </row>
    <row r="502" spans="1:25" x14ac:dyDescent="0.3">
      <c r="A502" t="s">
        <v>1081</v>
      </c>
      <c r="B502" s="1">
        <v>45426</v>
      </c>
      <c r="C502" t="s">
        <v>117</v>
      </c>
      <c r="D502" t="s">
        <v>4083</v>
      </c>
      <c r="E502" t="s">
        <v>120</v>
      </c>
      <c r="F502" t="s">
        <v>28</v>
      </c>
      <c r="G502" t="s">
        <v>29</v>
      </c>
      <c r="H502" t="s">
        <v>86</v>
      </c>
      <c r="I502">
        <v>13</v>
      </c>
      <c r="J502" t="s">
        <v>1082</v>
      </c>
      <c r="K502">
        <v>65</v>
      </c>
      <c r="L502" t="s">
        <v>80</v>
      </c>
      <c r="M502">
        <v>7</v>
      </c>
      <c r="N502" t="s">
        <v>33</v>
      </c>
      <c r="O502" t="s">
        <v>81</v>
      </c>
      <c r="P502" t="s">
        <v>50</v>
      </c>
      <c r="Q502" s="2">
        <v>35961.839999999997</v>
      </c>
      <c r="R502" s="2">
        <v>3467.25</v>
      </c>
      <c r="S502" t="s">
        <v>36</v>
      </c>
      <c r="T502" t="s">
        <v>37</v>
      </c>
      <c r="U502" t="s">
        <v>83</v>
      </c>
      <c r="V502">
        <v>1.3</v>
      </c>
      <c r="W502" t="s">
        <v>124</v>
      </c>
      <c r="X502" t="s">
        <v>84</v>
      </c>
      <c r="Y502" t="s">
        <v>72</v>
      </c>
    </row>
    <row r="503" spans="1:25" x14ac:dyDescent="0.3">
      <c r="A503" t="s">
        <v>1083</v>
      </c>
      <c r="B503" s="1">
        <v>45427</v>
      </c>
      <c r="C503" t="s">
        <v>26</v>
      </c>
      <c r="D503" t="s">
        <v>26</v>
      </c>
      <c r="E503" t="s">
        <v>4085</v>
      </c>
      <c r="F503" t="s">
        <v>60</v>
      </c>
      <c r="G503" t="s">
        <v>29</v>
      </c>
      <c r="H503" t="s">
        <v>46</v>
      </c>
      <c r="I503">
        <v>14</v>
      </c>
      <c r="J503" t="s">
        <v>1084</v>
      </c>
      <c r="K503">
        <v>61</v>
      </c>
      <c r="L503" t="s">
        <v>80</v>
      </c>
      <c r="M503">
        <v>5</v>
      </c>
      <c r="N503" t="s">
        <v>91</v>
      </c>
      <c r="O503" t="s">
        <v>34</v>
      </c>
      <c r="P503" t="s">
        <v>70</v>
      </c>
      <c r="Q503" s="2">
        <v>20161.77</v>
      </c>
      <c r="R503" s="2">
        <v>908.74</v>
      </c>
      <c r="S503" t="s">
        <v>115</v>
      </c>
      <c r="T503" t="s">
        <v>37</v>
      </c>
      <c r="U503" t="s">
        <v>75</v>
      </c>
      <c r="V503">
        <v>1.1000000000000001</v>
      </c>
      <c r="W503" t="s">
        <v>124</v>
      </c>
      <c r="X503" t="s">
        <v>84</v>
      </c>
      <c r="Y503" t="s">
        <v>41</v>
      </c>
    </row>
    <row r="504" spans="1:25" x14ac:dyDescent="0.3">
      <c r="A504" t="s">
        <v>1085</v>
      </c>
      <c r="B504" s="1">
        <v>45428</v>
      </c>
      <c r="C504" t="s">
        <v>117</v>
      </c>
      <c r="D504" t="s">
        <v>4083</v>
      </c>
      <c r="E504" t="s">
        <v>45</v>
      </c>
      <c r="F504" t="s">
        <v>28</v>
      </c>
      <c r="G504" t="s">
        <v>29</v>
      </c>
      <c r="H504" t="s">
        <v>67</v>
      </c>
      <c r="I504">
        <v>10</v>
      </c>
      <c r="J504" t="s">
        <v>1086</v>
      </c>
      <c r="K504">
        <v>26</v>
      </c>
      <c r="L504" t="s">
        <v>80</v>
      </c>
      <c r="M504">
        <v>3</v>
      </c>
      <c r="N504" t="s">
        <v>91</v>
      </c>
      <c r="O504" t="s">
        <v>69</v>
      </c>
      <c r="P504" t="s">
        <v>50</v>
      </c>
      <c r="Q504" s="2">
        <v>10027.75</v>
      </c>
      <c r="R504" s="2">
        <v>490.08</v>
      </c>
      <c r="S504" t="s">
        <v>51</v>
      </c>
      <c r="T504" t="s">
        <v>37</v>
      </c>
      <c r="U504" t="s">
        <v>75</v>
      </c>
      <c r="V504">
        <v>4.0999999999999996</v>
      </c>
      <c r="W504" t="s">
        <v>54</v>
      </c>
      <c r="X504" t="s">
        <v>55</v>
      </c>
      <c r="Y504" t="s">
        <v>72</v>
      </c>
    </row>
    <row r="505" spans="1:25" x14ac:dyDescent="0.3">
      <c r="A505" t="s">
        <v>1087</v>
      </c>
      <c r="B505" s="1">
        <v>45429</v>
      </c>
      <c r="C505" t="s">
        <v>43</v>
      </c>
      <c r="D505" t="s">
        <v>58</v>
      </c>
      <c r="E505" t="s">
        <v>120</v>
      </c>
      <c r="F505" t="s">
        <v>28</v>
      </c>
      <c r="G505" t="s">
        <v>29</v>
      </c>
      <c r="H505" t="s">
        <v>86</v>
      </c>
      <c r="I505">
        <v>8</v>
      </c>
      <c r="J505" t="s">
        <v>1088</v>
      </c>
      <c r="K505">
        <v>20</v>
      </c>
      <c r="L505" t="s">
        <v>80</v>
      </c>
      <c r="M505">
        <v>2</v>
      </c>
      <c r="N505" t="s">
        <v>33</v>
      </c>
      <c r="O505" t="s">
        <v>49</v>
      </c>
      <c r="P505" t="s">
        <v>35</v>
      </c>
      <c r="Q505" s="2">
        <v>17677.240000000002</v>
      </c>
      <c r="R505" s="2">
        <v>3785.8</v>
      </c>
      <c r="S505" t="s">
        <v>115</v>
      </c>
      <c r="T505" t="s">
        <v>71</v>
      </c>
      <c r="U505" t="s">
        <v>38</v>
      </c>
      <c r="V505">
        <v>3.2</v>
      </c>
      <c r="W505" t="s">
        <v>76</v>
      </c>
      <c r="X505" t="s">
        <v>40</v>
      </c>
      <c r="Y505" t="s">
        <v>72</v>
      </c>
    </row>
    <row r="506" spans="1:25" x14ac:dyDescent="0.3">
      <c r="A506" t="s">
        <v>1089</v>
      </c>
      <c r="B506" s="1">
        <v>45430</v>
      </c>
      <c r="C506" t="s">
        <v>57</v>
      </c>
      <c r="D506" t="s">
        <v>44</v>
      </c>
      <c r="E506" t="s">
        <v>120</v>
      </c>
      <c r="F506" t="s">
        <v>28</v>
      </c>
      <c r="G506" t="s">
        <v>29</v>
      </c>
      <c r="H506" t="s">
        <v>86</v>
      </c>
      <c r="I506">
        <v>6</v>
      </c>
      <c r="J506" t="s">
        <v>1090</v>
      </c>
      <c r="K506">
        <v>43</v>
      </c>
      <c r="L506" t="s">
        <v>32</v>
      </c>
      <c r="M506">
        <v>7</v>
      </c>
      <c r="N506" t="s">
        <v>64</v>
      </c>
      <c r="O506" t="s">
        <v>69</v>
      </c>
      <c r="P506" t="s">
        <v>50</v>
      </c>
      <c r="Q506" s="2">
        <v>14463.29</v>
      </c>
      <c r="R506" s="2">
        <v>4447.03</v>
      </c>
      <c r="S506" t="s">
        <v>115</v>
      </c>
      <c r="T506" t="s">
        <v>71</v>
      </c>
      <c r="U506" t="s">
        <v>38</v>
      </c>
      <c r="V506">
        <v>3.8</v>
      </c>
      <c r="W506" t="s">
        <v>54</v>
      </c>
      <c r="X506" t="s">
        <v>84</v>
      </c>
      <c r="Y506" t="s">
        <v>41</v>
      </c>
    </row>
    <row r="507" spans="1:25" x14ac:dyDescent="0.3">
      <c r="A507" t="s">
        <v>1091</v>
      </c>
      <c r="B507" s="1">
        <v>45431</v>
      </c>
      <c r="C507" t="s">
        <v>57</v>
      </c>
      <c r="D507" t="s">
        <v>44</v>
      </c>
      <c r="E507" t="s">
        <v>89</v>
      </c>
      <c r="F507" t="s">
        <v>28</v>
      </c>
      <c r="G507" t="s">
        <v>29</v>
      </c>
      <c r="H507" t="s">
        <v>61</v>
      </c>
      <c r="I507">
        <v>13</v>
      </c>
      <c r="J507" t="s">
        <v>1092</v>
      </c>
      <c r="K507">
        <v>38</v>
      </c>
      <c r="L507" t="s">
        <v>32</v>
      </c>
      <c r="M507">
        <v>7</v>
      </c>
      <c r="N507" t="s">
        <v>64</v>
      </c>
      <c r="O507" t="s">
        <v>69</v>
      </c>
      <c r="P507" t="s">
        <v>50</v>
      </c>
      <c r="Q507" s="2">
        <v>11132.48</v>
      </c>
      <c r="R507" s="2">
        <v>3583.55</v>
      </c>
      <c r="S507" t="s">
        <v>94</v>
      </c>
      <c r="T507" t="s">
        <v>71</v>
      </c>
      <c r="U507" t="s">
        <v>83</v>
      </c>
      <c r="V507">
        <v>2.5</v>
      </c>
      <c r="W507" t="s">
        <v>76</v>
      </c>
      <c r="X507" t="s">
        <v>106</v>
      </c>
      <c r="Y507" t="s">
        <v>72</v>
      </c>
    </row>
    <row r="508" spans="1:25" x14ac:dyDescent="0.3">
      <c r="A508" t="s">
        <v>1093</v>
      </c>
      <c r="B508" s="1">
        <v>45432</v>
      </c>
      <c r="C508" t="s">
        <v>117</v>
      </c>
      <c r="D508" t="s">
        <v>4083</v>
      </c>
      <c r="E508" t="s">
        <v>4085</v>
      </c>
      <c r="F508" t="s">
        <v>60</v>
      </c>
      <c r="G508" t="s">
        <v>29</v>
      </c>
      <c r="H508" t="s">
        <v>46</v>
      </c>
      <c r="I508">
        <v>10</v>
      </c>
      <c r="J508" t="s">
        <v>1094</v>
      </c>
      <c r="K508">
        <v>47</v>
      </c>
      <c r="L508" t="s">
        <v>32</v>
      </c>
      <c r="M508">
        <v>4</v>
      </c>
      <c r="N508" t="s">
        <v>91</v>
      </c>
      <c r="O508" t="s">
        <v>69</v>
      </c>
      <c r="P508" t="s">
        <v>50</v>
      </c>
      <c r="Q508" s="2">
        <v>6102.35</v>
      </c>
      <c r="R508" s="2">
        <v>4027.87</v>
      </c>
      <c r="S508" t="s">
        <v>51</v>
      </c>
      <c r="T508" t="s">
        <v>71</v>
      </c>
      <c r="U508" t="s">
        <v>38</v>
      </c>
      <c r="V508">
        <v>1</v>
      </c>
      <c r="W508" t="s">
        <v>124</v>
      </c>
      <c r="X508" t="s">
        <v>65</v>
      </c>
      <c r="Y508" t="s">
        <v>41</v>
      </c>
    </row>
    <row r="509" spans="1:25" x14ac:dyDescent="0.3">
      <c r="A509" t="s">
        <v>1095</v>
      </c>
      <c r="B509" s="1">
        <v>45433</v>
      </c>
      <c r="C509" t="s">
        <v>26</v>
      </c>
      <c r="D509" t="s">
        <v>26</v>
      </c>
      <c r="E509" t="s">
        <v>4084</v>
      </c>
      <c r="F509" t="s">
        <v>60</v>
      </c>
      <c r="G509" t="s">
        <v>29</v>
      </c>
      <c r="H509" t="s">
        <v>30</v>
      </c>
      <c r="I509">
        <v>11</v>
      </c>
      <c r="J509" t="s">
        <v>1096</v>
      </c>
      <c r="K509">
        <v>45</v>
      </c>
      <c r="L509" t="s">
        <v>32</v>
      </c>
      <c r="M509">
        <v>6</v>
      </c>
      <c r="N509" t="s">
        <v>33</v>
      </c>
      <c r="O509" t="s">
        <v>69</v>
      </c>
      <c r="P509" t="s">
        <v>82</v>
      </c>
      <c r="Q509" s="2">
        <v>47107.66</v>
      </c>
      <c r="R509" s="2">
        <v>4955.4399999999996</v>
      </c>
      <c r="S509" t="s">
        <v>51</v>
      </c>
      <c r="T509" t="s">
        <v>71</v>
      </c>
      <c r="U509" t="s">
        <v>38</v>
      </c>
      <c r="V509">
        <v>2.2999999999999998</v>
      </c>
      <c r="W509" t="s">
        <v>76</v>
      </c>
      <c r="X509" t="s">
        <v>106</v>
      </c>
      <c r="Y509" t="s">
        <v>41</v>
      </c>
    </row>
    <row r="510" spans="1:25" x14ac:dyDescent="0.3">
      <c r="A510" t="s">
        <v>1097</v>
      </c>
      <c r="B510" s="1">
        <v>45434</v>
      </c>
      <c r="C510" t="s">
        <v>26</v>
      </c>
      <c r="D510" t="s">
        <v>26</v>
      </c>
      <c r="E510" t="s">
        <v>45</v>
      </c>
      <c r="F510" t="s">
        <v>28</v>
      </c>
      <c r="G510" t="s">
        <v>29</v>
      </c>
      <c r="H510" t="s">
        <v>67</v>
      </c>
      <c r="I510">
        <v>12</v>
      </c>
      <c r="J510" t="s">
        <v>1098</v>
      </c>
      <c r="K510">
        <v>53</v>
      </c>
      <c r="L510" t="s">
        <v>63</v>
      </c>
      <c r="M510">
        <v>7</v>
      </c>
      <c r="N510" t="s">
        <v>64</v>
      </c>
      <c r="O510" t="s">
        <v>49</v>
      </c>
      <c r="P510" t="s">
        <v>35</v>
      </c>
      <c r="Q510" s="2">
        <v>46446.55</v>
      </c>
      <c r="R510" s="2">
        <v>673.78</v>
      </c>
      <c r="S510" t="s">
        <v>94</v>
      </c>
      <c r="T510" t="s">
        <v>52</v>
      </c>
      <c r="U510" t="s">
        <v>38</v>
      </c>
      <c r="V510">
        <v>3.4</v>
      </c>
      <c r="W510" t="s">
        <v>76</v>
      </c>
      <c r="X510" t="s">
        <v>65</v>
      </c>
      <c r="Y510" t="s">
        <v>41</v>
      </c>
    </row>
    <row r="511" spans="1:25" x14ac:dyDescent="0.3">
      <c r="A511" t="s">
        <v>1099</v>
      </c>
      <c r="B511" s="1">
        <v>45435</v>
      </c>
      <c r="C511" t="s">
        <v>43</v>
      </c>
      <c r="D511" t="s">
        <v>58</v>
      </c>
      <c r="E511" t="s">
        <v>4085</v>
      </c>
      <c r="F511" t="s">
        <v>60</v>
      </c>
      <c r="G511" t="s">
        <v>29</v>
      </c>
      <c r="H511" t="s">
        <v>46</v>
      </c>
      <c r="I511">
        <v>4</v>
      </c>
      <c r="J511" t="s">
        <v>1100</v>
      </c>
      <c r="K511">
        <v>43</v>
      </c>
      <c r="L511" t="s">
        <v>32</v>
      </c>
      <c r="M511">
        <v>5</v>
      </c>
      <c r="N511" t="s">
        <v>48</v>
      </c>
      <c r="O511" t="s">
        <v>49</v>
      </c>
      <c r="P511" t="s">
        <v>70</v>
      </c>
      <c r="Q511" s="2">
        <v>7268.77</v>
      </c>
      <c r="R511" s="2">
        <v>4825.76</v>
      </c>
      <c r="S511" t="s">
        <v>115</v>
      </c>
      <c r="T511" t="s">
        <v>52</v>
      </c>
      <c r="U511" t="s">
        <v>53</v>
      </c>
      <c r="V511">
        <v>1.9</v>
      </c>
      <c r="W511" t="s">
        <v>124</v>
      </c>
      <c r="X511" t="s">
        <v>106</v>
      </c>
      <c r="Y511" t="s">
        <v>72</v>
      </c>
    </row>
    <row r="512" spans="1:25" x14ac:dyDescent="0.3">
      <c r="A512" t="s">
        <v>1101</v>
      </c>
      <c r="B512" s="1">
        <v>45436</v>
      </c>
      <c r="C512" t="s">
        <v>117</v>
      </c>
      <c r="D512" t="s">
        <v>4083</v>
      </c>
      <c r="E512" t="s">
        <v>45</v>
      </c>
      <c r="F512" t="s">
        <v>28</v>
      </c>
      <c r="G512" t="s">
        <v>29</v>
      </c>
      <c r="H512" t="s">
        <v>67</v>
      </c>
      <c r="I512">
        <v>8</v>
      </c>
      <c r="J512" t="s">
        <v>1102</v>
      </c>
      <c r="K512">
        <v>51</v>
      </c>
      <c r="L512" t="s">
        <v>63</v>
      </c>
      <c r="M512">
        <v>4</v>
      </c>
      <c r="N512" t="s">
        <v>91</v>
      </c>
      <c r="O512" t="s">
        <v>69</v>
      </c>
      <c r="P512" t="s">
        <v>82</v>
      </c>
      <c r="Q512" s="2">
        <v>12788.81</v>
      </c>
      <c r="R512" s="2">
        <v>3005.99</v>
      </c>
      <c r="S512" t="s">
        <v>36</v>
      </c>
      <c r="T512" t="s">
        <v>52</v>
      </c>
      <c r="U512" t="s">
        <v>83</v>
      </c>
      <c r="V512">
        <v>3.8</v>
      </c>
      <c r="W512" t="s">
        <v>54</v>
      </c>
      <c r="X512" t="s">
        <v>84</v>
      </c>
      <c r="Y512" t="s">
        <v>41</v>
      </c>
    </row>
    <row r="513" spans="1:25" x14ac:dyDescent="0.3">
      <c r="A513" t="s">
        <v>1103</v>
      </c>
      <c r="B513" s="1">
        <v>45437</v>
      </c>
      <c r="C513" t="s">
        <v>57</v>
      </c>
      <c r="D513" t="s">
        <v>44</v>
      </c>
      <c r="E513" t="s">
        <v>120</v>
      </c>
      <c r="F513" t="s">
        <v>28</v>
      </c>
      <c r="G513" t="s">
        <v>29</v>
      </c>
      <c r="H513" t="s">
        <v>86</v>
      </c>
      <c r="I513">
        <v>7</v>
      </c>
      <c r="J513" t="s">
        <v>1104</v>
      </c>
      <c r="K513">
        <v>25</v>
      </c>
      <c r="L513" t="s">
        <v>32</v>
      </c>
      <c r="M513">
        <v>3</v>
      </c>
      <c r="N513" t="s">
        <v>64</v>
      </c>
      <c r="O513" t="s">
        <v>69</v>
      </c>
      <c r="P513" t="s">
        <v>35</v>
      </c>
      <c r="Q513" s="2">
        <v>11277.52</v>
      </c>
      <c r="R513" s="2">
        <v>4066.27</v>
      </c>
      <c r="S513" t="s">
        <v>94</v>
      </c>
      <c r="T513" t="s">
        <v>37</v>
      </c>
      <c r="U513" t="s">
        <v>75</v>
      </c>
      <c r="V513">
        <v>4.2</v>
      </c>
      <c r="W513" t="s">
        <v>54</v>
      </c>
      <c r="X513" t="s">
        <v>40</v>
      </c>
      <c r="Y513" t="s">
        <v>41</v>
      </c>
    </row>
    <row r="514" spans="1:25" x14ac:dyDescent="0.3">
      <c r="A514" t="s">
        <v>1105</v>
      </c>
      <c r="B514" s="1">
        <v>45438</v>
      </c>
      <c r="C514" t="s">
        <v>26</v>
      </c>
      <c r="D514" t="s">
        <v>26</v>
      </c>
      <c r="E514" t="s">
        <v>89</v>
      </c>
      <c r="F514" t="s">
        <v>28</v>
      </c>
      <c r="G514" t="s">
        <v>29</v>
      </c>
      <c r="H514" t="s">
        <v>61</v>
      </c>
      <c r="I514">
        <v>7</v>
      </c>
      <c r="J514" t="s">
        <v>1106</v>
      </c>
      <c r="K514">
        <v>27</v>
      </c>
      <c r="L514" t="s">
        <v>80</v>
      </c>
      <c r="M514">
        <v>5</v>
      </c>
      <c r="N514" t="s">
        <v>33</v>
      </c>
      <c r="O514" t="s">
        <v>34</v>
      </c>
      <c r="P514" t="s">
        <v>50</v>
      </c>
      <c r="Q514" s="2">
        <v>17655.03</v>
      </c>
      <c r="R514" s="2">
        <v>3250.85</v>
      </c>
      <c r="S514" t="s">
        <v>115</v>
      </c>
      <c r="T514" t="s">
        <v>52</v>
      </c>
      <c r="U514" t="s">
        <v>75</v>
      </c>
      <c r="V514">
        <v>2.8</v>
      </c>
      <c r="W514" t="s">
        <v>76</v>
      </c>
      <c r="X514" t="s">
        <v>84</v>
      </c>
      <c r="Y514" t="s">
        <v>41</v>
      </c>
    </row>
    <row r="515" spans="1:25" x14ac:dyDescent="0.3">
      <c r="A515" t="s">
        <v>1107</v>
      </c>
      <c r="B515" s="1">
        <v>45439</v>
      </c>
      <c r="C515" t="s">
        <v>117</v>
      </c>
      <c r="D515" t="s">
        <v>4083</v>
      </c>
      <c r="E515" t="s">
        <v>89</v>
      </c>
      <c r="F515" t="s">
        <v>28</v>
      </c>
      <c r="G515" t="s">
        <v>29</v>
      </c>
      <c r="H515" t="s">
        <v>61</v>
      </c>
      <c r="I515">
        <v>12</v>
      </c>
      <c r="J515" t="s">
        <v>1108</v>
      </c>
      <c r="K515">
        <v>65</v>
      </c>
      <c r="L515" t="s">
        <v>80</v>
      </c>
      <c r="M515">
        <v>5</v>
      </c>
      <c r="N515" t="s">
        <v>33</v>
      </c>
      <c r="O515" t="s">
        <v>34</v>
      </c>
      <c r="P515" t="s">
        <v>50</v>
      </c>
      <c r="Q515" s="2">
        <v>14183.1</v>
      </c>
      <c r="R515" s="2">
        <v>2850.19</v>
      </c>
      <c r="S515" t="s">
        <v>36</v>
      </c>
      <c r="T515" t="s">
        <v>37</v>
      </c>
      <c r="U515" t="s">
        <v>83</v>
      </c>
      <c r="V515">
        <v>4.5</v>
      </c>
      <c r="W515" t="s">
        <v>103</v>
      </c>
      <c r="X515" t="s">
        <v>55</v>
      </c>
      <c r="Y515" t="s">
        <v>41</v>
      </c>
    </row>
    <row r="516" spans="1:25" x14ac:dyDescent="0.3">
      <c r="A516" t="s">
        <v>1109</v>
      </c>
      <c r="B516" s="1">
        <v>45440</v>
      </c>
      <c r="C516" t="s">
        <v>26</v>
      </c>
      <c r="D516" t="s">
        <v>26</v>
      </c>
      <c r="E516" t="s">
        <v>4084</v>
      </c>
      <c r="F516" t="s">
        <v>60</v>
      </c>
      <c r="G516" t="s">
        <v>29</v>
      </c>
      <c r="H516" t="s">
        <v>27</v>
      </c>
      <c r="I516">
        <v>13</v>
      </c>
      <c r="J516" t="s">
        <v>1110</v>
      </c>
      <c r="K516">
        <v>60</v>
      </c>
      <c r="L516" t="s">
        <v>80</v>
      </c>
      <c r="M516">
        <v>5</v>
      </c>
      <c r="N516" t="s">
        <v>91</v>
      </c>
      <c r="O516" t="s">
        <v>49</v>
      </c>
      <c r="P516" t="s">
        <v>70</v>
      </c>
      <c r="Q516" s="2">
        <v>47563.41</v>
      </c>
      <c r="R516" s="2">
        <v>3518.09</v>
      </c>
      <c r="S516" t="s">
        <v>94</v>
      </c>
      <c r="T516" t="s">
        <v>52</v>
      </c>
      <c r="U516" t="s">
        <v>38</v>
      </c>
      <c r="V516">
        <v>4.4000000000000004</v>
      </c>
      <c r="W516" t="s">
        <v>54</v>
      </c>
      <c r="X516" t="s">
        <v>106</v>
      </c>
      <c r="Y516" t="s">
        <v>41</v>
      </c>
    </row>
    <row r="517" spans="1:25" x14ac:dyDescent="0.3">
      <c r="A517" t="s">
        <v>1111</v>
      </c>
      <c r="B517" s="1">
        <v>45441</v>
      </c>
      <c r="C517" t="s">
        <v>26</v>
      </c>
      <c r="D517" t="s">
        <v>26</v>
      </c>
      <c r="E517" t="s">
        <v>89</v>
      </c>
      <c r="F517" t="s">
        <v>28</v>
      </c>
      <c r="G517" t="s">
        <v>29</v>
      </c>
      <c r="H517" t="s">
        <v>61</v>
      </c>
      <c r="I517">
        <v>5</v>
      </c>
      <c r="J517" t="s">
        <v>1112</v>
      </c>
      <c r="K517">
        <v>67</v>
      </c>
      <c r="L517" t="s">
        <v>63</v>
      </c>
      <c r="M517">
        <v>6</v>
      </c>
      <c r="N517" t="s">
        <v>33</v>
      </c>
      <c r="O517" t="s">
        <v>34</v>
      </c>
      <c r="P517" t="s">
        <v>70</v>
      </c>
      <c r="Q517" s="2">
        <v>8787.67</v>
      </c>
      <c r="R517" s="2">
        <v>1601.29</v>
      </c>
      <c r="S517" t="s">
        <v>94</v>
      </c>
      <c r="T517" t="s">
        <v>71</v>
      </c>
      <c r="U517" t="s">
        <v>38</v>
      </c>
      <c r="V517">
        <v>4.5</v>
      </c>
      <c r="W517" t="s">
        <v>103</v>
      </c>
      <c r="X517" t="s">
        <v>40</v>
      </c>
      <c r="Y517" t="s">
        <v>41</v>
      </c>
    </row>
    <row r="518" spans="1:25" x14ac:dyDescent="0.3">
      <c r="A518" t="s">
        <v>1113</v>
      </c>
      <c r="B518" s="1">
        <v>45442</v>
      </c>
      <c r="C518" t="s">
        <v>57</v>
      </c>
      <c r="D518" t="s">
        <v>44</v>
      </c>
      <c r="E518" t="s">
        <v>120</v>
      </c>
      <c r="F518" t="s">
        <v>28</v>
      </c>
      <c r="G518" t="s">
        <v>29</v>
      </c>
      <c r="H518" t="s">
        <v>86</v>
      </c>
      <c r="I518">
        <v>14</v>
      </c>
      <c r="J518" t="s">
        <v>1114</v>
      </c>
      <c r="K518">
        <v>31</v>
      </c>
      <c r="L518" t="s">
        <v>32</v>
      </c>
      <c r="M518">
        <v>7</v>
      </c>
      <c r="N518" t="s">
        <v>48</v>
      </c>
      <c r="O518" t="s">
        <v>49</v>
      </c>
      <c r="P518" t="s">
        <v>35</v>
      </c>
      <c r="Q518" s="2">
        <v>14525.19</v>
      </c>
      <c r="R518" s="2">
        <v>4621.3599999999997</v>
      </c>
      <c r="S518" t="s">
        <v>51</v>
      </c>
      <c r="T518" t="s">
        <v>52</v>
      </c>
      <c r="U518" t="s">
        <v>75</v>
      </c>
      <c r="V518">
        <v>3.6</v>
      </c>
      <c r="W518" t="s">
        <v>54</v>
      </c>
      <c r="X518" t="s">
        <v>106</v>
      </c>
      <c r="Y518" t="s">
        <v>72</v>
      </c>
    </row>
    <row r="519" spans="1:25" x14ac:dyDescent="0.3">
      <c r="A519" t="s">
        <v>1115</v>
      </c>
      <c r="B519" s="1">
        <v>45443</v>
      </c>
      <c r="C519" t="s">
        <v>78</v>
      </c>
      <c r="D519" t="s">
        <v>58</v>
      </c>
      <c r="E519" t="s">
        <v>4084</v>
      </c>
      <c r="F519" t="s">
        <v>60</v>
      </c>
      <c r="G519" t="s">
        <v>29</v>
      </c>
      <c r="H519" t="s">
        <v>30</v>
      </c>
      <c r="I519">
        <v>10</v>
      </c>
      <c r="J519" t="s">
        <v>1116</v>
      </c>
      <c r="K519">
        <v>57</v>
      </c>
      <c r="L519" t="s">
        <v>32</v>
      </c>
      <c r="M519">
        <v>1</v>
      </c>
      <c r="N519" t="s">
        <v>48</v>
      </c>
      <c r="O519" t="s">
        <v>49</v>
      </c>
      <c r="P519" t="s">
        <v>35</v>
      </c>
      <c r="Q519" s="2">
        <v>8632.5499999999993</v>
      </c>
      <c r="R519" s="2">
        <v>576.46</v>
      </c>
      <c r="S519" t="s">
        <v>51</v>
      </c>
      <c r="T519" t="s">
        <v>71</v>
      </c>
      <c r="U519" t="s">
        <v>53</v>
      </c>
      <c r="V519">
        <v>2.2000000000000002</v>
      </c>
      <c r="W519" t="s">
        <v>76</v>
      </c>
      <c r="X519" t="s">
        <v>55</v>
      </c>
      <c r="Y519" t="s">
        <v>41</v>
      </c>
    </row>
    <row r="520" spans="1:25" x14ac:dyDescent="0.3">
      <c r="A520" t="s">
        <v>1117</v>
      </c>
      <c r="B520" s="1">
        <v>45444</v>
      </c>
      <c r="C520" t="s">
        <v>43</v>
      </c>
      <c r="D520" t="s">
        <v>58</v>
      </c>
      <c r="E520" t="s">
        <v>4085</v>
      </c>
      <c r="F520" t="s">
        <v>60</v>
      </c>
      <c r="G520" t="s">
        <v>29</v>
      </c>
      <c r="H520" t="s">
        <v>46</v>
      </c>
      <c r="I520">
        <v>10</v>
      </c>
      <c r="J520" t="s">
        <v>1118</v>
      </c>
      <c r="K520">
        <v>32</v>
      </c>
      <c r="L520" t="s">
        <v>63</v>
      </c>
      <c r="M520">
        <v>5</v>
      </c>
      <c r="N520" t="s">
        <v>64</v>
      </c>
      <c r="O520" t="s">
        <v>81</v>
      </c>
      <c r="P520" t="s">
        <v>70</v>
      </c>
      <c r="Q520" s="2">
        <v>49117.34</v>
      </c>
      <c r="R520" s="2">
        <v>1590.16</v>
      </c>
      <c r="S520" t="s">
        <v>51</v>
      </c>
      <c r="T520" t="s">
        <v>71</v>
      </c>
      <c r="U520" t="s">
        <v>83</v>
      </c>
      <c r="V520">
        <v>2.9</v>
      </c>
      <c r="W520" t="s">
        <v>76</v>
      </c>
      <c r="X520" t="s">
        <v>55</v>
      </c>
      <c r="Y520" t="s">
        <v>72</v>
      </c>
    </row>
    <row r="521" spans="1:25" x14ac:dyDescent="0.3">
      <c r="A521" t="s">
        <v>1119</v>
      </c>
      <c r="B521" s="1">
        <v>45445</v>
      </c>
      <c r="C521" t="s">
        <v>43</v>
      </c>
      <c r="D521" t="s">
        <v>58</v>
      </c>
      <c r="E521" t="s">
        <v>89</v>
      </c>
      <c r="F521" t="s">
        <v>28</v>
      </c>
      <c r="G521" t="s">
        <v>29</v>
      </c>
      <c r="H521" t="s">
        <v>61</v>
      </c>
      <c r="I521">
        <v>14</v>
      </c>
      <c r="J521" t="s">
        <v>1120</v>
      </c>
      <c r="K521">
        <v>34</v>
      </c>
      <c r="L521" t="s">
        <v>63</v>
      </c>
      <c r="M521">
        <v>4</v>
      </c>
      <c r="N521" t="s">
        <v>33</v>
      </c>
      <c r="O521" t="s">
        <v>49</v>
      </c>
      <c r="P521" t="s">
        <v>35</v>
      </c>
      <c r="Q521" s="2">
        <v>46328.61</v>
      </c>
      <c r="R521" s="2">
        <v>155.81</v>
      </c>
      <c r="S521" t="s">
        <v>36</v>
      </c>
      <c r="T521" t="s">
        <v>52</v>
      </c>
      <c r="U521" t="s">
        <v>38</v>
      </c>
      <c r="V521">
        <v>3.8</v>
      </c>
      <c r="W521" t="s">
        <v>39</v>
      </c>
      <c r="X521" t="s">
        <v>55</v>
      </c>
      <c r="Y521" t="s">
        <v>72</v>
      </c>
    </row>
    <row r="522" spans="1:25" x14ac:dyDescent="0.3">
      <c r="A522" t="s">
        <v>1121</v>
      </c>
      <c r="B522" s="1">
        <v>45446</v>
      </c>
      <c r="C522" t="s">
        <v>57</v>
      </c>
      <c r="D522" t="s">
        <v>44</v>
      </c>
      <c r="E522" t="s">
        <v>4084</v>
      </c>
      <c r="F522" t="s">
        <v>60</v>
      </c>
      <c r="G522" t="s">
        <v>29</v>
      </c>
      <c r="H522" t="s">
        <v>30</v>
      </c>
      <c r="I522">
        <v>7</v>
      </c>
      <c r="J522" t="s">
        <v>1122</v>
      </c>
      <c r="K522">
        <v>35</v>
      </c>
      <c r="L522" t="s">
        <v>63</v>
      </c>
      <c r="M522">
        <v>4</v>
      </c>
      <c r="N522" t="s">
        <v>48</v>
      </c>
      <c r="O522" t="s">
        <v>34</v>
      </c>
      <c r="P522" t="s">
        <v>70</v>
      </c>
      <c r="Q522" s="2">
        <v>37248.42</v>
      </c>
      <c r="R522" s="2">
        <v>1356.62</v>
      </c>
      <c r="S522" t="s">
        <v>94</v>
      </c>
      <c r="T522" t="s">
        <v>52</v>
      </c>
      <c r="U522" t="s">
        <v>53</v>
      </c>
      <c r="V522">
        <v>1.8</v>
      </c>
      <c r="W522" t="s">
        <v>124</v>
      </c>
      <c r="X522" t="s">
        <v>84</v>
      </c>
      <c r="Y522" t="s">
        <v>41</v>
      </c>
    </row>
    <row r="523" spans="1:25" x14ac:dyDescent="0.3">
      <c r="A523" t="s">
        <v>1123</v>
      </c>
      <c r="B523" s="1">
        <v>45447</v>
      </c>
      <c r="C523" t="s">
        <v>26</v>
      </c>
      <c r="D523" t="s">
        <v>26</v>
      </c>
      <c r="E523" t="s">
        <v>120</v>
      </c>
      <c r="F523" t="s">
        <v>28</v>
      </c>
      <c r="G523" t="s">
        <v>29</v>
      </c>
      <c r="H523" t="s">
        <v>86</v>
      </c>
      <c r="I523">
        <v>10</v>
      </c>
      <c r="J523" t="s">
        <v>1124</v>
      </c>
      <c r="K523">
        <v>49</v>
      </c>
      <c r="L523" t="s">
        <v>63</v>
      </c>
      <c r="M523">
        <v>3</v>
      </c>
      <c r="N523" t="s">
        <v>91</v>
      </c>
      <c r="O523" t="s">
        <v>81</v>
      </c>
      <c r="P523" t="s">
        <v>50</v>
      </c>
      <c r="Q523" s="2">
        <v>24168.79</v>
      </c>
      <c r="R523" s="2">
        <v>1091.07</v>
      </c>
      <c r="S523" t="s">
        <v>51</v>
      </c>
      <c r="T523" t="s">
        <v>71</v>
      </c>
      <c r="U523" t="s">
        <v>53</v>
      </c>
      <c r="V523">
        <v>4</v>
      </c>
      <c r="W523" t="s">
        <v>54</v>
      </c>
      <c r="X523" t="s">
        <v>84</v>
      </c>
      <c r="Y523" t="s">
        <v>72</v>
      </c>
    </row>
    <row r="524" spans="1:25" x14ac:dyDescent="0.3">
      <c r="A524" t="s">
        <v>1125</v>
      </c>
      <c r="B524" s="1">
        <v>45448</v>
      </c>
      <c r="C524" t="s">
        <v>117</v>
      </c>
      <c r="D524" t="s">
        <v>4083</v>
      </c>
      <c r="E524" t="s">
        <v>45</v>
      </c>
      <c r="F524" t="s">
        <v>28</v>
      </c>
      <c r="G524" t="s">
        <v>29</v>
      </c>
      <c r="H524" t="s">
        <v>67</v>
      </c>
      <c r="I524">
        <v>12</v>
      </c>
      <c r="J524" t="s">
        <v>1126</v>
      </c>
      <c r="K524">
        <v>55</v>
      </c>
      <c r="L524" t="s">
        <v>63</v>
      </c>
      <c r="M524">
        <v>2</v>
      </c>
      <c r="N524" t="s">
        <v>33</v>
      </c>
      <c r="O524" t="s">
        <v>34</v>
      </c>
      <c r="P524" t="s">
        <v>70</v>
      </c>
      <c r="Q524" s="2">
        <v>13558.02</v>
      </c>
      <c r="R524" s="2">
        <v>248.15</v>
      </c>
      <c r="S524" t="s">
        <v>51</v>
      </c>
      <c r="T524" t="s">
        <v>37</v>
      </c>
      <c r="U524" t="s">
        <v>38</v>
      </c>
      <c r="V524">
        <v>3.2</v>
      </c>
      <c r="W524" t="s">
        <v>76</v>
      </c>
      <c r="X524" t="s">
        <v>40</v>
      </c>
      <c r="Y524" t="s">
        <v>72</v>
      </c>
    </row>
    <row r="525" spans="1:25" x14ac:dyDescent="0.3">
      <c r="A525" t="s">
        <v>1127</v>
      </c>
      <c r="B525" s="1">
        <v>45449</v>
      </c>
      <c r="C525" t="s">
        <v>26</v>
      </c>
      <c r="D525" t="s">
        <v>26</v>
      </c>
      <c r="E525" t="s">
        <v>45</v>
      </c>
      <c r="F525" t="s">
        <v>28</v>
      </c>
      <c r="G525" t="s">
        <v>29</v>
      </c>
      <c r="H525" t="s">
        <v>67</v>
      </c>
      <c r="I525">
        <v>10</v>
      </c>
      <c r="J525" t="s">
        <v>1128</v>
      </c>
      <c r="K525">
        <v>40</v>
      </c>
      <c r="L525" t="s">
        <v>80</v>
      </c>
      <c r="M525">
        <v>2</v>
      </c>
      <c r="N525" t="s">
        <v>64</v>
      </c>
      <c r="O525" t="s">
        <v>49</v>
      </c>
      <c r="P525" t="s">
        <v>82</v>
      </c>
      <c r="Q525" s="2">
        <v>14967.04</v>
      </c>
      <c r="R525" s="2">
        <v>2458.87</v>
      </c>
      <c r="S525" t="s">
        <v>94</v>
      </c>
      <c r="T525" t="s">
        <v>37</v>
      </c>
      <c r="U525" t="s">
        <v>83</v>
      </c>
      <c r="V525">
        <v>1.4</v>
      </c>
      <c r="W525" t="s">
        <v>124</v>
      </c>
      <c r="X525" t="s">
        <v>55</v>
      </c>
      <c r="Y525" t="s">
        <v>41</v>
      </c>
    </row>
    <row r="526" spans="1:25" x14ac:dyDescent="0.3">
      <c r="A526" t="s">
        <v>1129</v>
      </c>
      <c r="B526" s="1">
        <v>45450</v>
      </c>
      <c r="C526" t="s">
        <v>57</v>
      </c>
      <c r="D526" t="s">
        <v>44</v>
      </c>
      <c r="E526" t="s">
        <v>120</v>
      </c>
      <c r="F526" t="s">
        <v>28</v>
      </c>
      <c r="G526" t="s">
        <v>29</v>
      </c>
      <c r="H526" t="s">
        <v>86</v>
      </c>
      <c r="I526">
        <v>5</v>
      </c>
      <c r="J526" t="s">
        <v>1130</v>
      </c>
      <c r="K526">
        <v>63</v>
      </c>
      <c r="L526" t="s">
        <v>32</v>
      </c>
      <c r="M526">
        <v>1</v>
      </c>
      <c r="N526" t="s">
        <v>91</v>
      </c>
      <c r="O526" t="s">
        <v>49</v>
      </c>
      <c r="P526" t="s">
        <v>70</v>
      </c>
      <c r="Q526" s="2">
        <v>24936.799999999999</v>
      </c>
      <c r="R526" s="2">
        <v>2343.1799999999998</v>
      </c>
      <c r="S526" t="s">
        <v>36</v>
      </c>
      <c r="T526" t="s">
        <v>52</v>
      </c>
      <c r="U526" t="s">
        <v>83</v>
      </c>
      <c r="V526">
        <v>3.2</v>
      </c>
      <c r="W526" t="s">
        <v>39</v>
      </c>
      <c r="X526" t="s">
        <v>84</v>
      </c>
      <c r="Y526" t="s">
        <v>72</v>
      </c>
    </row>
    <row r="527" spans="1:25" x14ac:dyDescent="0.3">
      <c r="A527" t="s">
        <v>1131</v>
      </c>
      <c r="B527" s="1">
        <v>45451</v>
      </c>
      <c r="C527" t="s">
        <v>43</v>
      </c>
      <c r="D527" t="s">
        <v>58</v>
      </c>
      <c r="E527" t="s">
        <v>120</v>
      </c>
      <c r="F527" t="s">
        <v>28</v>
      </c>
      <c r="G527" t="s">
        <v>29</v>
      </c>
      <c r="H527" t="s">
        <v>86</v>
      </c>
      <c r="I527">
        <v>4</v>
      </c>
      <c r="J527" t="s">
        <v>1132</v>
      </c>
      <c r="K527">
        <v>40</v>
      </c>
      <c r="L527" t="s">
        <v>63</v>
      </c>
      <c r="M527">
        <v>6</v>
      </c>
      <c r="N527" t="s">
        <v>91</v>
      </c>
      <c r="O527" t="s">
        <v>69</v>
      </c>
      <c r="P527" t="s">
        <v>70</v>
      </c>
      <c r="Q527" s="2">
        <v>39570.019999999997</v>
      </c>
      <c r="R527" s="2">
        <v>388.73</v>
      </c>
      <c r="S527" t="s">
        <v>51</v>
      </c>
      <c r="T527" t="s">
        <v>71</v>
      </c>
      <c r="U527" t="s">
        <v>75</v>
      </c>
      <c r="V527">
        <v>1.3</v>
      </c>
      <c r="W527" t="s">
        <v>124</v>
      </c>
      <c r="X527" t="s">
        <v>65</v>
      </c>
      <c r="Y527" t="s">
        <v>41</v>
      </c>
    </row>
    <row r="528" spans="1:25" x14ac:dyDescent="0.3">
      <c r="A528" t="s">
        <v>1133</v>
      </c>
      <c r="B528" s="1">
        <v>45452</v>
      </c>
      <c r="C528" t="s">
        <v>26</v>
      </c>
      <c r="D528" t="s">
        <v>26</v>
      </c>
      <c r="E528" t="s">
        <v>45</v>
      </c>
      <c r="F528" t="s">
        <v>28</v>
      </c>
      <c r="G528" t="s">
        <v>29</v>
      </c>
      <c r="H528" t="s">
        <v>67</v>
      </c>
      <c r="I528">
        <v>11</v>
      </c>
      <c r="J528" t="s">
        <v>1134</v>
      </c>
      <c r="K528">
        <v>52</v>
      </c>
      <c r="L528" t="s">
        <v>80</v>
      </c>
      <c r="M528">
        <v>7</v>
      </c>
      <c r="N528" t="s">
        <v>91</v>
      </c>
      <c r="O528" t="s">
        <v>49</v>
      </c>
      <c r="P528" t="s">
        <v>82</v>
      </c>
      <c r="Q528" s="2">
        <v>16912.830000000002</v>
      </c>
      <c r="R528" s="2">
        <v>1309.25</v>
      </c>
      <c r="S528" t="s">
        <v>115</v>
      </c>
      <c r="T528" t="s">
        <v>37</v>
      </c>
      <c r="U528" t="s">
        <v>75</v>
      </c>
      <c r="V528">
        <v>1.1000000000000001</v>
      </c>
      <c r="W528" t="s">
        <v>124</v>
      </c>
      <c r="X528" t="s">
        <v>65</v>
      </c>
      <c r="Y528" t="s">
        <v>72</v>
      </c>
    </row>
    <row r="529" spans="1:25" x14ac:dyDescent="0.3">
      <c r="A529" t="s">
        <v>1135</v>
      </c>
      <c r="B529" s="1">
        <v>45453</v>
      </c>
      <c r="C529" t="s">
        <v>43</v>
      </c>
      <c r="D529" t="s">
        <v>58</v>
      </c>
      <c r="E529" t="s">
        <v>4084</v>
      </c>
      <c r="F529" t="s">
        <v>60</v>
      </c>
      <c r="G529" t="s">
        <v>29</v>
      </c>
      <c r="H529" t="s">
        <v>27</v>
      </c>
      <c r="I529">
        <v>4</v>
      </c>
      <c r="J529" t="s">
        <v>1136</v>
      </c>
      <c r="K529">
        <v>56</v>
      </c>
      <c r="L529" t="s">
        <v>63</v>
      </c>
      <c r="M529">
        <v>6</v>
      </c>
      <c r="N529" t="s">
        <v>48</v>
      </c>
      <c r="O529" t="s">
        <v>81</v>
      </c>
      <c r="P529" t="s">
        <v>82</v>
      </c>
      <c r="Q529" s="2">
        <v>18985.64</v>
      </c>
      <c r="R529" s="2">
        <v>4766.6099999999997</v>
      </c>
      <c r="S529" t="s">
        <v>36</v>
      </c>
      <c r="T529" t="s">
        <v>52</v>
      </c>
      <c r="U529" t="s">
        <v>83</v>
      </c>
      <c r="V529">
        <v>4.5999999999999996</v>
      </c>
      <c r="W529" t="s">
        <v>103</v>
      </c>
      <c r="X529" t="s">
        <v>84</v>
      </c>
      <c r="Y529" t="s">
        <v>41</v>
      </c>
    </row>
    <row r="530" spans="1:25" x14ac:dyDescent="0.3">
      <c r="A530" t="s">
        <v>1137</v>
      </c>
      <c r="B530" s="1">
        <v>45454</v>
      </c>
      <c r="C530" t="s">
        <v>117</v>
      </c>
      <c r="D530" t="s">
        <v>4083</v>
      </c>
      <c r="E530" t="s">
        <v>45</v>
      </c>
      <c r="F530" t="s">
        <v>28</v>
      </c>
      <c r="G530" t="s">
        <v>29</v>
      </c>
      <c r="H530" t="s">
        <v>67</v>
      </c>
      <c r="I530">
        <v>11</v>
      </c>
      <c r="J530" t="s">
        <v>1138</v>
      </c>
      <c r="K530">
        <v>32</v>
      </c>
      <c r="L530" t="s">
        <v>80</v>
      </c>
      <c r="M530">
        <v>7</v>
      </c>
      <c r="N530" t="s">
        <v>91</v>
      </c>
      <c r="O530" t="s">
        <v>49</v>
      </c>
      <c r="P530" t="s">
        <v>82</v>
      </c>
      <c r="Q530" s="2">
        <v>31997.49</v>
      </c>
      <c r="R530" s="2">
        <v>553.67999999999995</v>
      </c>
      <c r="S530" t="s">
        <v>51</v>
      </c>
      <c r="T530" t="s">
        <v>52</v>
      </c>
      <c r="U530" t="s">
        <v>38</v>
      </c>
      <c r="V530">
        <v>3</v>
      </c>
      <c r="W530" t="s">
        <v>76</v>
      </c>
      <c r="X530" t="s">
        <v>40</v>
      </c>
      <c r="Y530" t="s">
        <v>72</v>
      </c>
    </row>
    <row r="531" spans="1:25" x14ac:dyDescent="0.3">
      <c r="A531" t="s">
        <v>1139</v>
      </c>
      <c r="B531" s="1">
        <v>45455</v>
      </c>
      <c r="C531" t="s">
        <v>43</v>
      </c>
      <c r="D531" t="s">
        <v>58</v>
      </c>
      <c r="E531" t="s">
        <v>120</v>
      </c>
      <c r="F531" t="s">
        <v>28</v>
      </c>
      <c r="G531" t="s">
        <v>29</v>
      </c>
      <c r="H531" t="s">
        <v>86</v>
      </c>
      <c r="I531">
        <v>6</v>
      </c>
      <c r="J531" t="s">
        <v>1140</v>
      </c>
      <c r="K531">
        <v>41</v>
      </c>
      <c r="L531" t="s">
        <v>63</v>
      </c>
      <c r="M531">
        <v>5</v>
      </c>
      <c r="N531" t="s">
        <v>48</v>
      </c>
      <c r="O531" t="s">
        <v>69</v>
      </c>
      <c r="P531" t="s">
        <v>82</v>
      </c>
      <c r="Q531" s="2">
        <v>15697.82</v>
      </c>
      <c r="R531" s="2">
        <v>1525.09</v>
      </c>
      <c r="S531" t="s">
        <v>115</v>
      </c>
      <c r="T531" t="s">
        <v>71</v>
      </c>
      <c r="U531" t="s">
        <v>83</v>
      </c>
      <c r="V531">
        <v>3.2</v>
      </c>
      <c r="W531" t="s">
        <v>76</v>
      </c>
      <c r="X531" t="s">
        <v>106</v>
      </c>
      <c r="Y531" t="s">
        <v>41</v>
      </c>
    </row>
    <row r="532" spans="1:25" x14ac:dyDescent="0.3">
      <c r="A532" t="s">
        <v>1141</v>
      </c>
      <c r="B532" s="1">
        <v>45456</v>
      </c>
      <c r="C532" t="s">
        <v>43</v>
      </c>
      <c r="D532" t="s">
        <v>58</v>
      </c>
      <c r="E532" t="s">
        <v>89</v>
      </c>
      <c r="F532" t="s">
        <v>28</v>
      </c>
      <c r="G532" t="s">
        <v>29</v>
      </c>
      <c r="H532" t="s">
        <v>61</v>
      </c>
      <c r="I532">
        <v>14</v>
      </c>
      <c r="J532" t="s">
        <v>1142</v>
      </c>
      <c r="K532">
        <v>45</v>
      </c>
      <c r="L532" t="s">
        <v>32</v>
      </c>
      <c r="M532">
        <v>7</v>
      </c>
      <c r="N532" t="s">
        <v>91</v>
      </c>
      <c r="O532" t="s">
        <v>49</v>
      </c>
      <c r="P532" t="s">
        <v>70</v>
      </c>
      <c r="Q532" s="2">
        <v>31289.84</v>
      </c>
      <c r="R532" s="2">
        <v>179.31</v>
      </c>
      <c r="S532" t="s">
        <v>51</v>
      </c>
      <c r="T532" t="s">
        <v>37</v>
      </c>
      <c r="U532" t="s">
        <v>75</v>
      </c>
      <c r="V532">
        <v>2.1</v>
      </c>
      <c r="W532" t="s">
        <v>76</v>
      </c>
      <c r="X532" t="s">
        <v>55</v>
      </c>
      <c r="Y532" t="s">
        <v>41</v>
      </c>
    </row>
    <row r="533" spans="1:25" x14ac:dyDescent="0.3">
      <c r="A533" t="s">
        <v>1143</v>
      </c>
      <c r="B533" s="1">
        <v>45457</v>
      </c>
      <c r="C533" t="s">
        <v>78</v>
      </c>
      <c r="D533" t="s">
        <v>58</v>
      </c>
      <c r="E533" t="s">
        <v>4085</v>
      </c>
      <c r="F533" t="s">
        <v>60</v>
      </c>
      <c r="G533" t="s">
        <v>29</v>
      </c>
      <c r="H533" t="s">
        <v>46</v>
      </c>
      <c r="I533">
        <v>4</v>
      </c>
      <c r="J533" t="s">
        <v>1144</v>
      </c>
      <c r="K533">
        <v>33</v>
      </c>
      <c r="L533" t="s">
        <v>63</v>
      </c>
      <c r="M533">
        <v>1</v>
      </c>
      <c r="N533" t="s">
        <v>48</v>
      </c>
      <c r="O533" t="s">
        <v>49</v>
      </c>
      <c r="P533" t="s">
        <v>35</v>
      </c>
      <c r="Q533" s="2">
        <v>22420.89</v>
      </c>
      <c r="R533" s="2">
        <v>744.44</v>
      </c>
      <c r="S533" t="s">
        <v>36</v>
      </c>
      <c r="T533" t="s">
        <v>52</v>
      </c>
      <c r="U533" t="s">
        <v>75</v>
      </c>
      <c r="V533">
        <v>3.2</v>
      </c>
      <c r="W533" t="s">
        <v>76</v>
      </c>
      <c r="X533" t="s">
        <v>84</v>
      </c>
      <c r="Y533" t="s">
        <v>72</v>
      </c>
    </row>
    <row r="534" spans="1:25" x14ac:dyDescent="0.3">
      <c r="A534" t="s">
        <v>1145</v>
      </c>
      <c r="B534" s="1">
        <v>45458</v>
      </c>
      <c r="C534" t="s">
        <v>78</v>
      </c>
      <c r="D534" t="s">
        <v>58</v>
      </c>
      <c r="E534" t="s">
        <v>89</v>
      </c>
      <c r="F534" t="s">
        <v>28</v>
      </c>
      <c r="G534" t="s">
        <v>29</v>
      </c>
      <c r="H534" t="s">
        <v>61</v>
      </c>
      <c r="I534">
        <v>12</v>
      </c>
      <c r="J534" t="s">
        <v>1146</v>
      </c>
      <c r="K534">
        <v>33</v>
      </c>
      <c r="L534" t="s">
        <v>63</v>
      </c>
      <c r="M534">
        <v>3</v>
      </c>
      <c r="N534" t="s">
        <v>33</v>
      </c>
      <c r="O534" t="s">
        <v>49</v>
      </c>
      <c r="P534" t="s">
        <v>82</v>
      </c>
      <c r="Q534" s="2">
        <v>6546.57</v>
      </c>
      <c r="R534" s="2">
        <v>3496.99</v>
      </c>
      <c r="S534" t="s">
        <v>94</v>
      </c>
      <c r="T534" t="s">
        <v>37</v>
      </c>
      <c r="U534" t="s">
        <v>75</v>
      </c>
      <c r="V534">
        <v>1.7</v>
      </c>
      <c r="W534" t="s">
        <v>124</v>
      </c>
      <c r="X534" t="s">
        <v>40</v>
      </c>
      <c r="Y534" t="s">
        <v>41</v>
      </c>
    </row>
    <row r="535" spans="1:25" x14ac:dyDescent="0.3">
      <c r="A535" t="s">
        <v>1147</v>
      </c>
      <c r="B535" s="1">
        <v>45459</v>
      </c>
      <c r="C535" t="s">
        <v>78</v>
      </c>
      <c r="D535" t="s">
        <v>58</v>
      </c>
      <c r="E535" t="s">
        <v>89</v>
      </c>
      <c r="F535" t="s">
        <v>28</v>
      </c>
      <c r="G535" t="s">
        <v>29</v>
      </c>
      <c r="H535" t="s">
        <v>61</v>
      </c>
      <c r="I535">
        <v>3</v>
      </c>
      <c r="J535" t="s">
        <v>1148</v>
      </c>
      <c r="K535">
        <v>57</v>
      </c>
      <c r="L535" t="s">
        <v>32</v>
      </c>
      <c r="M535">
        <v>3</v>
      </c>
      <c r="N535" t="s">
        <v>48</v>
      </c>
      <c r="O535" t="s">
        <v>69</v>
      </c>
      <c r="P535" t="s">
        <v>50</v>
      </c>
      <c r="Q535" s="2">
        <v>23121.56</v>
      </c>
      <c r="R535" s="2">
        <v>1833.58</v>
      </c>
      <c r="S535" t="s">
        <v>94</v>
      </c>
      <c r="T535" t="s">
        <v>52</v>
      </c>
      <c r="U535" t="s">
        <v>83</v>
      </c>
      <c r="V535">
        <v>4</v>
      </c>
      <c r="W535" t="s">
        <v>54</v>
      </c>
      <c r="X535" t="s">
        <v>106</v>
      </c>
      <c r="Y535" t="s">
        <v>41</v>
      </c>
    </row>
    <row r="536" spans="1:25" x14ac:dyDescent="0.3">
      <c r="A536" t="s">
        <v>1149</v>
      </c>
      <c r="B536" s="1">
        <v>45460</v>
      </c>
      <c r="C536" t="s">
        <v>43</v>
      </c>
      <c r="D536" t="s">
        <v>58</v>
      </c>
      <c r="E536" t="s">
        <v>120</v>
      </c>
      <c r="F536" t="s">
        <v>28</v>
      </c>
      <c r="G536" t="s">
        <v>29</v>
      </c>
      <c r="H536" t="s">
        <v>86</v>
      </c>
      <c r="I536">
        <v>6</v>
      </c>
      <c r="J536" t="s">
        <v>1150</v>
      </c>
      <c r="K536">
        <v>56</v>
      </c>
      <c r="L536" t="s">
        <v>32</v>
      </c>
      <c r="M536">
        <v>2</v>
      </c>
      <c r="N536" t="s">
        <v>48</v>
      </c>
      <c r="O536" t="s">
        <v>34</v>
      </c>
      <c r="P536" t="s">
        <v>70</v>
      </c>
      <c r="Q536" s="2">
        <v>46378.64</v>
      </c>
      <c r="R536" s="2">
        <v>2260.38</v>
      </c>
      <c r="S536" t="s">
        <v>36</v>
      </c>
      <c r="T536" t="s">
        <v>52</v>
      </c>
      <c r="U536" t="s">
        <v>83</v>
      </c>
      <c r="V536">
        <v>4.3</v>
      </c>
      <c r="W536" t="s">
        <v>54</v>
      </c>
      <c r="X536" t="s">
        <v>40</v>
      </c>
      <c r="Y536" t="s">
        <v>72</v>
      </c>
    </row>
    <row r="537" spans="1:25" x14ac:dyDescent="0.3">
      <c r="A537" t="s">
        <v>1151</v>
      </c>
      <c r="B537" s="1">
        <v>45461</v>
      </c>
      <c r="C537" t="s">
        <v>57</v>
      </c>
      <c r="D537" t="s">
        <v>44</v>
      </c>
      <c r="E537" t="s">
        <v>45</v>
      </c>
      <c r="F537" t="s">
        <v>28</v>
      </c>
      <c r="G537" t="s">
        <v>29</v>
      </c>
      <c r="H537" t="s">
        <v>67</v>
      </c>
      <c r="I537">
        <v>11</v>
      </c>
      <c r="J537" t="s">
        <v>1152</v>
      </c>
      <c r="K537">
        <v>23</v>
      </c>
      <c r="L537" t="s">
        <v>63</v>
      </c>
      <c r="M537">
        <v>3</v>
      </c>
      <c r="N537" t="s">
        <v>33</v>
      </c>
      <c r="O537" t="s">
        <v>49</v>
      </c>
      <c r="P537" t="s">
        <v>35</v>
      </c>
      <c r="Q537" s="2">
        <v>18190.03</v>
      </c>
      <c r="R537" s="2">
        <v>784.89</v>
      </c>
      <c r="S537" t="s">
        <v>51</v>
      </c>
      <c r="T537" t="s">
        <v>37</v>
      </c>
      <c r="U537" t="s">
        <v>38</v>
      </c>
      <c r="V537">
        <v>4.4000000000000004</v>
      </c>
      <c r="W537" t="s">
        <v>39</v>
      </c>
      <c r="X537" t="s">
        <v>106</v>
      </c>
      <c r="Y537" t="s">
        <v>41</v>
      </c>
    </row>
    <row r="538" spans="1:25" x14ac:dyDescent="0.3">
      <c r="A538" t="s">
        <v>1153</v>
      </c>
      <c r="B538" s="1">
        <v>45462</v>
      </c>
      <c r="C538" t="s">
        <v>43</v>
      </c>
      <c r="D538" t="s">
        <v>58</v>
      </c>
      <c r="E538" t="s">
        <v>4084</v>
      </c>
      <c r="F538" t="s">
        <v>60</v>
      </c>
      <c r="G538" t="s">
        <v>29</v>
      </c>
      <c r="H538" t="s">
        <v>30</v>
      </c>
      <c r="I538">
        <v>14</v>
      </c>
      <c r="J538" t="s">
        <v>1154</v>
      </c>
      <c r="K538">
        <v>19</v>
      </c>
      <c r="L538" t="s">
        <v>32</v>
      </c>
      <c r="M538">
        <v>5</v>
      </c>
      <c r="N538" t="s">
        <v>91</v>
      </c>
      <c r="O538" t="s">
        <v>81</v>
      </c>
      <c r="P538" t="s">
        <v>50</v>
      </c>
      <c r="Q538" s="2">
        <v>19527.46</v>
      </c>
      <c r="R538" s="2">
        <v>3410.7</v>
      </c>
      <c r="S538" t="s">
        <v>36</v>
      </c>
      <c r="T538" t="s">
        <v>37</v>
      </c>
      <c r="U538" t="s">
        <v>75</v>
      </c>
      <c r="V538">
        <v>1.4</v>
      </c>
      <c r="W538" t="s">
        <v>124</v>
      </c>
      <c r="X538" t="s">
        <v>65</v>
      </c>
      <c r="Y538" t="s">
        <v>41</v>
      </c>
    </row>
    <row r="539" spans="1:25" x14ac:dyDescent="0.3">
      <c r="A539" t="s">
        <v>1155</v>
      </c>
      <c r="B539" s="1">
        <v>45463</v>
      </c>
      <c r="C539" t="s">
        <v>57</v>
      </c>
      <c r="D539" t="s">
        <v>44</v>
      </c>
      <c r="E539" t="s">
        <v>89</v>
      </c>
      <c r="F539" t="s">
        <v>28</v>
      </c>
      <c r="G539" t="s">
        <v>29</v>
      </c>
      <c r="H539" t="s">
        <v>61</v>
      </c>
      <c r="I539">
        <v>11</v>
      </c>
      <c r="J539" t="s">
        <v>1156</v>
      </c>
      <c r="K539">
        <v>30</v>
      </c>
      <c r="L539" t="s">
        <v>32</v>
      </c>
      <c r="M539">
        <v>4</v>
      </c>
      <c r="N539" t="s">
        <v>33</v>
      </c>
      <c r="O539" t="s">
        <v>69</v>
      </c>
      <c r="P539" t="s">
        <v>70</v>
      </c>
      <c r="Q539" s="2">
        <v>7967.34</v>
      </c>
      <c r="R539" s="2">
        <v>3757.61</v>
      </c>
      <c r="S539" t="s">
        <v>115</v>
      </c>
      <c r="T539" t="s">
        <v>71</v>
      </c>
      <c r="U539" t="s">
        <v>53</v>
      </c>
      <c r="V539">
        <v>3.2</v>
      </c>
      <c r="W539" t="s">
        <v>76</v>
      </c>
      <c r="X539" t="s">
        <v>106</v>
      </c>
      <c r="Y539" t="s">
        <v>72</v>
      </c>
    </row>
    <row r="540" spans="1:25" x14ac:dyDescent="0.3">
      <c r="A540" t="s">
        <v>1157</v>
      </c>
      <c r="B540" s="1">
        <v>45464</v>
      </c>
      <c r="C540" t="s">
        <v>57</v>
      </c>
      <c r="D540" t="s">
        <v>44</v>
      </c>
      <c r="E540" t="s">
        <v>45</v>
      </c>
      <c r="F540" t="s">
        <v>28</v>
      </c>
      <c r="G540" t="s">
        <v>29</v>
      </c>
      <c r="H540" t="s">
        <v>67</v>
      </c>
      <c r="I540">
        <v>6</v>
      </c>
      <c r="J540" t="s">
        <v>1158</v>
      </c>
      <c r="K540">
        <v>61</v>
      </c>
      <c r="L540" t="s">
        <v>80</v>
      </c>
      <c r="M540">
        <v>3</v>
      </c>
      <c r="N540" t="s">
        <v>91</v>
      </c>
      <c r="O540" t="s">
        <v>81</v>
      </c>
      <c r="P540" t="s">
        <v>70</v>
      </c>
      <c r="Q540" s="2">
        <v>32677.14</v>
      </c>
      <c r="R540" s="2">
        <v>905.56</v>
      </c>
      <c r="S540" t="s">
        <v>51</v>
      </c>
      <c r="T540" t="s">
        <v>71</v>
      </c>
      <c r="U540" t="s">
        <v>53</v>
      </c>
      <c r="V540">
        <v>4.2</v>
      </c>
      <c r="W540" t="s">
        <v>54</v>
      </c>
      <c r="X540" t="s">
        <v>65</v>
      </c>
      <c r="Y540" t="s">
        <v>72</v>
      </c>
    </row>
    <row r="541" spans="1:25" x14ac:dyDescent="0.3">
      <c r="A541" t="s">
        <v>1159</v>
      </c>
      <c r="B541" s="1">
        <v>45465</v>
      </c>
      <c r="C541" t="s">
        <v>78</v>
      </c>
      <c r="D541" t="s">
        <v>58</v>
      </c>
      <c r="E541" t="s">
        <v>4084</v>
      </c>
      <c r="F541" t="s">
        <v>60</v>
      </c>
      <c r="G541" t="s">
        <v>29</v>
      </c>
      <c r="H541" t="s">
        <v>30</v>
      </c>
      <c r="I541">
        <v>11</v>
      </c>
      <c r="J541" t="s">
        <v>1160</v>
      </c>
      <c r="K541">
        <v>64</v>
      </c>
      <c r="L541" t="s">
        <v>32</v>
      </c>
      <c r="M541">
        <v>1</v>
      </c>
      <c r="N541" t="s">
        <v>48</v>
      </c>
      <c r="O541" t="s">
        <v>49</v>
      </c>
      <c r="P541" t="s">
        <v>50</v>
      </c>
      <c r="Q541" s="2">
        <v>43215.91</v>
      </c>
      <c r="R541" s="2">
        <v>224.97</v>
      </c>
      <c r="S541" t="s">
        <v>36</v>
      </c>
      <c r="T541" t="s">
        <v>71</v>
      </c>
      <c r="U541" t="s">
        <v>38</v>
      </c>
      <c r="V541">
        <v>1.5</v>
      </c>
      <c r="W541" t="s">
        <v>124</v>
      </c>
      <c r="X541" t="s">
        <v>55</v>
      </c>
      <c r="Y541" t="s">
        <v>72</v>
      </c>
    </row>
    <row r="542" spans="1:25" x14ac:dyDescent="0.3">
      <c r="A542" t="s">
        <v>1161</v>
      </c>
      <c r="B542" s="1">
        <v>45466</v>
      </c>
      <c r="C542" t="s">
        <v>26</v>
      </c>
      <c r="D542" t="s">
        <v>26</v>
      </c>
      <c r="E542" t="s">
        <v>89</v>
      </c>
      <c r="F542" t="s">
        <v>28</v>
      </c>
      <c r="G542" t="s">
        <v>29</v>
      </c>
      <c r="H542" t="s">
        <v>61</v>
      </c>
      <c r="I542">
        <v>14</v>
      </c>
      <c r="J542" t="s">
        <v>1162</v>
      </c>
      <c r="K542">
        <v>26</v>
      </c>
      <c r="L542" t="s">
        <v>32</v>
      </c>
      <c r="M542">
        <v>5</v>
      </c>
      <c r="N542" t="s">
        <v>91</v>
      </c>
      <c r="O542" t="s">
        <v>69</v>
      </c>
      <c r="P542" t="s">
        <v>82</v>
      </c>
      <c r="Q542" s="2">
        <v>20881.53</v>
      </c>
      <c r="R542" s="2">
        <v>404.71</v>
      </c>
      <c r="S542" t="s">
        <v>94</v>
      </c>
      <c r="T542" t="s">
        <v>71</v>
      </c>
      <c r="U542" t="s">
        <v>38</v>
      </c>
      <c r="V542">
        <v>1.4</v>
      </c>
      <c r="W542" t="s">
        <v>124</v>
      </c>
      <c r="X542" t="s">
        <v>84</v>
      </c>
      <c r="Y542" t="s">
        <v>72</v>
      </c>
    </row>
    <row r="543" spans="1:25" x14ac:dyDescent="0.3">
      <c r="A543" t="s">
        <v>1163</v>
      </c>
      <c r="B543" s="1">
        <v>45467</v>
      </c>
      <c r="C543" t="s">
        <v>117</v>
      </c>
      <c r="D543" t="s">
        <v>4083</v>
      </c>
      <c r="E543" t="s">
        <v>4084</v>
      </c>
      <c r="F543" t="s">
        <v>60</v>
      </c>
      <c r="G543" t="s">
        <v>29</v>
      </c>
      <c r="H543" t="s">
        <v>27</v>
      </c>
      <c r="I543">
        <v>8</v>
      </c>
      <c r="J543" t="s">
        <v>1164</v>
      </c>
      <c r="K543">
        <v>51</v>
      </c>
      <c r="L543" t="s">
        <v>63</v>
      </c>
      <c r="M543">
        <v>3</v>
      </c>
      <c r="N543" t="s">
        <v>48</v>
      </c>
      <c r="O543" t="s">
        <v>49</v>
      </c>
      <c r="P543" t="s">
        <v>82</v>
      </c>
      <c r="Q543" s="2">
        <v>15811.05</v>
      </c>
      <c r="R543" s="2">
        <v>3285.23</v>
      </c>
      <c r="S543" t="s">
        <v>36</v>
      </c>
      <c r="T543" t="s">
        <v>37</v>
      </c>
      <c r="U543" t="s">
        <v>75</v>
      </c>
      <c r="V543">
        <v>4.3</v>
      </c>
      <c r="W543" t="s">
        <v>39</v>
      </c>
      <c r="X543" t="s">
        <v>65</v>
      </c>
      <c r="Y543" t="s">
        <v>72</v>
      </c>
    </row>
    <row r="544" spans="1:25" x14ac:dyDescent="0.3">
      <c r="A544" t="s">
        <v>1165</v>
      </c>
      <c r="B544" s="1">
        <v>45468</v>
      </c>
      <c r="C544" t="s">
        <v>78</v>
      </c>
      <c r="D544" t="s">
        <v>58</v>
      </c>
      <c r="E544" t="s">
        <v>45</v>
      </c>
      <c r="F544" t="s">
        <v>28</v>
      </c>
      <c r="G544" t="s">
        <v>29</v>
      </c>
      <c r="H544" t="s">
        <v>67</v>
      </c>
      <c r="I544">
        <v>3</v>
      </c>
      <c r="J544" t="s">
        <v>1166</v>
      </c>
      <c r="K544">
        <v>34</v>
      </c>
      <c r="L544" t="s">
        <v>63</v>
      </c>
      <c r="M544">
        <v>6</v>
      </c>
      <c r="N544" t="s">
        <v>91</v>
      </c>
      <c r="O544" t="s">
        <v>81</v>
      </c>
      <c r="P544" t="s">
        <v>50</v>
      </c>
      <c r="Q544" s="2">
        <v>48047.53</v>
      </c>
      <c r="R544" s="2">
        <v>677.55</v>
      </c>
      <c r="S544" t="s">
        <v>51</v>
      </c>
      <c r="T544" t="s">
        <v>71</v>
      </c>
      <c r="U544" t="s">
        <v>83</v>
      </c>
      <c r="V544">
        <v>4.2</v>
      </c>
      <c r="W544" t="s">
        <v>54</v>
      </c>
      <c r="X544" t="s">
        <v>40</v>
      </c>
      <c r="Y544" t="s">
        <v>72</v>
      </c>
    </row>
    <row r="545" spans="1:25" x14ac:dyDescent="0.3">
      <c r="A545" t="s">
        <v>1167</v>
      </c>
      <c r="B545" s="1">
        <v>45469</v>
      </c>
      <c r="C545" t="s">
        <v>78</v>
      </c>
      <c r="D545" t="s">
        <v>58</v>
      </c>
      <c r="E545" t="s">
        <v>4085</v>
      </c>
      <c r="F545" t="s">
        <v>60</v>
      </c>
      <c r="G545" t="s">
        <v>29</v>
      </c>
      <c r="H545" t="s">
        <v>46</v>
      </c>
      <c r="I545">
        <v>12</v>
      </c>
      <c r="J545" t="s">
        <v>1168</v>
      </c>
      <c r="K545">
        <v>44</v>
      </c>
      <c r="L545" t="s">
        <v>80</v>
      </c>
      <c r="M545">
        <v>7</v>
      </c>
      <c r="N545" t="s">
        <v>48</v>
      </c>
      <c r="O545" t="s">
        <v>69</v>
      </c>
      <c r="P545" t="s">
        <v>35</v>
      </c>
      <c r="Q545" s="2">
        <v>38528.269999999997</v>
      </c>
      <c r="R545" s="2">
        <v>2469.59</v>
      </c>
      <c r="S545" t="s">
        <v>36</v>
      </c>
      <c r="T545" t="s">
        <v>37</v>
      </c>
      <c r="U545" t="s">
        <v>83</v>
      </c>
      <c r="V545">
        <v>2.8</v>
      </c>
      <c r="W545" t="s">
        <v>76</v>
      </c>
      <c r="X545" t="s">
        <v>106</v>
      </c>
      <c r="Y545" t="s">
        <v>41</v>
      </c>
    </row>
    <row r="546" spans="1:25" x14ac:dyDescent="0.3">
      <c r="A546" t="s">
        <v>1169</v>
      </c>
      <c r="B546" s="1">
        <v>45470</v>
      </c>
      <c r="C546" t="s">
        <v>26</v>
      </c>
      <c r="D546" t="s">
        <v>26</v>
      </c>
      <c r="E546" t="s">
        <v>45</v>
      </c>
      <c r="F546" t="s">
        <v>28</v>
      </c>
      <c r="G546" t="s">
        <v>29</v>
      </c>
      <c r="H546" t="s">
        <v>67</v>
      </c>
      <c r="I546">
        <v>8</v>
      </c>
      <c r="J546" t="s">
        <v>1170</v>
      </c>
      <c r="K546">
        <v>46</v>
      </c>
      <c r="L546" t="s">
        <v>63</v>
      </c>
      <c r="M546">
        <v>3</v>
      </c>
      <c r="N546" t="s">
        <v>48</v>
      </c>
      <c r="O546" t="s">
        <v>34</v>
      </c>
      <c r="P546" t="s">
        <v>82</v>
      </c>
      <c r="Q546" s="2">
        <v>30522.36</v>
      </c>
      <c r="R546" s="2">
        <v>763.21</v>
      </c>
      <c r="S546" t="s">
        <v>94</v>
      </c>
      <c r="T546" t="s">
        <v>52</v>
      </c>
      <c r="U546" t="s">
        <v>53</v>
      </c>
      <c r="V546">
        <v>1.4</v>
      </c>
      <c r="W546" t="s">
        <v>124</v>
      </c>
      <c r="X546" t="s">
        <v>40</v>
      </c>
      <c r="Y546" t="s">
        <v>72</v>
      </c>
    </row>
    <row r="547" spans="1:25" x14ac:dyDescent="0.3">
      <c r="A547" t="s">
        <v>1171</v>
      </c>
      <c r="B547" s="1">
        <v>45471</v>
      </c>
      <c r="C547" t="s">
        <v>117</v>
      </c>
      <c r="D547" t="s">
        <v>4083</v>
      </c>
      <c r="E547" t="s">
        <v>120</v>
      </c>
      <c r="F547" t="s">
        <v>28</v>
      </c>
      <c r="G547" t="s">
        <v>29</v>
      </c>
      <c r="H547" t="s">
        <v>86</v>
      </c>
      <c r="I547">
        <v>11</v>
      </c>
      <c r="J547" t="s">
        <v>1172</v>
      </c>
      <c r="K547">
        <v>54</v>
      </c>
      <c r="L547" t="s">
        <v>32</v>
      </c>
      <c r="M547">
        <v>6</v>
      </c>
      <c r="N547" t="s">
        <v>64</v>
      </c>
      <c r="O547" t="s">
        <v>34</v>
      </c>
      <c r="P547" t="s">
        <v>70</v>
      </c>
      <c r="Q547" s="2">
        <v>18748.900000000001</v>
      </c>
      <c r="R547" s="2">
        <v>850.74</v>
      </c>
      <c r="S547" t="s">
        <v>115</v>
      </c>
      <c r="T547" t="s">
        <v>37</v>
      </c>
      <c r="U547" t="s">
        <v>75</v>
      </c>
      <c r="V547">
        <v>3.1</v>
      </c>
      <c r="W547" t="s">
        <v>76</v>
      </c>
      <c r="X547" t="s">
        <v>65</v>
      </c>
      <c r="Y547" t="s">
        <v>72</v>
      </c>
    </row>
    <row r="548" spans="1:25" x14ac:dyDescent="0.3">
      <c r="A548" t="s">
        <v>1173</v>
      </c>
      <c r="B548" s="1">
        <v>45472</v>
      </c>
      <c r="C548" t="s">
        <v>43</v>
      </c>
      <c r="D548" t="s">
        <v>58</v>
      </c>
      <c r="E548" t="s">
        <v>4084</v>
      </c>
      <c r="F548" t="s">
        <v>60</v>
      </c>
      <c r="G548" t="s">
        <v>29</v>
      </c>
      <c r="H548" t="s">
        <v>30</v>
      </c>
      <c r="I548">
        <v>4</v>
      </c>
      <c r="J548" t="s">
        <v>1174</v>
      </c>
      <c r="K548">
        <v>60</v>
      </c>
      <c r="L548" t="s">
        <v>32</v>
      </c>
      <c r="M548">
        <v>5</v>
      </c>
      <c r="N548" t="s">
        <v>91</v>
      </c>
      <c r="O548" t="s">
        <v>34</v>
      </c>
      <c r="P548" t="s">
        <v>70</v>
      </c>
      <c r="Q548" s="2">
        <v>14935.91</v>
      </c>
      <c r="R548" s="2">
        <v>21.8</v>
      </c>
      <c r="S548" t="s">
        <v>36</v>
      </c>
      <c r="T548" t="s">
        <v>71</v>
      </c>
      <c r="U548" t="s">
        <v>53</v>
      </c>
      <c r="V548">
        <v>2.6</v>
      </c>
      <c r="W548" t="s">
        <v>76</v>
      </c>
      <c r="X548" t="s">
        <v>40</v>
      </c>
      <c r="Y548" t="s">
        <v>72</v>
      </c>
    </row>
    <row r="549" spans="1:25" x14ac:dyDescent="0.3">
      <c r="A549" t="s">
        <v>1175</v>
      </c>
      <c r="B549" s="1">
        <v>45473</v>
      </c>
      <c r="C549" t="s">
        <v>43</v>
      </c>
      <c r="D549" t="s">
        <v>58</v>
      </c>
      <c r="E549" t="s">
        <v>4085</v>
      </c>
      <c r="F549" t="s">
        <v>60</v>
      </c>
      <c r="G549" t="s">
        <v>29</v>
      </c>
      <c r="H549" t="s">
        <v>46</v>
      </c>
      <c r="I549">
        <v>8</v>
      </c>
      <c r="J549" t="s">
        <v>1176</v>
      </c>
      <c r="K549">
        <v>39</v>
      </c>
      <c r="L549" t="s">
        <v>32</v>
      </c>
      <c r="M549">
        <v>3</v>
      </c>
      <c r="N549" t="s">
        <v>91</v>
      </c>
      <c r="O549" t="s">
        <v>49</v>
      </c>
      <c r="P549" t="s">
        <v>35</v>
      </c>
      <c r="Q549" s="2">
        <v>37208.480000000003</v>
      </c>
      <c r="R549" s="2">
        <v>1604.12</v>
      </c>
      <c r="S549" t="s">
        <v>36</v>
      </c>
      <c r="T549" t="s">
        <v>37</v>
      </c>
      <c r="U549" t="s">
        <v>53</v>
      </c>
      <c r="V549">
        <v>3.1</v>
      </c>
      <c r="W549" t="s">
        <v>76</v>
      </c>
      <c r="X549" t="s">
        <v>106</v>
      </c>
      <c r="Y549" t="s">
        <v>41</v>
      </c>
    </row>
    <row r="550" spans="1:25" x14ac:dyDescent="0.3">
      <c r="A550" t="s">
        <v>1177</v>
      </c>
      <c r="B550" s="1">
        <v>45474</v>
      </c>
      <c r="C550" t="s">
        <v>78</v>
      </c>
      <c r="D550" t="s">
        <v>58</v>
      </c>
      <c r="E550" t="s">
        <v>4084</v>
      </c>
      <c r="F550" t="s">
        <v>60</v>
      </c>
      <c r="G550" t="s">
        <v>29</v>
      </c>
      <c r="H550" t="s">
        <v>27</v>
      </c>
      <c r="I550">
        <v>4</v>
      </c>
      <c r="J550" t="s">
        <v>1178</v>
      </c>
      <c r="K550">
        <v>68</v>
      </c>
      <c r="L550" t="s">
        <v>63</v>
      </c>
      <c r="M550">
        <v>6</v>
      </c>
      <c r="N550" t="s">
        <v>64</v>
      </c>
      <c r="O550" t="s">
        <v>69</v>
      </c>
      <c r="P550" t="s">
        <v>70</v>
      </c>
      <c r="Q550" s="2">
        <v>28480.5</v>
      </c>
      <c r="R550" s="2">
        <v>448.99</v>
      </c>
      <c r="S550" t="s">
        <v>115</v>
      </c>
      <c r="T550" t="s">
        <v>37</v>
      </c>
      <c r="U550" t="s">
        <v>75</v>
      </c>
      <c r="V550">
        <v>2.8</v>
      </c>
      <c r="W550" t="s">
        <v>76</v>
      </c>
      <c r="X550" t="s">
        <v>84</v>
      </c>
      <c r="Y550" t="s">
        <v>41</v>
      </c>
    </row>
    <row r="551" spans="1:25" x14ac:dyDescent="0.3">
      <c r="A551" t="s">
        <v>1179</v>
      </c>
      <c r="B551" s="1">
        <v>45475</v>
      </c>
      <c r="C551" t="s">
        <v>117</v>
      </c>
      <c r="D551" t="s">
        <v>4083</v>
      </c>
      <c r="E551" t="s">
        <v>4084</v>
      </c>
      <c r="F551" t="s">
        <v>60</v>
      </c>
      <c r="G551" t="s">
        <v>29</v>
      </c>
      <c r="H551" t="s">
        <v>27</v>
      </c>
      <c r="I551">
        <v>6</v>
      </c>
      <c r="J551" t="s">
        <v>1180</v>
      </c>
      <c r="K551">
        <v>41</v>
      </c>
      <c r="L551" t="s">
        <v>32</v>
      </c>
      <c r="M551">
        <v>4</v>
      </c>
      <c r="N551" t="s">
        <v>48</v>
      </c>
      <c r="O551" t="s">
        <v>81</v>
      </c>
      <c r="P551" t="s">
        <v>82</v>
      </c>
      <c r="Q551" s="2">
        <v>28426.99</v>
      </c>
      <c r="R551" s="2">
        <v>1969.81</v>
      </c>
      <c r="S551" t="s">
        <v>36</v>
      </c>
      <c r="T551" t="s">
        <v>37</v>
      </c>
      <c r="U551" t="s">
        <v>38</v>
      </c>
      <c r="V551">
        <v>3.3</v>
      </c>
      <c r="W551" t="s">
        <v>76</v>
      </c>
      <c r="X551" t="s">
        <v>40</v>
      </c>
      <c r="Y551" t="s">
        <v>41</v>
      </c>
    </row>
    <row r="552" spans="1:25" x14ac:dyDescent="0.3">
      <c r="A552" t="s">
        <v>1181</v>
      </c>
      <c r="B552" s="1">
        <v>45476</v>
      </c>
      <c r="C552" t="s">
        <v>78</v>
      </c>
      <c r="D552" t="s">
        <v>58</v>
      </c>
      <c r="E552" t="s">
        <v>89</v>
      </c>
      <c r="F552" t="s">
        <v>28</v>
      </c>
      <c r="G552" t="s">
        <v>29</v>
      </c>
      <c r="H552" t="s">
        <v>61</v>
      </c>
      <c r="I552">
        <v>10</v>
      </c>
      <c r="J552" t="s">
        <v>1182</v>
      </c>
      <c r="K552">
        <v>24</v>
      </c>
      <c r="L552" t="s">
        <v>32</v>
      </c>
      <c r="M552">
        <v>2</v>
      </c>
      <c r="N552" t="s">
        <v>48</v>
      </c>
      <c r="O552" t="s">
        <v>81</v>
      </c>
      <c r="P552" t="s">
        <v>35</v>
      </c>
      <c r="Q552" s="2">
        <v>8316.94</v>
      </c>
      <c r="R552" s="2">
        <v>2988.92</v>
      </c>
      <c r="S552" t="s">
        <v>94</v>
      </c>
      <c r="T552" t="s">
        <v>37</v>
      </c>
      <c r="U552" t="s">
        <v>53</v>
      </c>
      <c r="V552">
        <v>3.9</v>
      </c>
      <c r="W552" t="s">
        <v>54</v>
      </c>
      <c r="X552" t="s">
        <v>55</v>
      </c>
      <c r="Y552" t="s">
        <v>72</v>
      </c>
    </row>
    <row r="553" spans="1:25" x14ac:dyDescent="0.3">
      <c r="A553" t="s">
        <v>1183</v>
      </c>
      <c r="B553" s="1">
        <v>45477</v>
      </c>
      <c r="C553" t="s">
        <v>57</v>
      </c>
      <c r="D553" t="s">
        <v>44</v>
      </c>
      <c r="E553" t="s">
        <v>120</v>
      </c>
      <c r="F553" t="s">
        <v>28</v>
      </c>
      <c r="G553" t="s">
        <v>29</v>
      </c>
      <c r="H553" t="s">
        <v>86</v>
      </c>
      <c r="I553">
        <v>9</v>
      </c>
      <c r="J553" t="s">
        <v>1184</v>
      </c>
      <c r="K553">
        <v>51</v>
      </c>
      <c r="L553" t="s">
        <v>80</v>
      </c>
      <c r="M553">
        <v>5</v>
      </c>
      <c r="N553" t="s">
        <v>64</v>
      </c>
      <c r="O553" t="s">
        <v>49</v>
      </c>
      <c r="P553" t="s">
        <v>82</v>
      </c>
      <c r="Q553" s="2">
        <v>28048.75</v>
      </c>
      <c r="R553" s="2">
        <v>1837.66</v>
      </c>
      <c r="S553" t="s">
        <v>115</v>
      </c>
      <c r="T553" t="s">
        <v>37</v>
      </c>
      <c r="U553" t="s">
        <v>38</v>
      </c>
      <c r="V553">
        <v>4.0999999999999996</v>
      </c>
      <c r="W553" t="s">
        <v>39</v>
      </c>
      <c r="X553" t="s">
        <v>106</v>
      </c>
      <c r="Y553" t="s">
        <v>41</v>
      </c>
    </row>
    <row r="554" spans="1:25" x14ac:dyDescent="0.3">
      <c r="A554" t="s">
        <v>1185</v>
      </c>
      <c r="B554" s="1">
        <v>45478</v>
      </c>
      <c r="C554" t="s">
        <v>78</v>
      </c>
      <c r="D554" t="s">
        <v>58</v>
      </c>
      <c r="E554" t="s">
        <v>4084</v>
      </c>
      <c r="F554" t="s">
        <v>60</v>
      </c>
      <c r="G554" t="s">
        <v>29</v>
      </c>
      <c r="H554" t="s">
        <v>30</v>
      </c>
      <c r="I554">
        <v>13</v>
      </c>
      <c r="J554" t="s">
        <v>1186</v>
      </c>
      <c r="K554">
        <v>65</v>
      </c>
      <c r="L554" t="s">
        <v>80</v>
      </c>
      <c r="M554">
        <v>6</v>
      </c>
      <c r="N554" t="s">
        <v>64</v>
      </c>
      <c r="O554" t="s">
        <v>49</v>
      </c>
      <c r="P554" t="s">
        <v>35</v>
      </c>
      <c r="Q554" s="2">
        <v>42023.48</v>
      </c>
      <c r="R554" s="2">
        <v>3525.41</v>
      </c>
      <c r="S554" t="s">
        <v>94</v>
      </c>
      <c r="T554" t="s">
        <v>71</v>
      </c>
      <c r="U554" t="s">
        <v>83</v>
      </c>
      <c r="V554">
        <v>3.6</v>
      </c>
      <c r="W554" t="s">
        <v>54</v>
      </c>
      <c r="X554" t="s">
        <v>106</v>
      </c>
      <c r="Y554" t="s">
        <v>41</v>
      </c>
    </row>
    <row r="555" spans="1:25" x14ac:dyDescent="0.3">
      <c r="A555" t="s">
        <v>1187</v>
      </c>
      <c r="B555" s="1">
        <v>45479</v>
      </c>
      <c r="C555" t="s">
        <v>78</v>
      </c>
      <c r="D555" t="s">
        <v>58</v>
      </c>
      <c r="E555" t="s">
        <v>45</v>
      </c>
      <c r="F555" t="s">
        <v>28</v>
      </c>
      <c r="G555" t="s">
        <v>29</v>
      </c>
      <c r="H555" t="s">
        <v>67</v>
      </c>
      <c r="I555">
        <v>14</v>
      </c>
      <c r="J555" t="s">
        <v>1188</v>
      </c>
      <c r="K555">
        <v>29</v>
      </c>
      <c r="L555" t="s">
        <v>80</v>
      </c>
      <c r="M555">
        <v>1</v>
      </c>
      <c r="N555" t="s">
        <v>33</v>
      </c>
      <c r="O555" t="s">
        <v>81</v>
      </c>
      <c r="P555" t="s">
        <v>50</v>
      </c>
      <c r="Q555" s="2">
        <v>47605.97</v>
      </c>
      <c r="R555" s="2">
        <v>3707.26</v>
      </c>
      <c r="S555" t="s">
        <v>94</v>
      </c>
      <c r="T555" t="s">
        <v>37</v>
      </c>
      <c r="U555" t="s">
        <v>53</v>
      </c>
      <c r="V555">
        <v>1.8</v>
      </c>
      <c r="W555" t="s">
        <v>124</v>
      </c>
      <c r="X555" t="s">
        <v>55</v>
      </c>
      <c r="Y555" t="s">
        <v>41</v>
      </c>
    </row>
    <row r="556" spans="1:25" x14ac:dyDescent="0.3">
      <c r="A556" t="s">
        <v>1189</v>
      </c>
      <c r="B556" s="1">
        <v>45480</v>
      </c>
      <c r="C556" t="s">
        <v>43</v>
      </c>
      <c r="D556" t="s">
        <v>58</v>
      </c>
      <c r="E556" t="s">
        <v>45</v>
      </c>
      <c r="F556" t="s">
        <v>28</v>
      </c>
      <c r="G556" t="s">
        <v>29</v>
      </c>
      <c r="H556" t="s">
        <v>67</v>
      </c>
      <c r="I556">
        <v>11</v>
      </c>
      <c r="J556" t="s">
        <v>1190</v>
      </c>
      <c r="K556">
        <v>40</v>
      </c>
      <c r="L556" t="s">
        <v>63</v>
      </c>
      <c r="M556">
        <v>3</v>
      </c>
      <c r="N556" t="s">
        <v>48</v>
      </c>
      <c r="O556" t="s">
        <v>69</v>
      </c>
      <c r="P556" t="s">
        <v>70</v>
      </c>
      <c r="Q556" s="2">
        <v>9800.7099999999991</v>
      </c>
      <c r="R556" s="2">
        <v>3483.03</v>
      </c>
      <c r="S556" t="s">
        <v>94</v>
      </c>
      <c r="T556" t="s">
        <v>71</v>
      </c>
      <c r="U556" t="s">
        <v>75</v>
      </c>
      <c r="V556">
        <v>2.6</v>
      </c>
      <c r="W556" t="s">
        <v>76</v>
      </c>
      <c r="X556" t="s">
        <v>65</v>
      </c>
      <c r="Y556" t="s">
        <v>41</v>
      </c>
    </row>
    <row r="557" spans="1:25" x14ac:dyDescent="0.3">
      <c r="A557" t="s">
        <v>1191</v>
      </c>
      <c r="B557" s="1">
        <v>45481</v>
      </c>
      <c r="C557" t="s">
        <v>43</v>
      </c>
      <c r="D557" t="s">
        <v>58</v>
      </c>
      <c r="E557" t="s">
        <v>89</v>
      </c>
      <c r="F557" t="s">
        <v>28</v>
      </c>
      <c r="G557" t="s">
        <v>29</v>
      </c>
      <c r="H557" t="s">
        <v>61</v>
      </c>
      <c r="I557">
        <v>9</v>
      </c>
      <c r="J557" t="s">
        <v>1192</v>
      </c>
      <c r="K557">
        <v>32</v>
      </c>
      <c r="L557" t="s">
        <v>32</v>
      </c>
      <c r="M557">
        <v>6</v>
      </c>
      <c r="N557" t="s">
        <v>33</v>
      </c>
      <c r="O557" t="s">
        <v>49</v>
      </c>
      <c r="P557" t="s">
        <v>35</v>
      </c>
      <c r="Q557" s="2">
        <v>33402.43</v>
      </c>
      <c r="R557" s="2">
        <v>4683.57</v>
      </c>
      <c r="S557" t="s">
        <v>51</v>
      </c>
      <c r="T557" t="s">
        <v>52</v>
      </c>
      <c r="U557" t="s">
        <v>38</v>
      </c>
      <c r="V557">
        <v>1.3</v>
      </c>
      <c r="W557" t="s">
        <v>124</v>
      </c>
      <c r="X557" t="s">
        <v>55</v>
      </c>
      <c r="Y557" t="s">
        <v>72</v>
      </c>
    </row>
    <row r="558" spans="1:25" x14ac:dyDescent="0.3">
      <c r="A558" t="s">
        <v>1193</v>
      </c>
      <c r="B558" s="1">
        <v>45482</v>
      </c>
      <c r="C558" t="s">
        <v>43</v>
      </c>
      <c r="D558" t="s">
        <v>58</v>
      </c>
      <c r="E558" t="s">
        <v>120</v>
      </c>
      <c r="F558" t="s">
        <v>28</v>
      </c>
      <c r="G558" t="s">
        <v>29</v>
      </c>
      <c r="H558" t="s">
        <v>86</v>
      </c>
      <c r="I558">
        <v>3</v>
      </c>
      <c r="J558" t="s">
        <v>1194</v>
      </c>
      <c r="K558">
        <v>50</v>
      </c>
      <c r="L558" t="s">
        <v>32</v>
      </c>
      <c r="M558">
        <v>7</v>
      </c>
      <c r="N558" t="s">
        <v>91</v>
      </c>
      <c r="O558" t="s">
        <v>69</v>
      </c>
      <c r="P558" t="s">
        <v>50</v>
      </c>
      <c r="Q558" s="2">
        <v>30575.63</v>
      </c>
      <c r="R558" s="2">
        <v>1186.47</v>
      </c>
      <c r="S558" t="s">
        <v>115</v>
      </c>
      <c r="T558" t="s">
        <v>37</v>
      </c>
      <c r="U558" t="s">
        <v>83</v>
      </c>
      <c r="V558">
        <v>2.8</v>
      </c>
      <c r="W558" t="s">
        <v>76</v>
      </c>
      <c r="X558" t="s">
        <v>65</v>
      </c>
      <c r="Y558" t="s">
        <v>72</v>
      </c>
    </row>
    <row r="559" spans="1:25" x14ac:dyDescent="0.3">
      <c r="A559" t="s">
        <v>1195</v>
      </c>
      <c r="B559" s="1">
        <v>45483</v>
      </c>
      <c r="C559" t="s">
        <v>57</v>
      </c>
      <c r="D559" t="s">
        <v>44</v>
      </c>
      <c r="E559" t="s">
        <v>120</v>
      </c>
      <c r="F559" t="s">
        <v>28</v>
      </c>
      <c r="G559" t="s">
        <v>29</v>
      </c>
      <c r="H559" t="s">
        <v>86</v>
      </c>
      <c r="I559">
        <v>4</v>
      </c>
      <c r="J559" t="s">
        <v>1196</v>
      </c>
      <c r="K559">
        <v>30</v>
      </c>
      <c r="L559" t="s">
        <v>32</v>
      </c>
      <c r="M559">
        <v>6</v>
      </c>
      <c r="N559" t="s">
        <v>33</v>
      </c>
      <c r="O559" t="s">
        <v>81</v>
      </c>
      <c r="P559" t="s">
        <v>82</v>
      </c>
      <c r="Q559" s="2">
        <v>45064.06</v>
      </c>
      <c r="R559" s="2">
        <v>947.28</v>
      </c>
      <c r="S559" t="s">
        <v>51</v>
      </c>
      <c r="T559" t="s">
        <v>52</v>
      </c>
      <c r="U559" t="s">
        <v>83</v>
      </c>
      <c r="V559">
        <v>4.9000000000000004</v>
      </c>
      <c r="W559" t="s">
        <v>103</v>
      </c>
      <c r="X559" t="s">
        <v>84</v>
      </c>
      <c r="Y559" t="s">
        <v>72</v>
      </c>
    </row>
    <row r="560" spans="1:25" x14ac:dyDescent="0.3">
      <c r="A560" t="s">
        <v>1197</v>
      </c>
      <c r="B560" s="1">
        <v>45484</v>
      </c>
      <c r="C560" t="s">
        <v>43</v>
      </c>
      <c r="D560" t="s">
        <v>58</v>
      </c>
      <c r="E560" t="s">
        <v>45</v>
      </c>
      <c r="F560" t="s">
        <v>28</v>
      </c>
      <c r="G560" t="s">
        <v>29</v>
      </c>
      <c r="H560" t="s">
        <v>67</v>
      </c>
      <c r="I560">
        <v>8</v>
      </c>
      <c r="J560" t="s">
        <v>1198</v>
      </c>
      <c r="K560">
        <v>40</v>
      </c>
      <c r="L560" t="s">
        <v>80</v>
      </c>
      <c r="M560">
        <v>6</v>
      </c>
      <c r="N560" t="s">
        <v>64</v>
      </c>
      <c r="O560" t="s">
        <v>69</v>
      </c>
      <c r="P560" t="s">
        <v>50</v>
      </c>
      <c r="Q560" s="2">
        <v>38805.980000000003</v>
      </c>
      <c r="R560" s="2">
        <v>3048.56</v>
      </c>
      <c r="S560" t="s">
        <v>51</v>
      </c>
      <c r="T560" t="s">
        <v>71</v>
      </c>
      <c r="U560" t="s">
        <v>53</v>
      </c>
      <c r="V560">
        <v>3.6</v>
      </c>
      <c r="W560" t="s">
        <v>54</v>
      </c>
      <c r="X560" t="s">
        <v>65</v>
      </c>
      <c r="Y560" t="s">
        <v>72</v>
      </c>
    </row>
    <row r="561" spans="1:25" x14ac:dyDescent="0.3">
      <c r="A561" t="s">
        <v>1199</v>
      </c>
      <c r="B561" s="1">
        <v>45485</v>
      </c>
      <c r="C561" t="s">
        <v>117</v>
      </c>
      <c r="D561" t="s">
        <v>4083</v>
      </c>
      <c r="E561" t="s">
        <v>4085</v>
      </c>
      <c r="F561" t="s">
        <v>60</v>
      </c>
      <c r="G561" t="s">
        <v>29</v>
      </c>
      <c r="H561" t="s">
        <v>46</v>
      </c>
      <c r="I561">
        <v>9</v>
      </c>
      <c r="J561" t="s">
        <v>1200</v>
      </c>
      <c r="K561">
        <v>55</v>
      </c>
      <c r="L561" t="s">
        <v>32</v>
      </c>
      <c r="M561">
        <v>7</v>
      </c>
      <c r="N561" t="s">
        <v>64</v>
      </c>
      <c r="O561" t="s">
        <v>34</v>
      </c>
      <c r="P561" t="s">
        <v>82</v>
      </c>
      <c r="Q561" s="2">
        <v>48436.78</v>
      </c>
      <c r="R561" s="2">
        <v>2974.39</v>
      </c>
      <c r="S561" t="s">
        <v>36</v>
      </c>
      <c r="T561" t="s">
        <v>37</v>
      </c>
      <c r="U561" t="s">
        <v>83</v>
      </c>
      <c r="V561">
        <v>1.6</v>
      </c>
      <c r="W561" t="s">
        <v>124</v>
      </c>
      <c r="X561" t="s">
        <v>84</v>
      </c>
      <c r="Y561" t="s">
        <v>72</v>
      </c>
    </row>
    <row r="562" spans="1:25" x14ac:dyDescent="0.3">
      <c r="A562" t="s">
        <v>1201</v>
      </c>
      <c r="B562" s="1">
        <v>45486</v>
      </c>
      <c r="C562" t="s">
        <v>26</v>
      </c>
      <c r="D562" t="s">
        <v>26</v>
      </c>
      <c r="E562" t="s">
        <v>89</v>
      </c>
      <c r="F562" t="s">
        <v>28</v>
      </c>
      <c r="G562" t="s">
        <v>29</v>
      </c>
      <c r="H562" t="s">
        <v>61</v>
      </c>
      <c r="I562">
        <v>5</v>
      </c>
      <c r="J562" t="s">
        <v>1202</v>
      </c>
      <c r="K562">
        <v>49</v>
      </c>
      <c r="L562" t="s">
        <v>32</v>
      </c>
      <c r="M562">
        <v>2</v>
      </c>
      <c r="N562" t="s">
        <v>64</v>
      </c>
      <c r="O562" t="s">
        <v>81</v>
      </c>
      <c r="P562" t="s">
        <v>35</v>
      </c>
      <c r="Q562" s="2">
        <v>48201.46</v>
      </c>
      <c r="R562" s="2">
        <v>2550.4899999999998</v>
      </c>
      <c r="S562" t="s">
        <v>115</v>
      </c>
      <c r="T562" t="s">
        <v>52</v>
      </c>
      <c r="U562" t="s">
        <v>75</v>
      </c>
      <c r="V562">
        <v>2.1</v>
      </c>
      <c r="W562" t="s">
        <v>76</v>
      </c>
      <c r="X562" t="s">
        <v>84</v>
      </c>
      <c r="Y562" t="s">
        <v>72</v>
      </c>
    </row>
    <row r="563" spans="1:25" x14ac:dyDescent="0.3">
      <c r="A563" t="s">
        <v>1203</v>
      </c>
      <c r="B563" s="1">
        <v>45487</v>
      </c>
      <c r="C563" t="s">
        <v>117</v>
      </c>
      <c r="D563" t="s">
        <v>4083</v>
      </c>
      <c r="E563" t="s">
        <v>89</v>
      </c>
      <c r="F563" t="s">
        <v>28</v>
      </c>
      <c r="G563" t="s">
        <v>29</v>
      </c>
      <c r="H563" t="s">
        <v>61</v>
      </c>
      <c r="I563">
        <v>11</v>
      </c>
      <c r="J563" t="s">
        <v>1204</v>
      </c>
      <c r="K563">
        <v>62</v>
      </c>
      <c r="L563" t="s">
        <v>32</v>
      </c>
      <c r="M563">
        <v>7</v>
      </c>
      <c r="N563" t="s">
        <v>64</v>
      </c>
      <c r="O563" t="s">
        <v>34</v>
      </c>
      <c r="P563" t="s">
        <v>35</v>
      </c>
      <c r="Q563" s="2">
        <v>15155.83</v>
      </c>
      <c r="R563" s="2">
        <v>21.77</v>
      </c>
      <c r="S563" t="s">
        <v>36</v>
      </c>
      <c r="T563" t="s">
        <v>71</v>
      </c>
      <c r="U563" t="s">
        <v>53</v>
      </c>
      <c r="V563">
        <v>1.3</v>
      </c>
      <c r="W563" t="s">
        <v>124</v>
      </c>
      <c r="X563" t="s">
        <v>55</v>
      </c>
      <c r="Y563" t="s">
        <v>41</v>
      </c>
    </row>
    <row r="564" spans="1:25" x14ac:dyDescent="0.3">
      <c r="A564" t="s">
        <v>1205</v>
      </c>
      <c r="B564" s="1">
        <v>45488</v>
      </c>
      <c r="C564" t="s">
        <v>117</v>
      </c>
      <c r="D564" t="s">
        <v>4083</v>
      </c>
      <c r="E564" t="s">
        <v>45</v>
      </c>
      <c r="F564" t="s">
        <v>28</v>
      </c>
      <c r="G564" t="s">
        <v>29</v>
      </c>
      <c r="H564" t="s">
        <v>67</v>
      </c>
      <c r="I564">
        <v>9</v>
      </c>
      <c r="J564" t="s">
        <v>1206</v>
      </c>
      <c r="K564">
        <v>67</v>
      </c>
      <c r="L564" t="s">
        <v>32</v>
      </c>
      <c r="M564">
        <v>7</v>
      </c>
      <c r="N564" t="s">
        <v>33</v>
      </c>
      <c r="O564" t="s">
        <v>81</v>
      </c>
      <c r="P564" t="s">
        <v>70</v>
      </c>
      <c r="Q564" s="2">
        <v>37640.79</v>
      </c>
      <c r="R564" s="2">
        <v>2776.19</v>
      </c>
      <c r="S564" t="s">
        <v>51</v>
      </c>
      <c r="T564" t="s">
        <v>52</v>
      </c>
      <c r="U564" t="s">
        <v>83</v>
      </c>
      <c r="V564">
        <v>1.7</v>
      </c>
      <c r="W564" t="s">
        <v>124</v>
      </c>
      <c r="X564" t="s">
        <v>84</v>
      </c>
      <c r="Y564" t="s">
        <v>72</v>
      </c>
    </row>
    <row r="565" spans="1:25" x14ac:dyDescent="0.3">
      <c r="A565" t="s">
        <v>1207</v>
      </c>
      <c r="B565" s="1">
        <v>45489</v>
      </c>
      <c r="C565" t="s">
        <v>43</v>
      </c>
      <c r="D565" t="s">
        <v>58</v>
      </c>
      <c r="E565" t="s">
        <v>45</v>
      </c>
      <c r="F565" t="s">
        <v>28</v>
      </c>
      <c r="G565" t="s">
        <v>29</v>
      </c>
      <c r="H565" t="s">
        <v>67</v>
      </c>
      <c r="I565">
        <v>8</v>
      </c>
      <c r="J565" t="s">
        <v>1208</v>
      </c>
      <c r="K565">
        <v>52</v>
      </c>
      <c r="L565" t="s">
        <v>32</v>
      </c>
      <c r="M565">
        <v>1</v>
      </c>
      <c r="N565" t="s">
        <v>33</v>
      </c>
      <c r="O565" t="s">
        <v>34</v>
      </c>
      <c r="P565" t="s">
        <v>70</v>
      </c>
      <c r="Q565" s="2">
        <v>28873.54</v>
      </c>
      <c r="R565" s="2">
        <v>4663.99</v>
      </c>
      <c r="S565" t="s">
        <v>36</v>
      </c>
      <c r="T565" t="s">
        <v>37</v>
      </c>
      <c r="U565" t="s">
        <v>75</v>
      </c>
      <c r="V565">
        <v>3</v>
      </c>
      <c r="W565" t="s">
        <v>76</v>
      </c>
      <c r="X565" t="s">
        <v>65</v>
      </c>
      <c r="Y565" t="s">
        <v>72</v>
      </c>
    </row>
    <row r="566" spans="1:25" x14ac:dyDescent="0.3">
      <c r="A566" t="s">
        <v>1209</v>
      </c>
      <c r="B566" s="1">
        <v>45490</v>
      </c>
      <c r="C566" t="s">
        <v>26</v>
      </c>
      <c r="D566" t="s">
        <v>26</v>
      </c>
      <c r="E566" t="s">
        <v>4085</v>
      </c>
      <c r="F566" t="s">
        <v>60</v>
      </c>
      <c r="G566" t="s">
        <v>29</v>
      </c>
      <c r="H566" t="s">
        <v>59</v>
      </c>
      <c r="I566">
        <v>8</v>
      </c>
      <c r="J566" t="s">
        <v>1210</v>
      </c>
      <c r="K566">
        <v>18</v>
      </c>
      <c r="L566" t="s">
        <v>63</v>
      </c>
      <c r="M566">
        <v>7</v>
      </c>
      <c r="N566" t="s">
        <v>33</v>
      </c>
      <c r="O566" t="s">
        <v>69</v>
      </c>
      <c r="P566" t="s">
        <v>35</v>
      </c>
      <c r="Q566" s="2">
        <v>14657.09</v>
      </c>
      <c r="R566" s="2">
        <v>1672.89</v>
      </c>
      <c r="S566" t="s">
        <v>94</v>
      </c>
      <c r="T566" t="s">
        <v>37</v>
      </c>
      <c r="U566" t="s">
        <v>38</v>
      </c>
      <c r="V566">
        <v>2.4</v>
      </c>
      <c r="W566" t="s">
        <v>76</v>
      </c>
      <c r="X566" t="s">
        <v>40</v>
      </c>
      <c r="Y566" t="s">
        <v>72</v>
      </c>
    </row>
    <row r="567" spans="1:25" x14ac:dyDescent="0.3">
      <c r="A567" t="s">
        <v>1211</v>
      </c>
      <c r="B567" s="1">
        <v>45491</v>
      </c>
      <c r="C567" t="s">
        <v>26</v>
      </c>
      <c r="D567" t="s">
        <v>26</v>
      </c>
      <c r="E567" t="s">
        <v>4085</v>
      </c>
      <c r="F567" t="s">
        <v>60</v>
      </c>
      <c r="G567" t="s">
        <v>29</v>
      </c>
      <c r="H567" t="s">
        <v>46</v>
      </c>
      <c r="I567">
        <v>3</v>
      </c>
      <c r="J567" t="s">
        <v>1212</v>
      </c>
      <c r="K567">
        <v>64</v>
      </c>
      <c r="L567" t="s">
        <v>32</v>
      </c>
      <c r="M567">
        <v>1</v>
      </c>
      <c r="N567" t="s">
        <v>64</v>
      </c>
      <c r="O567" t="s">
        <v>81</v>
      </c>
      <c r="P567" t="s">
        <v>82</v>
      </c>
      <c r="Q567" s="2">
        <v>13769.11</v>
      </c>
      <c r="R567" s="2">
        <v>4838</v>
      </c>
      <c r="S567" t="s">
        <v>51</v>
      </c>
      <c r="T567" t="s">
        <v>37</v>
      </c>
      <c r="U567" t="s">
        <v>38</v>
      </c>
      <c r="V567">
        <v>1.8</v>
      </c>
      <c r="W567" t="s">
        <v>124</v>
      </c>
      <c r="X567" t="s">
        <v>106</v>
      </c>
      <c r="Y567" t="s">
        <v>72</v>
      </c>
    </row>
    <row r="568" spans="1:25" x14ac:dyDescent="0.3">
      <c r="A568" t="s">
        <v>1213</v>
      </c>
      <c r="B568" s="1">
        <v>45492</v>
      </c>
      <c r="C568" t="s">
        <v>26</v>
      </c>
      <c r="D568" t="s">
        <v>26</v>
      </c>
      <c r="E568" t="s">
        <v>120</v>
      </c>
      <c r="F568" t="s">
        <v>28</v>
      </c>
      <c r="G568" t="s">
        <v>29</v>
      </c>
      <c r="H568" t="s">
        <v>86</v>
      </c>
      <c r="I568">
        <v>7</v>
      </c>
      <c r="J568" t="s">
        <v>1214</v>
      </c>
      <c r="K568">
        <v>62</v>
      </c>
      <c r="L568" t="s">
        <v>63</v>
      </c>
      <c r="M568">
        <v>4</v>
      </c>
      <c r="N568" t="s">
        <v>64</v>
      </c>
      <c r="O568" t="s">
        <v>81</v>
      </c>
      <c r="P568" t="s">
        <v>82</v>
      </c>
      <c r="Q568" s="2">
        <v>8648.7999999999993</v>
      </c>
      <c r="R568" s="2">
        <v>1783.78</v>
      </c>
      <c r="S568" t="s">
        <v>94</v>
      </c>
      <c r="T568" t="s">
        <v>71</v>
      </c>
      <c r="U568" t="s">
        <v>53</v>
      </c>
      <c r="V568">
        <v>1.6</v>
      </c>
      <c r="W568" t="s">
        <v>124</v>
      </c>
      <c r="X568" t="s">
        <v>106</v>
      </c>
      <c r="Y568" t="s">
        <v>72</v>
      </c>
    </row>
    <row r="569" spans="1:25" x14ac:dyDescent="0.3">
      <c r="A569" t="s">
        <v>1215</v>
      </c>
      <c r="B569" s="1">
        <v>45493</v>
      </c>
      <c r="C569" t="s">
        <v>57</v>
      </c>
      <c r="D569" t="s">
        <v>44</v>
      </c>
      <c r="E569" t="s">
        <v>89</v>
      </c>
      <c r="F569" t="s">
        <v>28</v>
      </c>
      <c r="G569" t="s">
        <v>29</v>
      </c>
      <c r="H569" t="s">
        <v>61</v>
      </c>
      <c r="I569">
        <v>12</v>
      </c>
      <c r="J569" t="s">
        <v>1216</v>
      </c>
      <c r="K569">
        <v>22</v>
      </c>
      <c r="L569" t="s">
        <v>32</v>
      </c>
      <c r="M569">
        <v>7</v>
      </c>
      <c r="N569" t="s">
        <v>48</v>
      </c>
      <c r="O569" t="s">
        <v>34</v>
      </c>
      <c r="P569" t="s">
        <v>35</v>
      </c>
      <c r="Q569" s="2">
        <v>40799.54</v>
      </c>
      <c r="R569" s="2">
        <v>699.27</v>
      </c>
      <c r="S569" t="s">
        <v>115</v>
      </c>
      <c r="T569" t="s">
        <v>52</v>
      </c>
      <c r="U569" t="s">
        <v>75</v>
      </c>
      <c r="V569">
        <v>3.6</v>
      </c>
      <c r="W569" t="s">
        <v>54</v>
      </c>
      <c r="X569" t="s">
        <v>65</v>
      </c>
      <c r="Y569" t="s">
        <v>41</v>
      </c>
    </row>
    <row r="570" spans="1:25" x14ac:dyDescent="0.3">
      <c r="A570" t="s">
        <v>1217</v>
      </c>
      <c r="B570" s="1">
        <v>45494</v>
      </c>
      <c r="C570" t="s">
        <v>43</v>
      </c>
      <c r="D570" t="s">
        <v>58</v>
      </c>
      <c r="E570" t="s">
        <v>89</v>
      </c>
      <c r="F570" t="s">
        <v>28</v>
      </c>
      <c r="G570" t="s">
        <v>29</v>
      </c>
      <c r="H570" t="s">
        <v>61</v>
      </c>
      <c r="I570">
        <v>5</v>
      </c>
      <c r="J570" t="s">
        <v>1218</v>
      </c>
      <c r="K570">
        <v>30</v>
      </c>
      <c r="L570" t="s">
        <v>63</v>
      </c>
      <c r="M570">
        <v>2</v>
      </c>
      <c r="N570" t="s">
        <v>48</v>
      </c>
      <c r="O570" t="s">
        <v>69</v>
      </c>
      <c r="P570" t="s">
        <v>82</v>
      </c>
      <c r="Q570" s="2">
        <v>19602.72</v>
      </c>
      <c r="R570" s="2">
        <v>1992.02</v>
      </c>
      <c r="S570" t="s">
        <v>36</v>
      </c>
      <c r="T570" t="s">
        <v>71</v>
      </c>
      <c r="U570" t="s">
        <v>83</v>
      </c>
      <c r="V570">
        <v>3.2</v>
      </c>
      <c r="W570" t="s">
        <v>76</v>
      </c>
      <c r="X570" t="s">
        <v>40</v>
      </c>
      <c r="Y570" t="s">
        <v>41</v>
      </c>
    </row>
    <row r="571" spans="1:25" x14ac:dyDescent="0.3">
      <c r="A571" t="s">
        <v>1219</v>
      </c>
      <c r="B571" s="1">
        <v>45495</v>
      </c>
      <c r="C571" t="s">
        <v>26</v>
      </c>
      <c r="D571" t="s">
        <v>26</v>
      </c>
      <c r="E571" t="s">
        <v>45</v>
      </c>
      <c r="F571" t="s">
        <v>28</v>
      </c>
      <c r="G571" t="s">
        <v>29</v>
      </c>
      <c r="H571" t="s">
        <v>67</v>
      </c>
      <c r="I571">
        <v>9</v>
      </c>
      <c r="J571" t="s">
        <v>1220</v>
      </c>
      <c r="K571">
        <v>22</v>
      </c>
      <c r="L571" t="s">
        <v>32</v>
      </c>
      <c r="M571">
        <v>7</v>
      </c>
      <c r="N571" t="s">
        <v>64</v>
      </c>
      <c r="O571" t="s">
        <v>81</v>
      </c>
      <c r="P571" t="s">
        <v>35</v>
      </c>
      <c r="Q571" s="2">
        <v>43563.6</v>
      </c>
      <c r="R571" s="2">
        <v>2473.06</v>
      </c>
      <c r="S571" t="s">
        <v>51</v>
      </c>
      <c r="T571" t="s">
        <v>52</v>
      </c>
      <c r="U571" t="s">
        <v>53</v>
      </c>
      <c r="V571">
        <v>4.4000000000000004</v>
      </c>
      <c r="W571" t="s">
        <v>39</v>
      </c>
      <c r="X571" t="s">
        <v>84</v>
      </c>
      <c r="Y571" t="s">
        <v>41</v>
      </c>
    </row>
    <row r="572" spans="1:25" x14ac:dyDescent="0.3">
      <c r="A572" t="s">
        <v>1221</v>
      </c>
      <c r="B572" s="1">
        <v>45496</v>
      </c>
      <c r="C572" t="s">
        <v>57</v>
      </c>
      <c r="D572" t="s">
        <v>44</v>
      </c>
      <c r="E572" t="s">
        <v>120</v>
      </c>
      <c r="F572" t="s">
        <v>28</v>
      </c>
      <c r="G572" t="s">
        <v>29</v>
      </c>
      <c r="H572" t="s">
        <v>86</v>
      </c>
      <c r="I572">
        <v>12</v>
      </c>
      <c r="J572" t="s">
        <v>1222</v>
      </c>
      <c r="K572">
        <v>49</v>
      </c>
      <c r="L572" t="s">
        <v>32</v>
      </c>
      <c r="M572">
        <v>6</v>
      </c>
      <c r="N572" t="s">
        <v>48</v>
      </c>
      <c r="O572" t="s">
        <v>49</v>
      </c>
      <c r="P572" t="s">
        <v>70</v>
      </c>
      <c r="Q572" s="2">
        <v>32374.19</v>
      </c>
      <c r="R572" s="2">
        <v>3147.32</v>
      </c>
      <c r="S572" t="s">
        <v>115</v>
      </c>
      <c r="T572" t="s">
        <v>71</v>
      </c>
      <c r="U572" t="s">
        <v>53</v>
      </c>
      <c r="V572">
        <v>1.7</v>
      </c>
      <c r="W572" t="s">
        <v>124</v>
      </c>
      <c r="X572" t="s">
        <v>65</v>
      </c>
      <c r="Y572" t="s">
        <v>41</v>
      </c>
    </row>
    <row r="573" spans="1:25" x14ac:dyDescent="0.3">
      <c r="A573" t="s">
        <v>1223</v>
      </c>
      <c r="B573" s="1">
        <v>45497</v>
      </c>
      <c r="C573" t="s">
        <v>78</v>
      </c>
      <c r="D573" t="s">
        <v>58</v>
      </c>
      <c r="E573" t="s">
        <v>89</v>
      </c>
      <c r="F573" t="s">
        <v>28</v>
      </c>
      <c r="G573" t="s">
        <v>29</v>
      </c>
      <c r="H573" t="s">
        <v>61</v>
      </c>
      <c r="I573">
        <v>5</v>
      </c>
      <c r="J573" t="s">
        <v>1224</v>
      </c>
      <c r="K573">
        <v>68</v>
      </c>
      <c r="L573" t="s">
        <v>32</v>
      </c>
      <c r="M573">
        <v>5</v>
      </c>
      <c r="N573" t="s">
        <v>91</v>
      </c>
      <c r="O573" t="s">
        <v>34</v>
      </c>
      <c r="P573" t="s">
        <v>82</v>
      </c>
      <c r="Q573" s="2">
        <v>35313.5</v>
      </c>
      <c r="R573" s="2">
        <v>2524.39</v>
      </c>
      <c r="S573" t="s">
        <v>94</v>
      </c>
      <c r="T573" t="s">
        <v>37</v>
      </c>
      <c r="U573" t="s">
        <v>83</v>
      </c>
      <c r="V573">
        <v>4.4000000000000004</v>
      </c>
      <c r="W573" t="s">
        <v>39</v>
      </c>
      <c r="X573" t="s">
        <v>84</v>
      </c>
      <c r="Y573" t="s">
        <v>41</v>
      </c>
    </row>
    <row r="574" spans="1:25" x14ac:dyDescent="0.3">
      <c r="A574" t="s">
        <v>1225</v>
      </c>
      <c r="B574" s="1">
        <v>45498</v>
      </c>
      <c r="C574" t="s">
        <v>78</v>
      </c>
      <c r="D574" t="s">
        <v>58</v>
      </c>
      <c r="E574" t="s">
        <v>120</v>
      </c>
      <c r="F574" t="s">
        <v>28</v>
      </c>
      <c r="G574" t="s">
        <v>29</v>
      </c>
      <c r="H574" t="s">
        <v>86</v>
      </c>
      <c r="I574">
        <v>7</v>
      </c>
      <c r="J574" t="s">
        <v>1226</v>
      </c>
      <c r="K574">
        <v>38</v>
      </c>
      <c r="L574" t="s">
        <v>32</v>
      </c>
      <c r="M574">
        <v>2</v>
      </c>
      <c r="N574" t="s">
        <v>91</v>
      </c>
      <c r="O574" t="s">
        <v>81</v>
      </c>
      <c r="P574" t="s">
        <v>70</v>
      </c>
      <c r="Q574" s="2">
        <v>18125.32</v>
      </c>
      <c r="R574" s="2">
        <v>2683.59</v>
      </c>
      <c r="S574" t="s">
        <v>36</v>
      </c>
      <c r="T574" t="s">
        <v>52</v>
      </c>
      <c r="U574" t="s">
        <v>75</v>
      </c>
      <c r="V574">
        <v>3.3</v>
      </c>
      <c r="W574" t="s">
        <v>39</v>
      </c>
      <c r="X574" t="s">
        <v>55</v>
      </c>
      <c r="Y574" t="s">
        <v>72</v>
      </c>
    </row>
    <row r="575" spans="1:25" x14ac:dyDescent="0.3">
      <c r="A575" t="s">
        <v>1227</v>
      </c>
      <c r="B575" s="1">
        <v>45499</v>
      </c>
      <c r="C575" t="s">
        <v>57</v>
      </c>
      <c r="D575" t="s">
        <v>44</v>
      </c>
      <c r="E575" t="s">
        <v>120</v>
      </c>
      <c r="F575" t="s">
        <v>28</v>
      </c>
      <c r="G575" t="s">
        <v>29</v>
      </c>
      <c r="H575" t="s">
        <v>86</v>
      </c>
      <c r="I575">
        <v>9</v>
      </c>
      <c r="J575" t="s">
        <v>1228</v>
      </c>
      <c r="K575">
        <v>41</v>
      </c>
      <c r="L575" t="s">
        <v>80</v>
      </c>
      <c r="M575">
        <v>7</v>
      </c>
      <c r="N575" t="s">
        <v>64</v>
      </c>
      <c r="O575" t="s">
        <v>69</v>
      </c>
      <c r="P575" t="s">
        <v>50</v>
      </c>
      <c r="Q575" s="2">
        <v>25578.240000000002</v>
      </c>
      <c r="R575" s="2">
        <v>120.34</v>
      </c>
      <c r="S575" t="s">
        <v>36</v>
      </c>
      <c r="T575" t="s">
        <v>52</v>
      </c>
      <c r="U575" t="s">
        <v>83</v>
      </c>
      <c r="V575">
        <v>2.1</v>
      </c>
      <c r="W575" t="s">
        <v>76</v>
      </c>
      <c r="X575" t="s">
        <v>40</v>
      </c>
      <c r="Y575" t="s">
        <v>41</v>
      </c>
    </row>
    <row r="576" spans="1:25" x14ac:dyDescent="0.3">
      <c r="A576" t="s">
        <v>1229</v>
      </c>
      <c r="B576" s="1">
        <v>45500</v>
      </c>
      <c r="C576" t="s">
        <v>57</v>
      </c>
      <c r="D576" t="s">
        <v>44</v>
      </c>
      <c r="E576" t="s">
        <v>45</v>
      </c>
      <c r="F576" t="s">
        <v>28</v>
      </c>
      <c r="G576" t="s">
        <v>29</v>
      </c>
      <c r="H576" t="s">
        <v>67</v>
      </c>
      <c r="I576">
        <v>5</v>
      </c>
      <c r="J576" t="s">
        <v>1230</v>
      </c>
      <c r="K576">
        <v>35</v>
      </c>
      <c r="L576" t="s">
        <v>32</v>
      </c>
      <c r="M576">
        <v>2</v>
      </c>
      <c r="N576" t="s">
        <v>33</v>
      </c>
      <c r="O576" t="s">
        <v>69</v>
      </c>
      <c r="P576" t="s">
        <v>70</v>
      </c>
      <c r="Q576" s="2">
        <v>23554.29</v>
      </c>
      <c r="R576" s="2">
        <v>1268.0999999999999</v>
      </c>
      <c r="S576" t="s">
        <v>51</v>
      </c>
      <c r="T576" t="s">
        <v>52</v>
      </c>
      <c r="U576" t="s">
        <v>38</v>
      </c>
      <c r="V576">
        <v>2.1</v>
      </c>
      <c r="W576" t="s">
        <v>76</v>
      </c>
      <c r="X576" t="s">
        <v>106</v>
      </c>
      <c r="Y576" t="s">
        <v>41</v>
      </c>
    </row>
    <row r="577" spans="1:25" x14ac:dyDescent="0.3">
      <c r="A577" t="s">
        <v>1231</v>
      </c>
      <c r="B577" s="1">
        <v>45501</v>
      </c>
      <c r="C577" t="s">
        <v>43</v>
      </c>
      <c r="D577" t="s">
        <v>58</v>
      </c>
      <c r="E577" t="s">
        <v>120</v>
      </c>
      <c r="F577" t="s">
        <v>28</v>
      </c>
      <c r="G577" t="s">
        <v>29</v>
      </c>
      <c r="H577" t="s">
        <v>86</v>
      </c>
      <c r="I577">
        <v>12</v>
      </c>
      <c r="J577" t="s">
        <v>1232</v>
      </c>
      <c r="K577">
        <v>38</v>
      </c>
      <c r="L577" t="s">
        <v>63</v>
      </c>
      <c r="M577">
        <v>1</v>
      </c>
      <c r="N577" t="s">
        <v>91</v>
      </c>
      <c r="O577" t="s">
        <v>69</v>
      </c>
      <c r="P577" t="s">
        <v>50</v>
      </c>
      <c r="Q577" s="2">
        <v>15605.99</v>
      </c>
      <c r="R577" s="2">
        <v>1553.48</v>
      </c>
      <c r="S577" t="s">
        <v>36</v>
      </c>
      <c r="T577" t="s">
        <v>71</v>
      </c>
      <c r="U577" t="s">
        <v>53</v>
      </c>
      <c r="V577">
        <v>2.6</v>
      </c>
      <c r="W577" t="s">
        <v>76</v>
      </c>
      <c r="X577" t="s">
        <v>65</v>
      </c>
      <c r="Y577" t="s">
        <v>72</v>
      </c>
    </row>
    <row r="578" spans="1:25" x14ac:dyDescent="0.3">
      <c r="A578" t="s">
        <v>1233</v>
      </c>
      <c r="B578" s="1">
        <v>45502</v>
      </c>
      <c r="C578" t="s">
        <v>43</v>
      </c>
      <c r="D578" t="s">
        <v>58</v>
      </c>
      <c r="E578" t="s">
        <v>4085</v>
      </c>
      <c r="F578" t="s">
        <v>60</v>
      </c>
      <c r="G578" t="s">
        <v>29</v>
      </c>
      <c r="H578" t="s">
        <v>46</v>
      </c>
      <c r="I578">
        <v>4</v>
      </c>
      <c r="J578" t="s">
        <v>1234</v>
      </c>
      <c r="K578">
        <v>27</v>
      </c>
      <c r="L578" t="s">
        <v>80</v>
      </c>
      <c r="M578">
        <v>4</v>
      </c>
      <c r="N578" t="s">
        <v>91</v>
      </c>
      <c r="O578" t="s">
        <v>69</v>
      </c>
      <c r="P578" t="s">
        <v>70</v>
      </c>
      <c r="Q578" s="2">
        <v>42463.05</v>
      </c>
      <c r="R578" s="2">
        <v>4935.4399999999996</v>
      </c>
      <c r="S578" t="s">
        <v>36</v>
      </c>
      <c r="T578" t="s">
        <v>37</v>
      </c>
      <c r="U578" t="s">
        <v>38</v>
      </c>
      <c r="V578">
        <v>2.8</v>
      </c>
      <c r="W578" t="s">
        <v>76</v>
      </c>
      <c r="X578" t="s">
        <v>106</v>
      </c>
      <c r="Y578" t="s">
        <v>41</v>
      </c>
    </row>
    <row r="579" spans="1:25" x14ac:dyDescent="0.3">
      <c r="A579" t="s">
        <v>1235</v>
      </c>
      <c r="B579" s="1">
        <v>45503</v>
      </c>
      <c r="C579" t="s">
        <v>78</v>
      </c>
      <c r="D579" t="s">
        <v>58</v>
      </c>
      <c r="E579" t="s">
        <v>4085</v>
      </c>
      <c r="F579" t="s">
        <v>60</v>
      </c>
      <c r="G579" t="s">
        <v>29</v>
      </c>
      <c r="H579" t="s">
        <v>59</v>
      </c>
      <c r="I579">
        <v>8</v>
      </c>
      <c r="J579" t="s">
        <v>1236</v>
      </c>
      <c r="K579">
        <v>41</v>
      </c>
      <c r="L579" t="s">
        <v>80</v>
      </c>
      <c r="M579">
        <v>4</v>
      </c>
      <c r="N579" t="s">
        <v>33</v>
      </c>
      <c r="O579" t="s">
        <v>34</v>
      </c>
      <c r="P579" t="s">
        <v>70</v>
      </c>
      <c r="Q579" s="2">
        <v>32993.800000000003</v>
      </c>
      <c r="R579" s="2">
        <v>1477.84</v>
      </c>
      <c r="S579" t="s">
        <v>94</v>
      </c>
      <c r="T579" t="s">
        <v>52</v>
      </c>
      <c r="U579" t="s">
        <v>53</v>
      </c>
      <c r="V579">
        <v>1.3</v>
      </c>
      <c r="W579" t="s">
        <v>124</v>
      </c>
      <c r="X579" t="s">
        <v>84</v>
      </c>
      <c r="Y579" t="s">
        <v>41</v>
      </c>
    </row>
    <row r="580" spans="1:25" x14ac:dyDescent="0.3">
      <c r="A580" t="s">
        <v>1237</v>
      </c>
      <c r="B580" s="1">
        <v>45504</v>
      </c>
      <c r="C580" t="s">
        <v>26</v>
      </c>
      <c r="D580" t="s">
        <v>26</v>
      </c>
      <c r="E580" t="s">
        <v>4084</v>
      </c>
      <c r="F580" t="s">
        <v>60</v>
      </c>
      <c r="G580" t="s">
        <v>29</v>
      </c>
      <c r="H580" t="s">
        <v>30</v>
      </c>
      <c r="I580">
        <v>10</v>
      </c>
      <c r="J580" t="s">
        <v>1238</v>
      </c>
      <c r="K580">
        <v>57</v>
      </c>
      <c r="L580" t="s">
        <v>32</v>
      </c>
      <c r="M580">
        <v>2</v>
      </c>
      <c r="N580" t="s">
        <v>48</v>
      </c>
      <c r="O580" t="s">
        <v>81</v>
      </c>
      <c r="P580" t="s">
        <v>82</v>
      </c>
      <c r="Q580" s="2">
        <v>6684.44</v>
      </c>
      <c r="R580" s="2">
        <v>4482.8900000000003</v>
      </c>
      <c r="S580" t="s">
        <v>94</v>
      </c>
      <c r="T580" t="s">
        <v>71</v>
      </c>
      <c r="U580" t="s">
        <v>83</v>
      </c>
      <c r="V580">
        <v>4.4000000000000004</v>
      </c>
      <c r="W580" t="s">
        <v>54</v>
      </c>
      <c r="X580" t="s">
        <v>84</v>
      </c>
      <c r="Y580" t="s">
        <v>72</v>
      </c>
    </row>
    <row r="581" spans="1:25" x14ac:dyDescent="0.3">
      <c r="A581" t="s">
        <v>1239</v>
      </c>
      <c r="B581" s="1">
        <v>45505</v>
      </c>
      <c r="C581" t="s">
        <v>78</v>
      </c>
      <c r="D581" t="s">
        <v>58</v>
      </c>
      <c r="E581" t="s">
        <v>45</v>
      </c>
      <c r="F581" t="s">
        <v>28</v>
      </c>
      <c r="G581" t="s">
        <v>29</v>
      </c>
      <c r="H581" t="s">
        <v>67</v>
      </c>
      <c r="I581">
        <v>6</v>
      </c>
      <c r="J581" t="s">
        <v>1240</v>
      </c>
      <c r="K581">
        <v>64</v>
      </c>
      <c r="L581" t="s">
        <v>63</v>
      </c>
      <c r="M581">
        <v>2</v>
      </c>
      <c r="N581" t="s">
        <v>33</v>
      </c>
      <c r="O581" t="s">
        <v>34</v>
      </c>
      <c r="P581" t="s">
        <v>70</v>
      </c>
      <c r="Q581" s="2">
        <v>41896.269999999997</v>
      </c>
      <c r="R581" s="2">
        <v>1523.68</v>
      </c>
      <c r="S581" t="s">
        <v>94</v>
      </c>
      <c r="T581" t="s">
        <v>52</v>
      </c>
      <c r="U581" t="s">
        <v>75</v>
      </c>
      <c r="V581">
        <v>1.5</v>
      </c>
      <c r="W581" t="s">
        <v>124</v>
      </c>
      <c r="X581" t="s">
        <v>55</v>
      </c>
      <c r="Y581" t="s">
        <v>72</v>
      </c>
    </row>
    <row r="582" spans="1:25" x14ac:dyDescent="0.3">
      <c r="A582" t="s">
        <v>1241</v>
      </c>
      <c r="B582" s="1">
        <v>45506</v>
      </c>
      <c r="C582" t="s">
        <v>26</v>
      </c>
      <c r="D582" t="s">
        <v>26</v>
      </c>
      <c r="E582" t="s">
        <v>4084</v>
      </c>
      <c r="F582" t="s">
        <v>60</v>
      </c>
      <c r="G582" t="s">
        <v>29</v>
      </c>
      <c r="H582" t="s">
        <v>27</v>
      </c>
      <c r="I582">
        <v>11</v>
      </c>
      <c r="J582" t="s">
        <v>1242</v>
      </c>
      <c r="K582">
        <v>38</v>
      </c>
      <c r="L582" t="s">
        <v>63</v>
      </c>
      <c r="M582">
        <v>7</v>
      </c>
      <c r="N582" t="s">
        <v>48</v>
      </c>
      <c r="O582" t="s">
        <v>34</v>
      </c>
      <c r="P582" t="s">
        <v>35</v>
      </c>
      <c r="Q582" s="2">
        <v>9771.7000000000007</v>
      </c>
      <c r="R582" s="2">
        <v>480.55</v>
      </c>
      <c r="S582" t="s">
        <v>115</v>
      </c>
      <c r="T582" t="s">
        <v>37</v>
      </c>
      <c r="U582" t="s">
        <v>83</v>
      </c>
      <c r="V582">
        <v>2.9</v>
      </c>
      <c r="W582" t="s">
        <v>76</v>
      </c>
      <c r="X582" t="s">
        <v>84</v>
      </c>
      <c r="Y582" t="s">
        <v>72</v>
      </c>
    </row>
    <row r="583" spans="1:25" x14ac:dyDescent="0.3">
      <c r="A583" t="s">
        <v>1243</v>
      </c>
      <c r="B583" s="1">
        <v>45507</v>
      </c>
      <c r="C583" t="s">
        <v>26</v>
      </c>
      <c r="D583" t="s">
        <v>26</v>
      </c>
      <c r="E583" t="s">
        <v>4085</v>
      </c>
      <c r="F583" t="s">
        <v>60</v>
      </c>
      <c r="G583" t="s">
        <v>29</v>
      </c>
      <c r="H583" t="s">
        <v>59</v>
      </c>
      <c r="I583">
        <v>14</v>
      </c>
      <c r="J583" t="s">
        <v>1244</v>
      </c>
      <c r="K583">
        <v>42</v>
      </c>
      <c r="L583" t="s">
        <v>80</v>
      </c>
      <c r="M583">
        <v>3</v>
      </c>
      <c r="N583" t="s">
        <v>48</v>
      </c>
      <c r="O583" t="s">
        <v>69</v>
      </c>
      <c r="P583" t="s">
        <v>82</v>
      </c>
      <c r="Q583" s="2">
        <v>23166.34</v>
      </c>
      <c r="R583" s="2">
        <v>1238.0899999999999</v>
      </c>
      <c r="S583" t="s">
        <v>115</v>
      </c>
      <c r="T583" t="s">
        <v>52</v>
      </c>
      <c r="U583" t="s">
        <v>38</v>
      </c>
      <c r="V583">
        <v>2.5</v>
      </c>
      <c r="W583" t="s">
        <v>76</v>
      </c>
      <c r="X583" t="s">
        <v>84</v>
      </c>
      <c r="Y583" t="s">
        <v>41</v>
      </c>
    </row>
    <row r="584" spans="1:25" x14ac:dyDescent="0.3">
      <c r="A584" t="s">
        <v>1245</v>
      </c>
      <c r="B584" s="1">
        <v>45508</v>
      </c>
      <c r="C584" t="s">
        <v>43</v>
      </c>
      <c r="D584" t="s">
        <v>58</v>
      </c>
      <c r="E584" t="s">
        <v>4084</v>
      </c>
      <c r="F584" t="s">
        <v>60</v>
      </c>
      <c r="G584" t="s">
        <v>29</v>
      </c>
      <c r="H584" t="s">
        <v>30</v>
      </c>
      <c r="I584">
        <v>14</v>
      </c>
      <c r="J584" t="s">
        <v>1246</v>
      </c>
      <c r="K584">
        <v>69</v>
      </c>
      <c r="L584" t="s">
        <v>63</v>
      </c>
      <c r="M584">
        <v>6</v>
      </c>
      <c r="N584" t="s">
        <v>33</v>
      </c>
      <c r="O584" t="s">
        <v>49</v>
      </c>
      <c r="P584" t="s">
        <v>82</v>
      </c>
      <c r="Q584" s="2">
        <v>30706.560000000001</v>
      </c>
      <c r="R584" s="2">
        <v>1364.14</v>
      </c>
      <c r="S584" t="s">
        <v>36</v>
      </c>
      <c r="T584" t="s">
        <v>37</v>
      </c>
      <c r="U584" t="s">
        <v>75</v>
      </c>
      <c r="V584">
        <v>3</v>
      </c>
      <c r="W584" t="s">
        <v>39</v>
      </c>
      <c r="X584" t="s">
        <v>106</v>
      </c>
      <c r="Y584" t="s">
        <v>41</v>
      </c>
    </row>
    <row r="585" spans="1:25" x14ac:dyDescent="0.3">
      <c r="A585" t="s">
        <v>1247</v>
      </c>
      <c r="B585" s="1">
        <v>45509</v>
      </c>
      <c r="C585" t="s">
        <v>117</v>
      </c>
      <c r="D585" t="s">
        <v>4083</v>
      </c>
      <c r="E585" t="s">
        <v>45</v>
      </c>
      <c r="F585" t="s">
        <v>28</v>
      </c>
      <c r="G585" t="s">
        <v>29</v>
      </c>
      <c r="H585" t="s">
        <v>67</v>
      </c>
      <c r="I585">
        <v>10</v>
      </c>
      <c r="J585" t="s">
        <v>1248</v>
      </c>
      <c r="K585">
        <v>40</v>
      </c>
      <c r="L585" t="s">
        <v>32</v>
      </c>
      <c r="M585">
        <v>1</v>
      </c>
      <c r="N585" t="s">
        <v>48</v>
      </c>
      <c r="O585" t="s">
        <v>69</v>
      </c>
      <c r="P585" t="s">
        <v>82</v>
      </c>
      <c r="Q585" s="2">
        <v>5344.31</v>
      </c>
      <c r="R585" s="2">
        <v>4891.24</v>
      </c>
      <c r="S585" t="s">
        <v>115</v>
      </c>
      <c r="T585" t="s">
        <v>71</v>
      </c>
      <c r="U585" t="s">
        <v>75</v>
      </c>
      <c r="V585">
        <v>4.5</v>
      </c>
      <c r="W585" t="s">
        <v>103</v>
      </c>
      <c r="X585" t="s">
        <v>106</v>
      </c>
      <c r="Y585" t="s">
        <v>41</v>
      </c>
    </row>
    <row r="586" spans="1:25" x14ac:dyDescent="0.3">
      <c r="A586" t="s">
        <v>1249</v>
      </c>
      <c r="B586" s="1">
        <v>45510</v>
      </c>
      <c r="C586" t="s">
        <v>117</v>
      </c>
      <c r="D586" t="s">
        <v>4083</v>
      </c>
      <c r="E586" t="s">
        <v>45</v>
      </c>
      <c r="F586" t="s">
        <v>28</v>
      </c>
      <c r="G586" t="s">
        <v>29</v>
      </c>
      <c r="H586" t="s">
        <v>67</v>
      </c>
      <c r="I586">
        <v>9</v>
      </c>
      <c r="J586" t="s">
        <v>1250</v>
      </c>
      <c r="K586">
        <v>39</v>
      </c>
      <c r="L586" t="s">
        <v>32</v>
      </c>
      <c r="M586">
        <v>6</v>
      </c>
      <c r="N586" t="s">
        <v>91</v>
      </c>
      <c r="O586" t="s">
        <v>49</v>
      </c>
      <c r="P586" t="s">
        <v>70</v>
      </c>
      <c r="Q586" s="2">
        <v>34380.86</v>
      </c>
      <c r="R586" s="2">
        <v>3371.46</v>
      </c>
      <c r="S586" t="s">
        <v>51</v>
      </c>
      <c r="T586" t="s">
        <v>71</v>
      </c>
      <c r="U586" t="s">
        <v>53</v>
      </c>
      <c r="V586">
        <v>5</v>
      </c>
      <c r="W586" t="s">
        <v>103</v>
      </c>
      <c r="X586" t="s">
        <v>65</v>
      </c>
      <c r="Y586" t="s">
        <v>72</v>
      </c>
    </row>
    <row r="587" spans="1:25" x14ac:dyDescent="0.3">
      <c r="A587" t="s">
        <v>1251</v>
      </c>
      <c r="B587" s="1">
        <v>45511</v>
      </c>
      <c r="C587" t="s">
        <v>57</v>
      </c>
      <c r="D587" t="s">
        <v>44</v>
      </c>
      <c r="E587" t="s">
        <v>120</v>
      </c>
      <c r="F587" t="s">
        <v>28</v>
      </c>
      <c r="G587" t="s">
        <v>29</v>
      </c>
      <c r="H587" t="s">
        <v>86</v>
      </c>
      <c r="I587">
        <v>9</v>
      </c>
      <c r="J587" t="s">
        <v>1252</v>
      </c>
      <c r="K587">
        <v>21</v>
      </c>
      <c r="L587" t="s">
        <v>32</v>
      </c>
      <c r="M587">
        <v>5</v>
      </c>
      <c r="N587" t="s">
        <v>64</v>
      </c>
      <c r="O587" t="s">
        <v>34</v>
      </c>
      <c r="P587" t="s">
        <v>82</v>
      </c>
      <c r="Q587" s="2">
        <v>34686.629999999997</v>
      </c>
      <c r="R587" s="2">
        <v>4658.3999999999996</v>
      </c>
      <c r="S587" t="s">
        <v>94</v>
      </c>
      <c r="T587" t="s">
        <v>37</v>
      </c>
      <c r="U587" t="s">
        <v>75</v>
      </c>
      <c r="V587">
        <v>1.1000000000000001</v>
      </c>
      <c r="W587" t="s">
        <v>124</v>
      </c>
      <c r="X587" t="s">
        <v>65</v>
      </c>
      <c r="Y587" t="s">
        <v>41</v>
      </c>
    </row>
    <row r="588" spans="1:25" x14ac:dyDescent="0.3">
      <c r="A588" t="s">
        <v>1253</v>
      </c>
      <c r="B588" s="1">
        <v>45512</v>
      </c>
      <c r="C588" t="s">
        <v>43</v>
      </c>
      <c r="D588" t="s">
        <v>58</v>
      </c>
      <c r="E588" t="s">
        <v>89</v>
      </c>
      <c r="F588" t="s">
        <v>28</v>
      </c>
      <c r="G588" t="s">
        <v>29</v>
      </c>
      <c r="H588" t="s">
        <v>61</v>
      </c>
      <c r="I588">
        <v>5</v>
      </c>
      <c r="J588" t="s">
        <v>1254</v>
      </c>
      <c r="K588">
        <v>51</v>
      </c>
      <c r="L588" t="s">
        <v>32</v>
      </c>
      <c r="M588">
        <v>5</v>
      </c>
      <c r="N588" t="s">
        <v>48</v>
      </c>
      <c r="O588" t="s">
        <v>69</v>
      </c>
      <c r="P588" t="s">
        <v>50</v>
      </c>
      <c r="Q588" s="2">
        <v>34363.68</v>
      </c>
      <c r="R588" s="2">
        <v>4174.9799999999996</v>
      </c>
      <c r="S588" t="s">
        <v>115</v>
      </c>
      <c r="T588" t="s">
        <v>37</v>
      </c>
      <c r="U588" t="s">
        <v>53</v>
      </c>
      <c r="V588">
        <v>2.6</v>
      </c>
      <c r="W588" t="s">
        <v>76</v>
      </c>
      <c r="X588" t="s">
        <v>84</v>
      </c>
      <c r="Y588" t="s">
        <v>41</v>
      </c>
    </row>
    <row r="589" spans="1:25" x14ac:dyDescent="0.3">
      <c r="A589" t="s">
        <v>1255</v>
      </c>
      <c r="B589" s="1">
        <v>45513</v>
      </c>
      <c r="C589" t="s">
        <v>26</v>
      </c>
      <c r="D589" t="s">
        <v>26</v>
      </c>
      <c r="E589" t="s">
        <v>120</v>
      </c>
      <c r="F589" t="s">
        <v>28</v>
      </c>
      <c r="G589" t="s">
        <v>29</v>
      </c>
      <c r="H589" t="s">
        <v>86</v>
      </c>
      <c r="I589">
        <v>8</v>
      </c>
      <c r="J589" t="s">
        <v>1256</v>
      </c>
      <c r="K589">
        <v>23</v>
      </c>
      <c r="L589" t="s">
        <v>32</v>
      </c>
      <c r="M589">
        <v>4</v>
      </c>
      <c r="N589" t="s">
        <v>91</v>
      </c>
      <c r="O589" t="s">
        <v>69</v>
      </c>
      <c r="P589" t="s">
        <v>50</v>
      </c>
      <c r="Q589" s="2">
        <v>12356.06</v>
      </c>
      <c r="R589" s="2">
        <v>2892.99</v>
      </c>
      <c r="S589" t="s">
        <v>36</v>
      </c>
      <c r="T589" t="s">
        <v>71</v>
      </c>
      <c r="U589" t="s">
        <v>75</v>
      </c>
      <c r="V589">
        <v>4.3</v>
      </c>
      <c r="W589" t="s">
        <v>54</v>
      </c>
      <c r="X589" t="s">
        <v>40</v>
      </c>
      <c r="Y589" t="s">
        <v>41</v>
      </c>
    </row>
    <row r="590" spans="1:25" x14ac:dyDescent="0.3">
      <c r="A590" t="s">
        <v>1257</v>
      </c>
      <c r="B590" s="1">
        <v>45514</v>
      </c>
      <c r="C590" t="s">
        <v>117</v>
      </c>
      <c r="D590" t="s">
        <v>4083</v>
      </c>
      <c r="E590" t="s">
        <v>45</v>
      </c>
      <c r="F590" t="s">
        <v>28</v>
      </c>
      <c r="G590" t="s">
        <v>29</v>
      </c>
      <c r="H590" t="s">
        <v>67</v>
      </c>
      <c r="I590">
        <v>7</v>
      </c>
      <c r="J590" t="s">
        <v>1258</v>
      </c>
      <c r="K590">
        <v>45</v>
      </c>
      <c r="L590" t="s">
        <v>80</v>
      </c>
      <c r="M590">
        <v>1</v>
      </c>
      <c r="N590" t="s">
        <v>33</v>
      </c>
      <c r="O590" t="s">
        <v>34</v>
      </c>
      <c r="P590" t="s">
        <v>70</v>
      </c>
      <c r="Q590" s="2">
        <v>16507.95</v>
      </c>
      <c r="R590" s="2">
        <v>3376.94</v>
      </c>
      <c r="S590" t="s">
        <v>94</v>
      </c>
      <c r="T590" t="s">
        <v>37</v>
      </c>
      <c r="U590" t="s">
        <v>75</v>
      </c>
      <c r="V590">
        <v>2.2999999999999998</v>
      </c>
      <c r="W590" t="s">
        <v>76</v>
      </c>
      <c r="X590" t="s">
        <v>65</v>
      </c>
      <c r="Y590" t="s">
        <v>41</v>
      </c>
    </row>
    <row r="591" spans="1:25" x14ac:dyDescent="0.3">
      <c r="A591" t="s">
        <v>1259</v>
      </c>
      <c r="B591" s="1">
        <v>45515</v>
      </c>
      <c r="C591" t="s">
        <v>26</v>
      </c>
      <c r="D591" t="s">
        <v>26</v>
      </c>
      <c r="E591" t="s">
        <v>4085</v>
      </c>
      <c r="F591" t="s">
        <v>60</v>
      </c>
      <c r="G591" t="s">
        <v>29</v>
      </c>
      <c r="H591" t="s">
        <v>59</v>
      </c>
      <c r="I591">
        <v>3</v>
      </c>
      <c r="J591" t="s">
        <v>1260</v>
      </c>
      <c r="K591">
        <v>48</v>
      </c>
      <c r="L591" t="s">
        <v>32</v>
      </c>
      <c r="M591">
        <v>6</v>
      </c>
      <c r="N591" t="s">
        <v>48</v>
      </c>
      <c r="O591" t="s">
        <v>69</v>
      </c>
      <c r="P591" t="s">
        <v>82</v>
      </c>
      <c r="Q591" s="2">
        <v>16131.91</v>
      </c>
      <c r="R591" s="2">
        <v>3124.19</v>
      </c>
      <c r="S591" t="s">
        <v>115</v>
      </c>
      <c r="T591" t="s">
        <v>37</v>
      </c>
      <c r="U591" t="s">
        <v>53</v>
      </c>
      <c r="V591">
        <v>3.6</v>
      </c>
      <c r="W591" t="s">
        <v>39</v>
      </c>
      <c r="X591" t="s">
        <v>84</v>
      </c>
      <c r="Y591" t="s">
        <v>72</v>
      </c>
    </row>
    <row r="592" spans="1:25" x14ac:dyDescent="0.3">
      <c r="A592" t="s">
        <v>1261</v>
      </c>
      <c r="B592" s="1">
        <v>45516</v>
      </c>
      <c r="C592" t="s">
        <v>117</v>
      </c>
      <c r="D592" t="s">
        <v>4083</v>
      </c>
      <c r="E592" t="s">
        <v>4085</v>
      </c>
      <c r="F592" t="s">
        <v>60</v>
      </c>
      <c r="G592" t="s">
        <v>29</v>
      </c>
      <c r="H592" t="s">
        <v>59</v>
      </c>
      <c r="I592">
        <v>13</v>
      </c>
      <c r="J592" t="s">
        <v>1262</v>
      </c>
      <c r="K592">
        <v>52</v>
      </c>
      <c r="L592" t="s">
        <v>32</v>
      </c>
      <c r="M592">
        <v>4</v>
      </c>
      <c r="N592" t="s">
        <v>91</v>
      </c>
      <c r="O592" t="s">
        <v>81</v>
      </c>
      <c r="P592" t="s">
        <v>35</v>
      </c>
      <c r="Q592" s="2">
        <v>48203.01</v>
      </c>
      <c r="R592" s="2">
        <v>3331.32</v>
      </c>
      <c r="S592" t="s">
        <v>94</v>
      </c>
      <c r="T592" t="s">
        <v>52</v>
      </c>
      <c r="U592" t="s">
        <v>75</v>
      </c>
      <c r="V592">
        <v>5</v>
      </c>
      <c r="W592" t="s">
        <v>103</v>
      </c>
      <c r="X592" t="s">
        <v>106</v>
      </c>
      <c r="Y592" t="s">
        <v>72</v>
      </c>
    </row>
    <row r="593" spans="1:25" x14ac:dyDescent="0.3">
      <c r="A593" t="s">
        <v>1263</v>
      </c>
      <c r="B593" s="1">
        <v>45517</v>
      </c>
      <c r="C593" t="s">
        <v>117</v>
      </c>
      <c r="D593" t="s">
        <v>4083</v>
      </c>
      <c r="E593" t="s">
        <v>120</v>
      </c>
      <c r="F593" t="s">
        <v>28</v>
      </c>
      <c r="G593" t="s">
        <v>29</v>
      </c>
      <c r="H593" t="s">
        <v>86</v>
      </c>
      <c r="I593">
        <v>5</v>
      </c>
      <c r="J593" t="s">
        <v>1264</v>
      </c>
      <c r="K593">
        <v>56</v>
      </c>
      <c r="L593" t="s">
        <v>80</v>
      </c>
      <c r="M593">
        <v>5</v>
      </c>
      <c r="N593" t="s">
        <v>48</v>
      </c>
      <c r="O593" t="s">
        <v>49</v>
      </c>
      <c r="P593" t="s">
        <v>35</v>
      </c>
      <c r="Q593" s="2">
        <v>8038.77</v>
      </c>
      <c r="R593" s="2">
        <v>1323.87</v>
      </c>
      <c r="S593" t="s">
        <v>115</v>
      </c>
      <c r="T593" t="s">
        <v>71</v>
      </c>
      <c r="U593" t="s">
        <v>83</v>
      </c>
      <c r="V593">
        <v>3.6</v>
      </c>
      <c r="W593" t="s">
        <v>39</v>
      </c>
      <c r="X593" t="s">
        <v>55</v>
      </c>
      <c r="Y593" t="s">
        <v>72</v>
      </c>
    </row>
    <row r="594" spans="1:25" x14ac:dyDescent="0.3">
      <c r="A594" t="s">
        <v>1265</v>
      </c>
      <c r="B594" s="1">
        <v>45518</v>
      </c>
      <c r="C594" t="s">
        <v>117</v>
      </c>
      <c r="D594" t="s">
        <v>4083</v>
      </c>
      <c r="E594" t="s">
        <v>45</v>
      </c>
      <c r="F594" t="s">
        <v>28</v>
      </c>
      <c r="G594" t="s">
        <v>29</v>
      </c>
      <c r="H594" t="s">
        <v>67</v>
      </c>
      <c r="I594">
        <v>14</v>
      </c>
      <c r="J594" t="s">
        <v>1266</v>
      </c>
      <c r="K594">
        <v>59</v>
      </c>
      <c r="L594" t="s">
        <v>80</v>
      </c>
      <c r="M594">
        <v>2</v>
      </c>
      <c r="N594" t="s">
        <v>33</v>
      </c>
      <c r="O594" t="s">
        <v>49</v>
      </c>
      <c r="P594" t="s">
        <v>50</v>
      </c>
      <c r="Q594" s="2">
        <v>24294.27</v>
      </c>
      <c r="R594" s="2">
        <v>2040.63</v>
      </c>
      <c r="S594" t="s">
        <v>36</v>
      </c>
      <c r="T594" t="s">
        <v>71</v>
      </c>
      <c r="U594" t="s">
        <v>75</v>
      </c>
      <c r="V594">
        <v>1.4</v>
      </c>
      <c r="W594" t="s">
        <v>124</v>
      </c>
      <c r="X594" t="s">
        <v>106</v>
      </c>
      <c r="Y594" t="s">
        <v>72</v>
      </c>
    </row>
    <row r="595" spans="1:25" x14ac:dyDescent="0.3">
      <c r="A595" t="s">
        <v>1267</v>
      </c>
      <c r="B595" s="1">
        <v>45519</v>
      </c>
      <c r="C595" t="s">
        <v>43</v>
      </c>
      <c r="D595" t="s">
        <v>58</v>
      </c>
      <c r="E595" t="s">
        <v>4085</v>
      </c>
      <c r="F595" t="s">
        <v>60</v>
      </c>
      <c r="G595" t="s">
        <v>29</v>
      </c>
      <c r="H595" t="s">
        <v>59</v>
      </c>
      <c r="I595">
        <v>3</v>
      </c>
      <c r="J595" t="s">
        <v>1268</v>
      </c>
      <c r="K595">
        <v>40</v>
      </c>
      <c r="L595" t="s">
        <v>80</v>
      </c>
      <c r="M595">
        <v>1</v>
      </c>
      <c r="N595" t="s">
        <v>64</v>
      </c>
      <c r="O595" t="s">
        <v>49</v>
      </c>
      <c r="P595" t="s">
        <v>70</v>
      </c>
      <c r="Q595" s="2">
        <v>44206.43</v>
      </c>
      <c r="R595" s="2">
        <v>2963.08</v>
      </c>
      <c r="S595" t="s">
        <v>115</v>
      </c>
      <c r="T595" t="s">
        <v>37</v>
      </c>
      <c r="U595" t="s">
        <v>38</v>
      </c>
      <c r="V595">
        <v>4.4000000000000004</v>
      </c>
      <c r="W595" t="s">
        <v>54</v>
      </c>
      <c r="X595" t="s">
        <v>106</v>
      </c>
      <c r="Y595" t="s">
        <v>41</v>
      </c>
    </row>
    <row r="596" spans="1:25" x14ac:dyDescent="0.3">
      <c r="A596" t="s">
        <v>1269</v>
      </c>
      <c r="B596" s="1">
        <v>45520</v>
      </c>
      <c r="C596" t="s">
        <v>78</v>
      </c>
      <c r="D596" t="s">
        <v>58</v>
      </c>
      <c r="E596" t="s">
        <v>45</v>
      </c>
      <c r="F596" t="s">
        <v>28</v>
      </c>
      <c r="G596" t="s">
        <v>29</v>
      </c>
      <c r="H596" t="s">
        <v>67</v>
      </c>
      <c r="I596">
        <v>6</v>
      </c>
      <c r="J596" t="s">
        <v>1270</v>
      </c>
      <c r="K596">
        <v>23</v>
      </c>
      <c r="L596" t="s">
        <v>63</v>
      </c>
      <c r="M596">
        <v>1</v>
      </c>
      <c r="N596" t="s">
        <v>48</v>
      </c>
      <c r="O596" t="s">
        <v>69</v>
      </c>
      <c r="P596" t="s">
        <v>70</v>
      </c>
      <c r="Q596" s="2">
        <v>39625.97</v>
      </c>
      <c r="R596" s="2">
        <v>179.64</v>
      </c>
      <c r="S596" t="s">
        <v>115</v>
      </c>
      <c r="T596" t="s">
        <v>37</v>
      </c>
      <c r="U596" t="s">
        <v>53</v>
      </c>
      <c r="V596">
        <v>4.9000000000000004</v>
      </c>
      <c r="W596" t="s">
        <v>103</v>
      </c>
      <c r="X596" t="s">
        <v>55</v>
      </c>
      <c r="Y596" t="s">
        <v>72</v>
      </c>
    </row>
    <row r="597" spans="1:25" x14ac:dyDescent="0.3">
      <c r="A597" t="s">
        <v>1271</v>
      </c>
      <c r="B597" s="1">
        <v>45521</v>
      </c>
      <c r="C597" t="s">
        <v>26</v>
      </c>
      <c r="D597" t="s">
        <v>26</v>
      </c>
      <c r="E597" t="s">
        <v>4085</v>
      </c>
      <c r="F597" t="s">
        <v>60</v>
      </c>
      <c r="G597" t="s">
        <v>29</v>
      </c>
      <c r="H597" t="s">
        <v>46</v>
      </c>
      <c r="I597">
        <v>12</v>
      </c>
      <c r="J597" t="s">
        <v>1272</v>
      </c>
      <c r="K597">
        <v>33</v>
      </c>
      <c r="L597" t="s">
        <v>63</v>
      </c>
      <c r="M597">
        <v>6</v>
      </c>
      <c r="N597" t="s">
        <v>64</v>
      </c>
      <c r="O597" t="s">
        <v>81</v>
      </c>
      <c r="P597" t="s">
        <v>70</v>
      </c>
      <c r="Q597" s="2">
        <v>42009.9</v>
      </c>
      <c r="R597" s="2">
        <v>2414.17</v>
      </c>
      <c r="S597" t="s">
        <v>115</v>
      </c>
      <c r="T597" t="s">
        <v>37</v>
      </c>
      <c r="U597" t="s">
        <v>53</v>
      </c>
      <c r="V597">
        <v>3.9</v>
      </c>
      <c r="W597" t="s">
        <v>54</v>
      </c>
      <c r="X597" t="s">
        <v>106</v>
      </c>
      <c r="Y597" t="s">
        <v>41</v>
      </c>
    </row>
    <row r="598" spans="1:25" x14ac:dyDescent="0.3">
      <c r="A598" t="s">
        <v>1273</v>
      </c>
      <c r="B598" s="1">
        <v>45522</v>
      </c>
      <c r="C598" t="s">
        <v>43</v>
      </c>
      <c r="D598" t="s">
        <v>58</v>
      </c>
      <c r="E598" t="s">
        <v>45</v>
      </c>
      <c r="F598" t="s">
        <v>28</v>
      </c>
      <c r="G598" t="s">
        <v>29</v>
      </c>
      <c r="H598" t="s">
        <v>67</v>
      </c>
      <c r="I598">
        <v>5</v>
      </c>
      <c r="J598" t="s">
        <v>1274</v>
      </c>
      <c r="K598">
        <v>19</v>
      </c>
      <c r="L598" t="s">
        <v>32</v>
      </c>
      <c r="M598">
        <v>7</v>
      </c>
      <c r="N598" t="s">
        <v>48</v>
      </c>
      <c r="O598" t="s">
        <v>69</v>
      </c>
      <c r="P598" t="s">
        <v>70</v>
      </c>
      <c r="Q598" s="2">
        <v>48753.21</v>
      </c>
      <c r="R598" s="2">
        <v>4298.63</v>
      </c>
      <c r="S598" t="s">
        <v>94</v>
      </c>
      <c r="T598" t="s">
        <v>71</v>
      </c>
      <c r="U598" t="s">
        <v>83</v>
      </c>
      <c r="V598">
        <v>2.7</v>
      </c>
      <c r="W598" t="s">
        <v>76</v>
      </c>
      <c r="X598" t="s">
        <v>65</v>
      </c>
      <c r="Y598" t="s">
        <v>72</v>
      </c>
    </row>
    <row r="599" spans="1:25" x14ac:dyDescent="0.3">
      <c r="A599" t="s">
        <v>1275</v>
      </c>
      <c r="B599" s="1">
        <v>45523</v>
      </c>
      <c r="C599" t="s">
        <v>43</v>
      </c>
      <c r="D599" t="s">
        <v>58</v>
      </c>
      <c r="E599" t="s">
        <v>4084</v>
      </c>
      <c r="F599" t="s">
        <v>60</v>
      </c>
      <c r="G599" t="s">
        <v>29</v>
      </c>
      <c r="H599" t="s">
        <v>27</v>
      </c>
      <c r="I599">
        <v>13</v>
      </c>
      <c r="J599" t="s">
        <v>1276</v>
      </c>
      <c r="K599">
        <v>41</v>
      </c>
      <c r="L599" t="s">
        <v>32</v>
      </c>
      <c r="M599">
        <v>3</v>
      </c>
      <c r="N599" t="s">
        <v>48</v>
      </c>
      <c r="O599" t="s">
        <v>49</v>
      </c>
      <c r="P599" t="s">
        <v>70</v>
      </c>
      <c r="Q599" s="2">
        <v>22426.78</v>
      </c>
      <c r="R599" s="2">
        <v>2461.84</v>
      </c>
      <c r="S599" t="s">
        <v>115</v>
      </c>
      <c r="T599" t="s">
        <v>52</v>
      </c>
      <c r="U599" t="s">
        <v>38</v>
      </c>
      <c r="V599">
        <v>4.8</v>
      </c>
      <c r="W599" t="s">
        <v>103</v>
      </c>
      <c r="X599" t="s">
        <v>106</v>
      </c>
      <c r="Y599" t="s">
        <v>72</v>
      </c>
    </row>
    <row r="600" spans="1:25" x14ac:dyDescent="0.3">
      <c r="A600" t="s">
        <v>1277</v>
      </c>
      <c r="B600" s="1">
        <v>45524</v>
      </c>
      <c r="C600" t="s">
        <v>43</v>
      </c>
      <c r="D600" t="s">
        <v>58</v>
      </c>
      <c r="E600" t="s">
        <v>45</v>
      </c>
      <c r="F600" t="s">
        <v>28</v>
      </c>
      <c r="G600" t="s">
        <v>29</v>
      </c>
      <c r="H600" t="s">
        <v>67</v>
      </c>
      <c r="I600">
        <v>6</v>
      </c>
      <c r="J600" t="s">
        <v>1278</v>
      </c>
      <c r="K600">
        <v>34</v>
      </c>
      <c r="L600" t="s">
        <v>32</v>
      </c>
      <c r="M600">
        <v>6</v>
      </c>
      <c r="N600" t="s">
        <v>33</v>
      </c>
      <c r="O600" t="s">
        <v>69</v>
      </c>
      <c r="P600" t="s">
        <v>82</v>
      </c>
      <c r="Q600" s="2">
        <v>18934.490000000002</v>
      </c>
      <c r="R600" s="2">
        <v>2761.62</v>
      </c>
      <c r="S600" t="s">
        <v>115</v>
      </c>
      <c r="T600" t="s">
        <v>71</v>
      </c>
      <c r="U600" t="s">
        <v>75</v>
      </c>
      <c r="V600">
        <v>4.9000000000000004</v>
      </c>
      <c r="W600" t="s">
        <v>103</v>
      </c>
      <c r="X600" t="s">
        <v>55</v>
      </c>
      <c r="Y600" t="s">
        <v>41</v>
      </c>
    </row>
    <row r="601" spans="1:25" x14ac:dyDescent="0.3">
      <c r="A601" t="s">
        <v>1279</v>
      </c>
      <c r="B601" s="1">
        <v>45525</v>
      </c>
      <c r="C601" t="s">
        <v>43</v>
      </c>
      <c r="D601" t="s">
        <v>58</v>
      </c>
      <c r="E601" t="s">
        <v>45</v>
      </c>
      <c r="F601" t="s">
        <v>28</v>
      </c>
      <c r="G601" t="s">
        <v>29</v>
      </c>
      <c r="H601" t="s">
        <v>67</v>
      </c>
      <c r="I601">
        <v>11</v>
      </c>
      <c r="J601" t="s">
        <v>1280</v>
      </c>
      <c r="K601">
        <v>62</v>
      </c>
      <c r="L601" t="s">
        <v>63</v>
      </c>
      <c r="M601">
        <v>2</v>
      </c>
      <c r="N601" t="s">
        <v>48</v>
      </c>
      <c r="O601" t="s">
        <v>49</v>
      </c>
      <c r="P601" t="s">
        <v>82</v>
      </c>
      <c r="Q601" s="2">
        <v>6379.68</v>
      </c>
      <c r="R601" s="2">
        <v>1009.53</v>
      </c>
      <c r="S601" t="s">
        <v>115</v>
      </c>
      <c r="T601" t="s">
        <v>52</v>
      </c>
      <c r="U601" t="s">
        <v>83</v>
      </c>
      <c r="V601">
        <v>4.7</v>
      </c>
      <c r="W601" t="s">
        <v>103</v>
      </c>
      <c r="X601" t="s">
        <v>84</v>
      </c>
      <c r="Y601" t="s">
        <v>41</v>
      </c>
    </row>
    <row r="602" spans="1:25" x14ac:dyDescent="0.3">
      <c r="A602" t="s">
        <v>1281</v>
      </c>
      <c r="B602" s="1">
        <v>45526</v>
      </c>
      <c r="C602" t="s">
        <v>43</v>
      </c>
      <c r="D602" t="s">
        <v>58</v>
      </c>
      <c r="E602" t="s">
        <v>120</v>
      </c>
      <c r="F602" t="s">
        <v>28</v>
      </c>
      <c r="G602" t="s">
        <v>29</v>
      </c>
      <c r="H602" t="s">
        <v>86</v>
      </c>
      <c r="I602">
        <v>5</v>
      </c>
      <c r="J602" t="s">
        <v>1282</v>
      </c>
      <c r="K602">
        <v>18</v>
      </c>
      <c r="L602" t="s">
        <v>32</v>
      </c>
      <c r="M602">
        <v>7</v>
      </c>
      <c r="N602" t="s">
        <v>91</v>
      </c>
      <c r="O602" t="s">
        <v>34</v>
      </c>
      <c r="P602" t="s">
        <v>82</v>
      </c>
      <c r="Q602" s="2">
        <v>11750.87</v>
      </c>
      <c r="R602" s="2">
        <v>3971.72</v>
      </c>
      <c r="S602" t="s">
        <v>94</v>
      </c>
      <c r="T602" t="s">
        <v>37</v>
      </c>
      <c r="U602" t="s">
        <v>75</v>
      </c>
      <c r="V602">
        <v>2.6</v>
      </c>
      <c r="W602" t="s">
        <v>76</v>
      </c>
      <c r="X602" t="s">
        <v>84</v>
      </c>
      <c r="Y602" t="s">
        <v>72</v>
      </c>
    </row>
    <row r="603" spans="1:25" x14ac:dyDescent="0.3">
      <c r="A603" t="s">
        <v>1283</v>
      </c>
      <c r="B603" s="1">
        <v>45527</v>
      </c>
      <c r="C603" t="s">
        <v>57</v>
      </c>
      <c r="D603" t="s">
        <v>44</v>
      </c>
      <c r="E603" t="s">
        <v>4084</v>
      </c>
      <c r="F603" t="s">
        <v>60</v>
      </c>
      <c r="G603" t="s">
        <v>29</v>
      </c>
      <c r="H603" t="s">
        <v>30</v>
      </c>
      <c r="I603">
        <v>14</v>
      </c>
      <c r="J603" t="s">
        <v>1284</v>
      </c>
      <c r="K603">
        <v>23</v>
      </c>
      <c r="L603" t="s">
        <v>32</v>
      </c>
      <c r="M603">
        <v>7</v>
      </c>
      <c r="N603" t="s">
        <v>91</v>
      </c>
      <c r="O603" t="s">
        <v>49</v>
      </c>
      <c r="P603" t="s">
        <v>35</v>
      </c>
      <c r="Q603" s="2">
        <v>30290.66</v>
      </c>
      <c r="R603" s="2">
        <v>1794.39</v>
      </c>
      <c r="S603" t="s">
        <v>36</v>
      </c>
      <c r="T603" t="s">
        <v>71</v>
      </c>
      <c r="U603" t="s">
        <v>83</v>
      </c>
      <c r="V603">
        <v>4.2</v>
      </c>
      <c r="W603" t="s">
        <v>54</v>
      </c>
      <c r="X603" t="s">
        <v>84</v>
      </c>
      <c r="Y603" t="s">
        <v>41</v>
      </c>
    </row>
    <row r="604" spans="1:25" x14ac:dyDescent="0.3">
      <c r="A604" t="s">
        <v>1285</v>
      </c>
      <c r="B604" s="1">
        <v>45528</v>
      </c>
      <c r="C604" t="s">
        <v>26</v>
      </c>
      <c r="D604" t="s">
        <v>26</v>
      </c>
      <c r="E604" t="s">
        <v>89</v>
      </c>
      <c r="F604" t="s">
        <v>28</v>
      </c>
      <c r="G604" t="s">
        <v>29</v>
      </c>
      <c r="H604" t="s">
        <v>61</v>
      </c>
      <c r="I604">
        <v>8</v>
      </c>
      <c r="J604" t="s">
        <v>1286</v>
      </c>
      <c r="K604">
        <v>22</v>
      </c>
      <c r="L604" t="s">
        <v>63</v>
      </c>
      <c r="M604">
        <v>7</v>
      </c>
      <c r="N604" t="s">
        <v>64</v>
      </c>
      <c r="O604" t="s">
        <v>34</v>
      </c>
      <c r="P604" t="s">
        <v>82</v>
      </c>
      <c r="Q604" s="2">
        <v>12094.73</v>
      </c>
      <c r="R604" s="2">
        <v>4782.9399999999996</v>
      </c>
      <c r="S604" t="s">
        <v>36</v>
      </c>
      <c r="T604" t="s">
        <v>52</v>
      </c>
      <c r="U604" t="s">
        <v>53</v>
      </c>
      <c r="V604">
        <v>3.6</v>
      </c>
      <c r="W604" t="s">
        <v>39</v>
      </c>
      <c r="X604" t="s">
        <v>55</v>
      </c>
      <c r="Y604" t="s">
        <v>72</v>
      </c>
    </row>
    <row r="605" spans="1:25" x14ac:dyDescent="0.3">
      <c r="A605" t="s">
        <v>1287</v>
      </c>
      <c r="B605" s="1">
        <v>45529</v>
      </c>
      <c r="C605" t="s">
        <v>43</v>
      </c>
      <c r="D605" t="s">
        <v>58</v>
      </c>
      <c r="E605" t="s">
        <v>120</v>
      </c>
      <c r="F605" t="s">
        <v>28</v>
      </c>
      <c r="G605" t="s">
        <v>29</v>
      </c>
      <c r="H605" t="s">
        <v>86</v>
      </c>
      <c r="I605">
        <v>8</v>
      </c>
      <c r="J605" t="s">
        <v>1288</v>
      </c>
      <c r="K605">
        <v>62</v>
      </c>
      <c r="L605" t="s">
        <v>80</v>
      </c>
      <c r="M605">
        <v>2</v>
      </c>
      <c r="N605" t="s">
        <v>64</v>
      </c>
      <c r="O605" t="s">
        <v>34</v>
      </c>
      <c r="P605" t="s">
        <v>70</v>
      </c>
      <c r="Q605" s="2">
        <v>38133.730000000003</v>
      </c>
      <c r="R605" s="2">
        <v>4968.57</v>
      </c>
      <c r="S605" t="s">
        <v>36</v>
      </c>
      <c r="T605" t="s">
        <v>71</v>
      </c>
      <c r="U605" t="s">
        <v>38</v>
      </c>
      <c r="V605">
        <v>1.7</v>
      </c>
      <c r="W605" t="s">
        <v>124</v>
      </c>
      <c r="X605" t="s">
        <v>55</v>
      </c>
      <c r="Y605" t="s">
        <v>41</v>
      </c>
    </row>
    <row r="606" spans="1:25" x14ac:dyDescent="0.3">
      <c r="A606" t="s">
        <v>1289</v>
      </c>
      <c r="B606" s="1">
        <v>45530</v>
      </c>
      <c r="C606" t="s">
        <v>26</v>
      </c>
      <c r="D606" t="s">
        <v>26</v>
      </c>
      <c r="E606" t="s">
        <v>89</v>
      </c>
      <c r="F606" t="s">
        <v>28</v>
      </c>
      <c r="G606" t="s">
        <v>29</v>
      </c>
      <c r="H606" t="s">
        <v>61</v>
      </c>
      <c r="I606">
        <v>9</v>
      </c>
      <c r="J606" t="s">
        <v>1290</v>
      </c>
      <c r="K606">
        <v>67</v>
      </c>
      <c r="L606" t="s">
        <v>63</v>
      </c>
      <c r="M606">
        <v>4</v>
      </c>
      <c r="N606" t="s">
        <v>91</v>
      </c>
      <c r="O606" t="s">
        <v>34</v>
      </c>
      <c r="P606" t="s">
        <v>70</v>
      </c>
      <c r="Q606" s="2">
        <v>6675.47</v>
      </c>
      <c r="R606" s="2">
        <v>4580</v>
      </c>
      <c r="S606" t="s">
        <v>115</v>
      </c>
      <c r="T606" t="s">
        <v>52</v>
      </c>
      <c r="U606" t="s">
        <v>53</v>
      </c>
      <c r="V606">
        <v>3.1</v>
      </c>
      <c r="W606" t="s">
        <v>76</v>
      </c>
      <c r="X606" t="s">
        <v>65</v>
      </c>
      <c r="Y606" t="s">
        <v>72</v>
      </c>
    </row>
    <row r="607" spans="1:25" x14ac:dyDescent="0.3">
      <c r="A607" t="s">
        <v>1291</v>
      </c>
      <c r="B607" s="1">
        <v>45531</v>
      </c>
      <c r="C607" t="s">
        <v>57</v>
      </c>
      <c r="D607" t="s">
        <v>44</v>
      </c>
      <c r="E607" t="s">
        <v>4085</v>
      </c>
      <c r="F607" t="s">
        <v>60</v>
      </c>
      <c r="G607" t="s">
        <v>29</v>
      </c>
      <c r="H607" t="s">
        <v>46</v>
      </c>
      <c r="I607">
        <v>11</v>
      </c>
      <c r="J607" t="s">
        <v>1292</v>
      </c>
      <c r="K607">
        <v>46</v>
      </c>
      <c r="L607" t="s">
        <v>32</v>
      </c>
      <c r="M607">
        <v>1</v>
      </c>
      <c r="N607" t="s">
        <v>64</v>
      </c>
      <c r="O607" t="s">
        <v>49</v>
      </c>
      <c r="P607" t="s">
        <v>35</v>
      </c>
      <c r="Q607" s="2">
        <v>16676.96</v>
      </c>
      <c r="R607" s="2">
        <v>424.38</v>
      </c>
      <c r="S607" t="s">
        <v>94</v>
      </c>
      <c r="T607" t="s">
        <v>52</v>
      </c>
      <c r="U607" t="s">
        <v>83</v>
      </c>
      <c r="V607">
        <v>4</v>
      </c>
      <c r="W607" t="s">
        <v>39</v>
      </c>
      <c r="X607" t="s">
        <v>55</v>
      </c>
      <c r="Y607" t="s">
        <v>72</v>
      </c>
    </row>
    <row r="608" spans="1:25" x14ac:dyDescent="0.3">
      <c r="A608" t="s">
        <v>1293</v>
      </c>
      <c r="B608" s="1">
        <v>45532</v>
      </c>
      <c r="C608" t="s">
        <v>57</v>
      </c>
      <c r="D608" t="s">
        <v>44</v>
      </c>
      <c r="E608" t="s">
        <v>89</v>
      </c>
      <c r="F608" t="s">
        <v>28</v>
      </c>
      <c r="G608" t="s">
        <v>29</v>
      </c>
      <c r="H608" t="s">
        <v>61</v>
      </c>
      <c r="I608">
        <v>14</v>
      </c>
      <c r="J608" t="s">
        <v>1294</v>
      </c>
      <c r="K608">
        <v>29</v>
      </c>
      <c r="L608" t="s">
        <v>63</v>
      </c>
      <c r="M608">
        <v>4</v>
      </c>
      <c r="N608" t="s">
        <v>64</v>
      </c>
      <c r="O608" t="s">
        <v>81</v>
      </c>
      <c r="P608" t="s">
        <v>35</v>
      </c>
      <c r="Q608" s="2">
        <v>36295.39</v>
      </c>
      <c r="R608" s="2">
        <v>1665.92</v>
      </c>
      <c r="S608" t="s">
        <v>36</v>
      </c>
      <c r="T608" t="s">
        <v>71</v>
      </c>
      <c r="U608" t="s">
        <v>75</v>
      </c>
      <c r="V608">
        <v>4.5999999999999996</v>
      </c>
      <c r="W608" t="s">
        <v>103</v>
      </c>
      <c r="X608" t="s">
        <v>84</v>
      </c>
      <c r="Y608" t="s">
        <v>72</v>
      </c>
    </row>
    <row r="609" spans="1:25" x14ac:dyDescent="0.3">
      <c r="A609" t="s">
        <v>1295</v>
      </c>
      <c r="B609" s="1">
        <v>45533</v>
      </c>
      <c r="C609" t="s">
        <v>26</v>
      </c>
      <c r="D609" t="s">
        <v>26</v>
      </c>
      <c r="E609" t="s">
        <v>45</v>
      </c>
      <c r="F609" t="s">
        <v>28</v>
      </c>
      <c r="G609" t="s">
        <v>29</v>
      </c>
      <c r="H609" t="s">
        <v>67</v>
      </c>
      <c r="I609">
        <v>9</v>
      </c>
      <c r="J609" t="s">
        <v>1296</v>
      </c>
      <c r="K609">
        <v>56</v>
      </c>
      <c r="L609" t="s">
        <v>80</v>
      </c>
      <c r="M609">
        <v>2</v>
      </c>
      <c r="N609" t="s">
        <v>91</v>
      </c>
      <c r="O609" t="s">
        <v>49</v>
      </c>
      <c r="P609" t="s">
        <v>50</v>
      </c>
      <c r="Q609" s="2">
        <v>16497.63</v>
      </c>
      <c r="R609" s="2">
        <v>4725.6899999999996</v>
      </c>
      <c r="S609" t="s">
        <v>36</v>
      </c>
      <c r="T609" t="s">
        <v>37</v>
      </c>
      <c r="U609" t="s">
        <v>38</v>
      </c>
      <c r="V609">
        <v>4.5</v>
      </c>
      <c r="W609" t="s">
        <v>103</v>
      </c>
      <c r="X609" t="s">
        <v>55</v>
      </c>
      <c r="Y609" t="s">
        <v>72</v>
      </c>
    </row>
    <row r="610" spans="1:25" x14ac:dyDescent="0.3">
      <c r="A610" t="s">
        <v>1297</v>
      </c>
      <c r="B610" s="1">
        <v>45534</v>
      </c>
      <c r="C610" t="s">
        <v>117</v>
      </c>
      <c r="D610" t="s">
        <v>4083</v>
      </c>
      <c r="E610" t="s">
        <v>89</v>
      </c>
      <c r="F610" t="s">
        <v>28</v>
      </c>
      <c r="G610" t="s">
        <v>29</v>
      </c>
      <c r="H610" t="s">
        <v>61</v>
      </c>
      <c r="I610">
        <v>3</v>
      </c>
      <c r="J610" t="s">
        <v>1298</v>
      </c>
      <c r="K610">
        <v>64</v>
      </c>
      <c r="L610" t="s">
        <v>80</v>
      </c>
      <c r="M610">
        <v>3</v>
      </c>
      <c r="N610" t="s">
        <v>91</v>
      </c>
      <c r="O610" t="s">
        <v>69</v>
      </c>
      <c r="P610" t="s">
        <v>35</v>
      </c>
      <c r="Q610" s="2">
        <v>37794.22</v>
      </c>
      <c r="R610" s="2">
        <v>4022.67</v>
      </c>
      <c r="S610" t="s">
        <v>36</v>
      </c>
      <c r="T610" t="s">
        <v>71</v>
      </c>
      <c r="U610" t="s">
        <v>75</v>
      </c>
      <c r="V610">
        <v>1.6</v>
      </c>
      <c r="W610" t="s">
        <v>124</v>
      </c>
      <c r="X610" t="s">
        <v>40</v>
      </c>
      <c r="Y610" t="s">
        <v>41</v>
      </c>
    </row>
    <row r="611" spans="1:25" x14ac:dyDescent="0.3">
      <c r="A611" t="s">
        <v>1299</v>
      </c>
      <c r="B611" s="1">
        <v>45535</v>
      </c>
      <c r="C611" t="s">
        <v>78</v>
      </c>
      <c r="D611" t="s">
        <v>58</v>
      </c>
      <c r="E611" t="s">
        <v>120</v>
      </c>
      <c r="F611" t="s">
        <v>28</v>
      </c>
      <c r="G611" t="s">
        <v>29</v>
      </c>
      <c r="H611" t="s">
        <v>86</v>
      </c>
      <c r="I611">
        <v>10</v>
      </c>
      <c r="J611" t="s">
        <v>1300</v>
      </c>
      <c r="K611">
        <v>20</v>
      </c>
      <c r="L611" t="s">
        <v>80</v>
      </c>
      <c r="M611">
        <v>1</v>
      </c>
      <c r="N611" t="s">
        <v>91</v>
      </c>
      <c r="O611" t="s">
        <v>69</v>
      </c>
      <c r="P611" t="s">
        <v>50</v>
      </c>
      <c r="Q611" s="2">
        <v>49813.87</v>
      </c>
      <c r="R611" s="2">
        <v>4555.92</v>
      </c>
      <c r="S611" t="s">
        <v>51</v>
      </c>
      <c r="T611" t="s">
        <v>37</v>
      </c>
      <c r="U611" t="s">
        <v>53</v>
      </c>
      <c r="V611">
        <v>3</v>
      </c>
      <c r="W611" t="s">
        <v>39</v>
      </c>
      <c r="X611" t="s">
        <v>106</v>
      </c>
      <c r="Y611" t="s">
        <v>41</v>
      </c>
    </row>
    <row r="612" spans="1:25" x14ac:dyDescent="0.3">
      <c r="A612" t="s">
        <v>1301</v>
      </c>
      <c r="B612" s="1">
        <v>45536</v>
      </c>
      <c r="C612" t="s">
        <v>117</v>
      </c>
      <c r="D612" t="s">
        <v>4083</v>
      </c>
      <c r="E612" t="s">
        <v>120</v>
      </c>
      <c r="F612" t="s">
        <v>28</v>
      </c>
      <c r="G612" t="s">
        <v>29</v>
      </c>
      <c r="H612" t="s">
        <v>86</v>
      </c>
      <c r="I612">
        <v>7</v>
      </c>
      <c r="J612" t="s">
        <v>1302</v>
      </c>
      <c r="K612">
        <v>65</v>
      </c>
      <c r="L612" t="s">
        <v>80</v>
      </c>
      <c r="M612">
        <v>2</v>
      </c>
      <c r="N612" t="s">
        <v>33</v>
      </c>
      <c r="O612" t="s">
        <v>81</v>
      </c>
      <c r="P612" t="s">
        <v>82</v>
      </c>
      <c r="Q612" s="2">
        <v>40868.78</v>
      </c>
      <c r="R612" s="2">
        <v>2862.77</v>
      </c>
      <c r="S612" t="s">
        <v>94</v>
      </c>
      <c r="T612" t="s">
        <v>52</v>
      </c>
      <c r="U612" t="s">
        <v>75</v>
      </c>
      <c r="V612">
        <v>2.9</v>
      </c>
      <c r="W612" t="s">
        <v>76</v>
      </c>
      <c r="X612" t="s">
        <v>65</v>
      </c>
      <c r="Y612" t="s">
        <v>72</v>
      </c>
    </row>
    <row r="613" spans="1:25" x14ac:dyDescent="0.3">
      <c r="A613" t="s">
        <v>1303</v>
      </c>
      <c r="B613" s="1">
        <v>45537</v>
      </c>
      <c r="C613" t="s">
        <v>117</v>
      </c>
      <c r="D613" t="s">
        <v>4083</v>
      </c>
      <c r="E613" t="s">
        <v>89</v>
      </c>
      <c r="F613" t="s">
        <v>28</v>
      </c>
      <c r="G613" t="s">
        <v>29</v>
      </c>
      <c r="H613" t="s">
        <v>61</v>
      </c>
      <c r="I613">
        <v>11</v>
      </c>
      <c r="J613" t="s">
        <v>1304</v>
      </c>
      <c r="K613">
        <v>18</v>
      </c>
      <c r="L613" t="s">
        <v>80</v>
      </c>
      <c r="M613">
        <v>3</v>
      </c>
      <c r="N613" t="s">
        <v>33</v>
      </c>
      <c r="O613" t="s">
        <v>81</v>
      </c>
      <c r="P613" t="s">
        <v>70</v>
      </c>
      <c r="Q613" s="2">
        <v>20382.599999999999</v>
      </c>
      <c r="R613" s="2">
        <v>2401.9899999999998</v>
      </c>
      <c r="S613" t="s">
        <v>51</v>
      </c>
      <c r="T613" t="s">
        <v>52</v>
      </c>
      <c r="U613" t="s">
        <v>83</v>
      </c>
      <c r="V613">
        <v>4.5999999999999996</v>
      </c>
      <c r="W613" t="s">
        <v>103</v>
      </c>
      <c r="X613" t="s">
        <v>84</v>
      </c>
      <c r="Y613" t="s">
        <v>72</v>
      </c>
    </row>
    <row r="614" spans="1:25" x14ac:dyDescent="0.3">
      <c r="A614" t="s">
        <v>1305</v>
      </c>
      <c r="B614" s="1">
        <v>45538</v>
      </c>
      <c r="C614" t="s">
        <v>117</v>
      </c>
      <c r="D614" t="s">
        <v>4083</v>
      </c>
      <c r="E614" t="s">
        <v>120</v>
      </c>
      <c r="F614" t="s">
        <v>28</v>
      </c>
      <c r="G614" t="s">
        <v>29</v>
      </c>
      <c r="H614" t="s">
        <v>86</v>
      </c>
      <c r="I614">
        <v>12</v>
      </c>
      <c r="J614" t="s">
        <v>1306</v>
      </c>
      <c r="K614">
        <v>44</v>
      </c>
      <c r="L614" t="s">
        <v>80</v>
      </c>
      <c r="M614">
        <v>6</v>
      </c>
      <c r="N614" t="s">
        <v>91</v>
      </c>
      <c r="O614" t="s">
        <v>81</v>
      </c>
      <c r="P614" t="s">
        <v>50</v>
      </c>
      <c r="Q614" s="2">
        <v>45526.64</v>
      </c>
      <c r="R614" s="2">
        <v>532.48</v>
      </c>
      <c r="S614" t="s">
        <v>115</v>
      </c>
      <c r="T614" t="s">
        <v>71</v>
      </c>
      <c r="U614" t="s">
        <v>38</v>
      </c>
      <c r="V614">
        <v>1</v>
      </c>
      <c r="W614" t="s">
        <v>124</v>
      </c>
      <c r="X614" t="s">
        <v>84</v>
      </c>
      <c r="Y614" t="s">
        <v>72</v>
      </c>
    </row>
    <row r="615" spans="1:25" x14ac:dyDescent="0.3">
      <c r="A615" t="s">
        <v>1307</v>
      </c>
      <c r="B615" s="1">
        <v>45539</v>
      </c>
      <c r="C615" t="s">
        <v>43</v>
      </c>
      <c r="D615" t="s">
        <v>58</v>
      </c>
      <c r="E615" t="s">
        <v>120</v>
      </c>
      <c r="F615" t="s">
        <v>28</v>
      </c>
      <c r="G615" t="s">
        <v>29</v>
      </c>
      <c r="H615" t="s">
        <v>86</v>
      </c>
      <c r="I615">
        <v>14</v>
      </c>
      <c r="J615" t="s">
        <v>1308</v>
      </c>
      <c r="K615">
        <v>65</v>
      </c>
      <c r="L615" t="s">
        <v>32</v>
      </c>
      <c r="M615">
        <v>5</v>
      </c>
      <c r="N615" t="s">
        <v>48</v>
      </c>
      <c r="O615" t="s">
        <v>34</v>
      </c>
      <c r="P615" t="s">
        <v>50</v>
      </c>
      <c r="Q615" s="2">
        <v>7303.09</v>
      </c>
      <c r="R615" s="2">
        <v>4197.3599999999997</v>
      </c>
      <c r="S615" t="s">
        <v>36</v>
      </c>
      <c r="T615" t="s">
        <v>71</v>
      </c>
      <c r="U615" t="s">
        <v>38</v>
      </c>
      <c r="V615">
        <v>4</v>
      </c>
      <c r="W615" t="s">
        <v>54</v>
      </c>
      <c r="X615" t="s">
        <v>40</v>
      </c>
      <c r="Y615" t="s">
        <v>41</v>
      </c>
    </row>
    <row r="616" spans="1:25" x14ac:dyDescent="0.3">
      <c r="A616" t="s">
        <v>1309</v>
      </c>
      <c r="B616" s="1">
        <v>45540</v>
      </c>
      <c r="C616" t="s">
        <v>57</v>
      </c>
      <c r="D616" t="s">
        <v>44</v>
      </c>
      <c r="E616" t="s">
        <v>89</v>
      </c>
      <c r="F616" t="s">
        <v>28</v>
      </c>
      <c r="G616" t="s">
        <v>29</v>
      </c>
      <c r="H616" t="s">
        <v>61</v>
      </c>
      <c r="I616">
        <v>7</v>
      </c>
      <c r="J616" t="s">
        <v>1310</v>
      </c>
      <c r="K616">
        <v>41</v>
      </c>
      <c r="L616" t="s">
        <v>32</v>
      </c>
      <c r="M616">
        <v>7</v>
      </c>
      <c r="N616" t="s">
        <v>91</v>
      </c>
      <c r="O616" t="s">
        <v>81</v>
      </c>
      <c r="P616" t="s">
        <v>50</v>
      </c>
      <c r="Q616" s="2">
        <v>37625.31</v>
      </c>
      <c r="R616" s="2">
        <v>3725.71</v>
      </c>
      <c r="S616" t="s">
        <v>115</v>
      </c>
      <c r="T616" t="s">
        <v>37</v>
      </c>
      <c r="U616" t="s">
        <v>38</v>
      </c>
      <c r="V616">
        <v>3.5</v>
      </c>
      <c r="W616" t="s">
        <v>54</v>
      </c>
      <c r="X616" t="s">
        <v>65</v>
      </c>
      <c r="Y616" t="s">
        <v>72</v>
      </c>
    </row>
    <row r="617" spans="1:25" x14ac:dyDescent="0.3">
      <c r="A617" t="s">
        <v>1311</v>
      </c>
      <c r="B617" s="1">
        <v>45541</v>
      </c>
      <c r="C617" t="s">
        <v>117</v>
      </c>
      <c r="D617" t="s">
        <v>4083</v>
      </c>
      <c r="E617" t="s">
        <v>4084</v>
      </c>
      <c r="F617" t="s">
        <v>60</v>
      </c>
      <c r="G617" t="s">
        <v>29</v>
      </c>
      <c r="H617" t="s">
        <v>27</v>
      </c>
      <c r="I617">
        <v>7</v>
      </c>
      <c r="J617" t="s">
        <v>1312</v>
      </c>
      <c r="K617">
        <v>61</v>
      </c>
      <c r="L617" t="s">
        <v>63</v>
      </c>
      <c r="M617">
        <v>2</v>
      </c>
      <c r="N617" t="s">
        <v>33</v>
      </c>
      <c r="O617" t="s">
        <v>81</v>
      </c>
      <c r="P617" t="s">
        <v>35</v>
      </c>
      <c r="Q617" s="2">
        <v>6049.5</v>
      </c>
      <c r="R617" s="2">
        <v>294.38</v>
      </c>
      <c r="S617" t="s">
        <v>94</v>
      </c>
      <c r="T617" t="s">
        <v>37</v>
      </c>
      <c r="U617" t="s">
        <v>83</v>
      </c>
      <c r="V617">
        <v>4.7</v>
      </c>
      <c r="W617" t="s">
        <v>103</v>
      </c>
      <c r="X617" t="s">
        <v>106</v>
      </c>
      <c r="Y617" t="s">
        <v>41</v>
      </c>
    </row>
    <row r="618" spans="1:25" x14ac:dyDescent="0.3">
      <c r="A618" t="s">
        <v>1313</v>
      </c>
      <c r="B618" s="1">
        <v>45542</v>
      </c>
      <c r="C618" t="s">
        <v>57</v>
      </c>
      <c r="D618" t="s">
        <v>44</v>
      </c>
      <c r="E618" t="s">
        <v>4084</v>
      </c>
      <c r="F618" t="s">
        <v>60</v>
      </c>
      <c r="G618" t="s">
        <v>29</v>
      </c>
      <c r="H618" t="s">
        <v>27</v>
      </c>
      <c r="I618">
        <v>14</v>
      </c>
      <c r="J618" t="s">
        <v>1314</v>
      </c>
      <c r="K618">
        <v>36</v>
      </c>
      <c r="L618" t="s">
        <v>32</v>
      </c>
      <c r="M618">
        <v>5</v>
      </c>
      <c r="N618" t="s">
        <v>64</v>
      </c>
      <c r="O618" t="s">
        <v>81</v>
      </c>
      <c r="P618" t="s">
        <v>35</v>
      </c>
      <c r="Q618" s="2">
        <v>12855</v>
      </c>
      <c r="R618" s="2">
        <v>1047.07</v>
      </c>
      <c r="S618" t="s">
        <v>115</v>
      </c>
      <c r="T618" t="s">
        <v>71</v>
      </c>
      <c r="U618" t="s">
        <v>75</v>
      </c>
      <c r="V618">
        <v>2.8</v>
      </c>
      <c r="W618" t="s">
        <v>76</v>
      </c>
      <c r="X618" t="s">
        <v>65</v>
      </c>
      <c r="Y618" t="s">
        <v>41</v>
      </c>
    </row>
    <row r="619" spans="1:25" x14ac:dyDescent="0.3">
      <c r="A619" t="s">
        <v>1315</v>
      </c>
      <c r="B619" s="1">
        <v>45543</v>
      </c>
      <c r="C619" t="s">
        <v>26</v>
      </c>
      <c r="D619" t="s">
        <v>26</v>
      </c>
      <c r="E619" t="s">
        <v>4085</v>
      </c>
      <c r="F619" t="s">
        <v>60</v>
      </c>
      <c r="G619" t="s">
        <v>29</v>
      </c>
      <c r="H619" t="s">
        <v>46</v>
      </c>
      <c r="I619">
        <v>14</v>
      </c>
      <c r="J619" t="s">
        <v>1316</v>
      </c>
      <c r="K619">
        <v>25</v>
      </c>
      <c r="L619" t="s">
        <v>80</v>
      </c>
      <c r="M619">
        <v>4</v>
      </c>
      <c r="N619" t="s">
        <v>48</v>
      </c>
      <c r="O619" t="s">
        <v>49</v>
      </c>
      <c r="P619" t="s">
        <v>35</v>
      </c>
      <c r="Q619" s="2">
        <v>49441.36</v>
      </c>
      <c r="R619" s="2">
        <v>2786.39</v>
      </c>
      <c r="S619" t="s">
        <v>115</v>
      </c>
      <c r="T619" t="s">
        <v>37</v>
      </c>
      <c r="U619" t="s">
        <v>38</v>
      </c>
      <c r="V619">
        <v>3.6</v>
      </c>
      <c r="W619" t="s">
        <v>54</v>
      </c>
      <c r="X619" t="s">
        <v>65</v>
      </c>
      <c r="Y619" t="s">
        <v>72</v>
      </c>
    </row>
    <row r="620" spans="1:25" x14ac:dyDescent="0.3">
      <c r="A620" t="s">
        <v>1317</v>
      </c>
      <c r="B620" s="1">
        <v>45544</v>
      </c>
      <c r="C620" t="s">
        <v>78</v>
      </c>
      <c r="D620" t="s">
        <v>58</v>
      </c>
      <c r="E620" t="s">
        <v>120</v>
      </c>
      <c r="F620" t="s">
        <v>28</v>
      </c>
      <c r="G620" t="s">
        <v>29</v>
      </c>
      <c r="H620" t="s">
        <v>86</v>
      </c>
      <c r="I620">
        <v>4</v>
      </c>
      <c r="J620" t="s">
        <v>1318</v>
      </c>
      <c r="K620">
        <v>61</v>
      </c>
      <c r="L620" t="s">
        <v>32</v>
      </c>
      <c r="M620">
        <v>5</v>
      </c>
      <c r="N620" t="s">
        <v>48</v>
      </c>
      <c r="O620" t="s">
        <v>69</v>
      </c>
      <c r="P620" t="s">
        <v>50</v>
      </c>
      <c r="Q620" s="2">
        <v>21239.82</v>
      </c>
      <c r="R620" s="2">
        <v>3422.01</v>
      </c>
      <c r="S620" t="s">
        <v>36</v>
      </c>
      <c r="T620" t="s">
        <v>37</v>
      </c>
      <c r="U620" t="s">
        <v>53</v>
      </c>
      <c r="V620">
        <v>4.9000000000000004</v>
      </c>
      <c r="W620" t="s">
        <v>103</v>
      </c>
      <c r="X620" t="s">
        <v>84</v>
      </c>
      <c r="Y620" t="s">
        <v>41</v>
      </c>
    </row>
    <row r="621" spans="1:25" x14ac:dyDescent="0.3">
      <c r="A621" t="s">
        <v>1319</v>
      </c>
      <c r="B621" s="1">
        <v>45545</v>
      </c>
      <c r="C621" t="s">
        <v>26</v>
      </c>
      <c r="D621" t="s">
        <v>26</v>
      </c>
      <c r="E621" t="s">
        <v>89</v>
      </c>
      <c r="F621" t="s">
        <v>28</v>
      </c>
      <c r="G621" t="s">
        <v>29</v>
      </c>
      <c r="H621" t="s">
        <v>61</v>
      </c>
      <c r="I621">
        <v>14</v>
      </c>
      <c r="J621" t="s">
        <v>1320</v>
      </c>
      <c r="K621">
        <v>64</v>
      </c>
      <c r="L621" t="s">
        <v>63</v>
      </c>
      <c r="M621">
        <v>2</v>
      </c>
      <c r="N621" t="s">
        <v>64</v>
      </c>
      <c r="O621" t="s">
        <v>69</v>
      </c>
      <c r="P621" t="s">
        <v>82</v>
      </c>
      <c r="Q621" s="2">
        <v>41922.47</v>
      </c>
      <c r="R621" s="2">
        <v>688.35</v>
      </c>
      <c r="S621" t="s">
        <v>94</v>
      </c>
      <c r="T621" t="s">
        <v>71</v>
      </c>
      <c r="U621" t="s">
        <v>53</v>
      </c>
      <c r="V621">
        <v>4</v>
      </c>
      <c r="W621" t="s">
        <v>54</v>
      </c>
      <c r="X621" t="s">
        <v>55</v>
      </c>
      <c r="Y621" t="s">
        <v>72</v>
      </c>
    </row>
    <row r="622" spans="1:25" x14ac:dyDescent="0.3">
      <c r="A622" t="s">
        <v>1321</v>
      </c>
      <c r="B622" s="1">
        <v>45546</v>
      </c>
      <c r="C622" t="s">
        <v>26</v>
      </c>
      <c r="D622" t="s">
        <v>26</v>
      </c>
      <c r="E622" t="s">
        <v>120</v>
      </c>
      <c r="F622" t="s">
        <v>28</v>
      </c>
      <c r="G622" t="s">
        <v>29</v>
      </c>
      <c r="H622" t="s">
        <v>86</v>
      </c>
      <c r="I622">
        <v>13</v>
      </c>
      <c r="J622" t="s">
        <v>1322</v>
      </c>
      <c r="K622">
        <v>19</v>
      </c>
      <c r="L622" t="s">
        <v>80</v>
      </c>
      <c r="M622">
        <v>5</v>
      </c>
      <c r="N622" t="s">
        <v>48</v>
      </c>
      <c r="O622" t="s">
        <v>81</v>
      </c>
      <c r="P622" t="s">
        <v>70</v>
      </c>
      <c r="Q622" s="2">
        <v>21923.9</v>
      </c>
      <c r="R622" s="2">
        <v>1224.1199999999999</v>
      </c>
      <c r="S622" t="s">
        <v>115</v>
      </c>
      <c r="T622" t="s">
        <v>71</v>
      </c>
      <c r="U622" t="s">
        <v>53</v>
      </c>
      <c r="V622">
        <v>1.3</v>
      </c>
      <c r="W622" t="s">
        <v>124</v>
      </c>
      <c r="X622" t="s">
        <v>106</v>
      </c>
      <c r="Y622" t="s">
        <v>72</v>
      </c>
    </row>
    <row r="623" spans="1:25" x14ac:dyDescent="0.3">
      <c r="A623" t="s">
        <v>1323</v>
      </c>
      <c r="B623" s="1">
        <v>45547</v>
      </c>
      <c r="C623" t="s">
        <v>43</v>
      </c>
      <c r="D623" t="s">
        <v>58</v>
      </c>
      <c r="E623" t="s">
        <v>45</v>
      </c>
      <c r="F623" t="s">
        <v>28</v>
      </c>
      <c r="G623" t="s">
        <v>29</v>
      </c>
      <c r="H623" t="s">
        <v>67</v>
      </c>
      <c r="I623">
        <v>5</v>
      </c>
      <c r="J623" t="s">
        <v>1324</v>
      </c>
      <c r="K623">
        <v>47</v>
      </c>
      <c r="L623" t="s">
        <v>32</v>
      </c>
      <c r="M623">
        <v>7</v>
      </c>
      <c r="N623" t="s">
        <v>64</v>
      </c>
      <c r="O623" t="s">
        <v>69</v>
      </c>
      <c r="P623" t="s">
        <v>35</v>
      </c>
      <c r="Q623" s="2">
        <v>42801.279999999999</v>
      </c>
      <c r="R623" s="2">
        <v>965.55</v>
      </c>
      <c r="S623" t="s">
        <v>51</v>
      </c>
      <c r="T623" t="s">
        <v>52</v>
      </c>
      <c r="U623" t="s">
        <v>53</v>
      </c>
      <c r="V623">
        <v>1.7</v>
      </c>
      <c r="W623" t="s">
        <v>124</v>
      </c>
      <c r="X623" t="s">
        <v>65</v>
      </c>
      <c r="Y623" t="s">
        <v>41</v>
      </c>
    </row>
    <row r="624" spans="1:25" x14ac:dyDescent="0.3">
      <c r="A624" t="s">
        <v>1325</v>
      </c>
      <c r="B624" s="1">
        <v>45548</v>
      </c>
      <c r="C624" t="s">
        <v>78</v>
      </c>
      <c r="D624" t="s">
        <v>58</v>
      </c>
      <c r="E624" t="s">
        <v>120</v>
      </c>
      <c r="F624" t="s">
        <v>28</v>
      </c>
      <c r="G624" t="s">
        <v>29</v>
      </c>
      <c r="H624" t="s">
        <v>86</v>
      </c>
      <c r="I624">
        <v>12</v>
      </c>
      <c r="J624" t="s">
        <v>1326</v>
      </c>
      <c r="K624">
        <v>47</v>
      </c>
      <c r="L624" t="s">
        <v>32</v>
      </c>
      <c r="M624">
        <v>1</v>
      </c>
      <c r="N624" t="s">
        <v>33</v>
      </c>
      <c r="O624" t="s">
        <v>49</v>
      </c>
      <c r="P624" t="s">
        <v>82</v>
      </c>
      <c r="Q624" s="2">
        <v>48444.78</v>
      </c>
      <c r="R624" s="2">
        <v>1099.99</v>
      </c>
      <c r="S624" t="s">
        <v>36</v>
      </c>
      <c r="T624" t="s">
        <v>52</v>
      </c>
      <c r="U624" t="s">
        <v>53</v>
      </c>
      <c r="V624">
        <v>4.3</v>
      </c>
      <c r="W624" t="s">
        <v>39</v>
      </c>
      <c r="X624" t="s">
        <v>40</v>
      </c>
      <c r="Y624" t="s">
        <v>41</v>
      </c>
    </row>
    <row r="625" spans="1:25" x14ac:dyDescent="0.3">
      <c r="A625" t="s">
        <v>1327</v>
      </c>
      <c r="B625" s="1">
        <v>45549</v>
      </c>
      <c r="C625" t="s">
        <v>26</v>
      </c>
      <c r="D625" t="s">
        <v>26</v>
      </c>
      <c r="E625" t="s">
        <v>120</v>
      </c>
      <c r="F625" t="s">
        <v>28</v>
      </c>
      <c r="G625" t="s">
        <v>29</v>
      </c>
      <c r="H625" t="s">
        <v>86</v>
      </c>
      <c r="I625">
        <v>11</v>
      </c>
      <c r="J625" t="s">
        <v>1328</v>
      </c>
      <c r="K625">
        <v>66</v>
      </c>
      <c r="L625" t="s">
        <v>63</v>
      </c>
      <c r="M625">
        <v>2</v>
      </c>
      <c r="N625" t="s">
        <v>48</v>
      </c>
      <c r="O625" t="s">
        <v>69</v>
      </c>
      <c r="P625" t="s">
        <v>35</v>
      </c>
      <c r="Q625" s="2">
        <v>24599.13</v>
      </c>
      <c r="R625" s="2">
        <v>4603.57</v>
      </c>
      <c r="S625" t="s">
        <v>51</v>
      </c>
      <c r="T625" t="s">
        <v>71</v>
      </c>
      <c r="U625" t="s">
        <v>83</v>
      </c>
      <c r="V625">
        <v>2.2999999999999998</v>
      </c>
      <c r="W625" t="s">
        <v>76</v>
      </c>
      <c r="X625" t="s">
        <v>84</v>
      </c>
      <c r="Y625" t="s">
        <v>72</v>
      </c>
    </row>
    <row r="626" spans="1:25" x14ac:dyDescent="0.3">
      <c r="A626" t="s">
        <v>1329</v>
      </c>
      <c r="B626" s="1">
        <v>45550</v>
      </c>
      <c r="C626" t="s">
        <v>26</v>
      </c>
      <c r="D626" t="s">
        <v>26</v>
      </c>
      <c r="E626" t="s">
        <v>4084</v>
      </c>
      <c r="F626" t="s">
        <v>60</v>
      </c>
      <c r="G626" t="s">
        <v>29</v>
      </c>
      <c r="H626" t="s">
        <v>27</v>
      </c>
      <c r="I626">
        <v>9</v>
      </c>
      <c r="J626" t="s">
        <v>1330</v>
      </c>
      <c r="K626">
        <v>56</v>
      </c>
      <c r="L626" t="s">
        <v>80</v>
      </c>
      <c r="M626">
        <v>3</v>
      </c>
      <c r="N626" t="s">
        <v>48</v>
      </c>
      <c r="O626" t="s">
        <v>34</v>
      </c>
      <c r="P626" t="s">
        <v>35</v>
      </c>
      <c r="Q626" s="2">
        <v>30170.71</v>
      </c>
      <c r="R626" s="2">
        <v>3579.1</v>
      </c>
      <c r="S626" t="s">
        <v>36</v>
      </c>
      <c r="T626" t="s">
        <v>52</v>
      </c>
      <c r="U626" t="s">
        <v>75</v>
      </c>
      <c r="V626">
        <v>3.8</v>
      </c>
      <c r="W626" t="s">
        <v>54</v>
      </c>
      <c r="X626" t="s">
        <v>55</v>
      </c>
      <c r="Y626" t="s">
        <v>41</v>
      </c>
    </row>
    <row r="627" spans="1:25" x14ac:dyDescent="0.3">
      <c r="A627" t="s">
        <v>1331</v>
      </c>
      <c r="B627" s="1">
        <v>45551</v>
      </c>
      <c r="C627" t="s">
        <v>78</v>
      </c>
      <c r="D627" t="s">
        <v>58</v>
      </c>
      <c r="E627" t="s">
        <v>89</v>
      </c>
      <c r="F627" t="s">
        <v>28</v>
      </c>
      <c r="G627" t="s">
        <v>29</v>
      </c>
      <c r="H627" t="s">
        <v>61</v>
      </c>
      <c r="I627">
        <v>3</v>
      </c>
      <c r="J627" t="s">
        <v>1332</v>
      </c>
      <c r="K627">
        <v>62</v>
      </c>
      <c r="L627" t="s">
        <v>63</v>
      </c>
      <c r="M627">
        <v>5</v>
      </c>
      <c r="N627" t="s">
        <v>64</v>
      </c>
      <c r="O627" t="s">
        <v>49</v>
      </c>
      <c r="P627" t="s">
        <v>50</v>
      </c>
      <c r="Q627" s="2">
        <v>33288.78</v>
      </c>
      <c r="R627" s="2">
        <v>3685.53</v>
      </c>
      <c r="S627" t="s">
        <v>115</v>
      </c>
      <c r="T627" t="s">
        <v>37</v>
      </c>
      <c r="U627" t="s">
        <v>83</v>
      </c>
      <c r="V627">
        <v>3.8</v>
      </c>
      <c r="W627" t="s">
        <v>54</v>
      </c>
      <c r="X627" t="s">
        <v>55</v>
      </c>
      <c r="Y627" t="s">
        <v>41</v>
      </c>
    </row>
    <row r="628" spans="1:25" x14ac:dyDescent="0.3">
      <c r="A628" t="s">
        <v>1333</v>
      </c>
      <c r="B628" s="1">
        <v>45552</v>
      </c>
      <c r="C628" t="s">
        <v>78</v>
      </c>
      <c r="D628" t="s">
        <v>58</v>
      </c>
      <c r="E628" t="s">
        <v>120</v>
      </c>
      <c r="F628" t="s">
        <v>28</v>
      </c>
      <c r="G628" t="s">
        <v>29</v>
      </c>
      <c r="H628" t="s">
        <v>86</v>
      </c>
      <c r="I628">
        <v>5</v>
      </c>
      <c r="J628" t="s">
        <v>1334</v>
      </c>
      <c r="K628">
        <v>49</v>
      </c>
      <c r="L628" t="s">
        <v>80</v>
      </c>
      <c r="M628">
        <v>1</v>
      </c>
      <c r="N628" t="s">
        <v>64</v>
      </c>
      <c r="O628" t="s">
        <v>69</v>
      </c>
      <c r="P628" t="s">
        <v>50</v>
      </c>
      <c r="Q628" s="2">
        <v>47067.57</v>
      </c>
      <c r="R628" s="2">
        <v>3969.98</v>
      </c>
      <c r="S628" t="s">
        <v>36</v>
      </c>
      <c r="T628" t="s">
        <v>71</v>
      </c>
      <c r="U628" t="s">
        <v>53</v>
      </c>
      <c r="V628">
        <v>5</v>
      </c>
      <c r="W628" t="s">
        <v>103</v>
      </c>
      <c r="X628" t="s">
        <v>84</v>
      </c>
      <c r="Y628" t="s">
        <v>41</v>
      </c>
    </row>
    <row r="629" spans="1:25" x14ac:dyDescent="0.3">
      <c r="A629" t="s">
        <v>1335</v>
      </c>
      <c r="B629" s="1">
        <v>45553</v>
      </c>
      <c r="C629" t="s">
        <v>26</v>
      </c>
      <c r="D629" t="s">
        <v>26</v>
      </c>
      <c r="E629" t="s">
        <v>4084</v>
      </c>
      <c r="F629" t="s">
        <v>60</v>
      </c>
      <c r="G629" t="s">
        <v>29</v>
      </c>
      <c r="H629" t="s">
        <v>27</v>
      </c>
      <c r="I629">
        <v>14</v>
      </c>
      <c r="J629" t="s">
        <v>1336</v>
      </c>
      <c r="K629">
        <v>18</v>
      </c>
      <c r="L629" t="s">
        <v>80</v>
      </c>
      <c r="M629">
        <v>7</v>
      </c>
      <c r="N629" t="s">
        <v>33</v>
      </c>
      <c r="O629" t="s">
        <v>69</v>
      </c>
      <c r="P629" t="s">
        <v>35</v>
      </c>
      <c r="Q629" s="2">
        <v>16553.48</v>
      </c>
      <c r="R629" s="2">
        <v>1782.87</v>
      </c>
      <c r="S629" t="s">
        <v>115</v>
      </c>
      <c r="T629" t="s">
        <v>52</v>
      </c>
      <c r="U629" t="s">
        <v>53</v>
      </c>
      <c r="V629">
        <v>2.9</v>
      </c>
      <c r="W629" t="s">
        <v>76</v>
      </c>
      <c r="X629" t="s">
        <v>65</v>
      </c>
      <c r="Y629" t="s">
        <v>72</v>
      </c>
    </row>
    <row r="630" spans="1:25" x14ac:dyDescent="0.3">
      <c r="A630" t="s">
        <v>1337</v>
      </c>
      <c r="B630" s="1">
        <v>45554</v>
      </c>
      <c r="C630" t="s">
        <v>78</v>
      </c>
      <c r="D630" t="s">
        <v>58</v>
      </c>
      <c r="E630" t="s">
        <v>4085</v>
      </c>
      <c r="F630" t="s">
        <v>60</v>
      </c>
      <c r="G630" t="s">
        <v>29</v>
      </c>
      <c r="H630" t="s">
        <v>59</v>
      </c>
      <c r="I630">
        <v>4</v>
      </c>
      <c r="J630" t="s">
        <v>1338</v>
      </c>
      <c r="K630">
        <v>55</v>
      </c>
      <c r="L630" t="s">
        <v>32</v>
      </c>
      <c r="M630">
        <v>4</v>
      </c>
      <c r="N630" t="s">
        <v>64</v>
      </c>
      <c r="O630" t="s">
        <v>49</v>
      </c>
      <c r="P630" t="s">
        <v>70</v>
      </c>
      <c r="Q630" s="2">
        <v>32506.22</v>
      </c>
      <c r="R630" s="2">
        <v>3835.92</v>
      </c>
      <c r="S630" t="s">
        <v>51</v>
      </c>
      <c r="T630" t="s">
        <v>71</v>
      </c>
      <c r="U630" t="s">
        <v>38</v>
      </c>
      <c r="V630">
        <v>4</v>
      </c>
      <c r="W630" t="s">
        <v>54</v>
      </c>
      <c r="X630" t="s">
        <v>84</v>
      </c>
      <c r="Y630" t="s">
        <v>72</v>
      </c>
    </row>
    <row r="631" spans="1:25" x14ac:dyDescent="0.3">
      <c r="A631" t="s">
        <v>1339</v>
      </c>
      <c r="B631" s="1">
        <v>45555</v>
      </c>
      <c r="C631" t="s">
        <v>26</v>
      </c>
      <c r="D631" t="s">
        <v>26</v>
      </c>
      <c r="E631" t="s">
        <v>4084</v>
      </c>
      <c r="F631" t="s">
        <v>60</v>
      </c>
      <c r="G631" t="s">
        <v>29</v>
      </c>
      <c r="H631" t="s">
        <v>30</v>
      </c>
      <c r="I631">
        <v>3</v>
      </c>
      <c r="J631" t="s">
        <v>1340</v>
      </c>
      <c r="K631">
        <v>30</v>
      </c>
      <c r="L631" t="s">
        <v>63</v>
      </c>
      <c r="M631">
        <v>4</v>
      </c>
      <c r="N631" t="s">
        <v>64</v>
      </c>
      <c r="O631" t="s">
        <v>69</v>
      </c>
      <c r="P631" t="s">
        <v>35</v>
      </c>
      <c r="Q631" s="2">
        <v>19612.41</v>
      </c>
      <c r="R631" s="2">
        <v>4892.07</v>
      </c>
      <c r="S631" t="s">
        <v>115</v>
      </c>
      <c r="T631" t="s">
        <v>52</v>
      </c>
      <c r="U631" t="s">
        <v>38</v>
      </c>
      <c r="V631">
        <v>1.2</v>
      </c>
      <c r="W631" t="s">
        <v>124</v>
      </c>
      <c r="X631" t="s">
        <v>55</v>
      </c>
      <c r="Y631" t="s">
        <v>41</v>
      </c>
    </row>
    <row r="632" spans="1:25" x14ac:dyDescent="0.3">
      <c r="A632" t="s">
        <v>1341</v>
      </c>
      <c r="B632" s="1">
        <v>45556</v>
      </c>
      <c r="C632" t="s">
        <v>26</v>
      </c>
      <c r="D632" t="s">
        <v>26</v>
      </c>
      <c r="E632" t="s">
        <v>4084</v>
      </c>
      <c r="F632" t="s">
        <v>60</v>
      </c>
      <c r="G632" t="s">
        <v>29</v>
      </c>
      <c r="H632" t="s">
        <v>30</v>
      </c>
      <c r="I632">
        <v>11</v>
      </c>
      <c r="J632" t="s">
        <v>1342</v>
      </c>
      <c r="K632">
        <v>28</v>
      </c>
      <c r="L632" t="s">
        <v>63</v>
      </c>
      <c r="M632">
        <v>7</v>
      </c>
      <c r="N632" t="s">
        <v>33</v>
      </c>
      <c r="O632" t="s">
        <v>69</v>
      </c>
      <c r="P632" t="s">
        <v>70</v>
      </c>
      <c r="Q632" s="2">
        <v>14761.99</v>
      </c>
      <c r="R632" s="2">
        <v>3491.97</v>
      </c>
      <c r="S632" t="s">
        <v>36</v>
      </c>
      <c r="T632" t="s">
        <v>71</v>
      </c>
      <c r="U632" t="s">
        <v>75</v>
      </c>
      <c r="V632">
        <v>2.9</v>
      </c>
      <c r="W632" t="s">
        <v>76</v>
      </c>
      <c r="X632" t="s">
        <v>55</v>
      </c>
      <c r="Y632" t="s">
        <v>72</v>
      </c>
    </row>
    <row r="633" spans="1:25" x14ac:dyDescent="0.3">
      <c r="A633" t="s">
        <v>1343</v>
      </c>
      <c r="B633" s="1">
        <v>45557</v>
      </c>
      <c r="C633" t="s">
        <v>43</v>
      </c>
      <c r="D633" t="s">
        <v>58</v>
      </c>
      <c r="E633" t="s">
        <v>4084</v>
      </c>
      <c r="F633" t="s">
        <v>60</v>
      </c>
      <c r="G633" t="s">
        <v>29</v>
      </c>
      <c r="H633" t="s">
        <v>27</v>
      </c>
      <c r="I633">
        <v>10</v>
      </c>
      <c r="J633" t="s">
        <v>1344</v>
      </c>
      <c r="K633">
        <v>27</v>
      </c>
      <c r="L633" t="s">
        <v>63</v>
      </c>
      <c r="M633">
        <v>5</v>
      </c>
      <c r="N633" t="s">
        <v>91</v>
      </c>
      <c r="O633" t="s">
        <v>81</v>
      </c>
      <c r="P633" t="s">
        <v>82</v>
      </c>
      <c r="Q633" s="2">
        <v>8821.42</v>
      </c>
      <c r="R633" s="2">
        <v>2083.77</v>
      </c>
      <c r="S633" t="s">
        <v>36</v>
      </c>
      <c r="T633" t="s">
        <v>37</v>
      </c>
      <c r="U633" t="s">
        <v>75</v>
      </c>
      <c r="V633">
        <v>1.7</v>
      </c>
      <c r="W633" t="s">
        <v>124</v>
      </c>
      <c r="X633" t="s">
        <v>40</v>
      </c>
      <c r="Y633" t="s">
        <v>72</v>
      </c>
    </row>
    <row r="634" spans="1:25" x14ac:dyDescent="0.3">
      <c r="A634" t="s">
        <v>1345</v>
      </c>
      <c r="B634" s="1">
        <v>45558</v>
      </c>
      <c r="C634" t="s">
        <v>117</v>
      </c>
      <c r="D634" t="s">
        <v>4083</v>
      </c>
      <c r="E634" t="s">
        <v>120</v>
      </c>
      <c r="F634" t="s">
        <v>28</v>
      </c>
      <c r="G634" t="s">
        <v>29</v>
      </c>
      <c r="H634" t="s">
        <v>86</v>
      </c>
      <c r="I634">
        <v>7</v>
      </c>
      <c r="J634" t="s">
        <v>1346</v>
      </c>
      <c r="K634">
        <v>65</v>
      </c>
      <c r="L634" t="s">
        <v>80</v>
      </c>
      <c r="M634">
        <v>4</v>
      </c>
      <c r="N634" t="s">
        <v>91</v>
      </c>
      <c r="O634" t="s">
        <v>34</v>
      </c>
      <c r="P634" t="s">
        <v>35</v>
      </c>
      <c r="Q634" s="2">
        <v>32931.99</v>
      </c>
      <c r="R634" s="2">
        <v>3581.8</v>
      </c>
      <c r="S634" t="s">
        <v>36</v>
      </c>
      <c r="T634" t="s">
        <v>52</v>
      </c>
      <c r="U634" t="s">
        <v>75</v>
      </c>
      <c r="V634">
        <v>4.4000000000000004</v>
      </c>
      <c r="W634" t="s">
        <v>54</v>
      </c>
      <c r="X634" t="s">
        <v>40</v>
      </c>
      <c r="Y634" t="s">
        <v>41</v>
      </c>
    </row>
    <row r="635" spans="1:25" x14ac:dyDescent="0.3">
      <c r="A635" t="s">
        <v>1347</v>
      </c>
      <c r="B635" s="1">
        <v>45559</v>
      </c>
      <c r="C635" t="s">
        <v>26</v>
      </c>
      <c r="D635" t="s">
        <v>26</v>
      </c>
      <c r="E635" t="s">
        <v>120</v>
      </c>
      <c r="F635" t="s">
        <v>28</v>
      </c>
      <c r="G635" t="s">
        <v>29</v>
      </c>
      <c r="H635" t="s">
        <v>86</v>
      </c>
      <c r="I635">
        <v>13</v>
      </c>
      <c r="J635" t="s">
        <v>1348</v>
      </c>
      <c r="K635">
        <v>43</v>
      </c>
      <c r="L635" t="s">
        <v>63</v>
      </c>
      <c r="M635">
        <v>3</v>
      </c>
      <c r="N635" t="s">
        <v>64</v>
      </c>
      <c r="O635" t="s">
        <v>49</v>
      </c>
      <c r="P635" t="s">
        <v>70</v>
      </c>
      <c r="Q635" s="2">
        <v>44693.85</v>
      </c>
      <c r="R635" s="2">
        <v>4503.97</v>
      </c>
      <c r="S635" t="s">
        <v>51</v>
      </c>
      <c r="T635" t="s">
        <v>71</v>
      </c>
      <c r="U635" t="s">
        <v>83</v>
      </c>
      <c r="V635">
        <v>4.4000000000000004</v>
      </c>
      <c r="W635" t="s">
        <v>54</v>
      </c>
      <c r="X635" t="s">
        <v>55</v>
      </c>
      <c r="Y635" t="s">
        <v>41</v>
      </c>
    </row>
    <row r="636" spans="1:25" x14ac:dyDescent="0.3">
      <c r="A636" t="s">
        <v>1349</v>
      </c>
      <c r="B636" s="1">
        <v>45560</v>
      </c>
      <c r="C636" t="s">
        <v>57</v>
      </c>
      <c r="D636" t="s">
        <v>44</v>
      </c>
      <c r="E636" t="s">
        <v>4085</v>
      </c>
      <c r="F636" t="s">
        <v>60</v>
      </c>
      <c r="G636" t="s">
        <v>29</v>
      </c>
      <c r="H636" t="s">
        <v>46</v>
      </c>
      <c r="I636">
        <v>14</v>
      </c>
      <c r="J636" t="s">
        <v>1350</v>
      </c>
      <c r="K636">
        <v>37</v>
      </c>
      <c r="L636" t="s">
        <v>80</v>
      </c>
      <c r="M636">
        <v>2</v>
      </c>
      <c r="N636" t="s">
        <v>33</v>
      </c>
      <c r="O636" t="s">
        <v>81</v>
      </c>
      <c r="P636" t="s">
        <v>82</v>
      </c>
      <c r="Q636" s="2">
        <v>20812.68</v>
      </c>
      <c r="R636" s="2">
        <v>643.80999999999995</v>
      </c>
      <c r="S636" t="s">
        <v>94</v>
      </c>
      <c r="T636" t="s">
        <v>37</v>
      </c>
      <c r="U636" t="s">
        <v>38</v>
      </c>
      <c r="V636">
        <v>1.9</v>
      </c>
      <c r="W636" t="s">
        <v>124</v>
      </c>
      <c r="X636" t="s">
        <v>40</v>
      </c>
      <c r="Y636" t="s">
        <v>41</v>
      </c>
    </row>
    <row r="637" spans="1:25" x14ac:dyDescent="0.3">
      <c r="A637" t="s">
        <v>1351</v>
      </c>
      <c r="B637" s="1">
        <v>45561</v>
      </c>
      <c r="C637" t="s">
        <v>117</v>
      </c>
      <c r="D637" t="s">
        <v>4083</v>
      </c>
      <c r="E637" t="s">
        <v>45</v>
      </c>
      <c r="F637" t="s">
        <v>28</v>
      </c>
      <c r="G637" t="s">
        <v>29</v>
      </c>
      <c r="H637" t="s">
        <v>67</v>
      </c>
      <c r="I637">
        <v>4</v>
      </c>
      <c r="J637" t="s">
        <v>1352</v>
      </c>
      <c r="K637">
        <v>34</v>
      </c>
      <c r="L637" t="s">
        <v>63</v>
      </c>
      <c r="M637">
        <v>1</v>
      </c>
      <c r="N637" t="s">
        <v>91</v>
      </c>
      <c r="O637" t="s">
        <v>69</v>
      </c>
      <c r="P637" t="s">
        <v>82</v>
      </c>
      <c r="Q637" s="2">
        <v>29870.080000000002</v>
      </c>
      <c r="R637" s="2">
        <v>1326.47</v>
      </c>
      <c r="S637" t="s">
        <v>51</v>
      </c>
      <c r="T637" t="s">
        <v>52</v>
      </c>
      <c r="U637" t="s">
        <v>75</v>
      </c>
      <c r="V637">
        <v>2.2999999999999998</v>
      </c>
      <c r="W637" t="s">
        <v>76</v>
      </c>
      <c r="X637" t="s">
        <v>40</v>
      </c>
      <c r="Y637" t="s">
        <v>72</v>
      </c>
    </row>
    <row r="638" spans="1:25" x14ac:dyDescent="0.3">
      <c r="A638" t="s">
        <v>1353</v>
      </c>
      <c r="B638" s="1">
        <v>45562</v>
      </c>
      <c r="C638" t="s">
        <v>117</v>
      </c>
      <c r="D638" t="s">
        <v>4083</v>
      </c>
      <c r="E638" t="s">
        <v>45</v>
      </c>
      <c r="F638" t="s">
        <v>28</v>
      </c>
      <c r="G638" t="s">
        <v>29</v>
      </c>
      <c r="H638" t="s">
        <v>67</v>
      </c>
      <c r="I638">
        <v>3</v>
      </c>
      <c r="J638" t="s">
        <v>1354</v>
      </c>
      <c r="K638">
        <v>34</v>
      </c>
      <c r="L638" t="s">
        <v>63</v>
      </c>
      <c r="M638">
        <v>6</v>
      </c>
      <c r="N638" t="s">
        <v>33</v>
      </c>
      <c r="O638" t="s">
        <v>49</v>
      </c>
      <c r="P638" t="s">
        <v>50</v>
      </c>
      <c r="Q638" s="2">
        <v>33896.019999999997</v>
      </c>
      <c r="R638" s="2">
        <v>4596.4799999999996</v>
      </c>
      <c r="S638" t="s">
        <v>115</v>
      </c>
      <c r="T638" t="s">
        <v>52</v>
      </c>
      <c r="U638" t="s">
        <v>38</v>
      </c>
      <c r="V638">
        <v>3.8</v>
      </c>
      <c r="W638" t="s">
        <v>39</v>
      </c>
      <c r="X638" t="s">
        <v>40</v>
      </c>
      <c r="Y638" t="s">
        <v>72</v>
      </c>
    </row>
    <row r="639" spans="1:25" x14ac:dyDescent="0.3">
      <c r="A639" t="s">
        <v>1355</v>
      </c>
      <c r="B639" s="1">
        <v>45563</v>
      </c>
      <c r="C639" t="s">
        <v>117</v>
      </c>
      <c r="D639" t="s">
        <v>4083</v>
      </c>
      <c r="E639" t="s">
        <v>45</v>
      </c>
      <c r="F639" t="s">
        <v>28</v>
      </c>
      <c r="G639" t="s">
        <v>29</v>
      </c>
      <c r="H639" t="s">
        <v>67</v>
      </c>
      <c r="I639">
        <v>9</v>
      </c>
      <c r="J639" t="s">
        <v>1356</v>
      </c>
      <c r="K639">
        <v>21</v>
      </c>
      <c r="L639" t="s">
        <v>32</v>
      </c>
      <c r="M639">
        <v>5</v>
      </c>
      <c r="N639" t="s">
        <v>64</v>
      </c>
      <c r="O639" t="s">
        <v>49</v>
      </c>
      <c r="P639" t="s">
        <v>82</v>
      </c>
      <c r="Q639" s="2">
        <v>23659.26</v>
      </c>
      <c r="R639" s="2">
        <v>4731.16</v>
      </c>
      <c r="S639" t="s">
        <v>115</v>
      </c>
      <c r="T639" t="s">
        <v>71</v>
      </c>
      <c r="U639" t="s">
        <v>38</v>
      </c>
      <c r="V639">
        <v>4</v>
      </c>
      <c r="W639" t="s">
        <v>54</v>
      </c>
      <c r="X639" t="s">
        <v>55</v>
      </c>
      <c r="Y639" t="s">
        <v>41</v>
      </c>
    </row>
    <row r="640" spans="1:25" x14ac:dyDescent="0.3">
      <c r="A640" t="s">
        <v>1357</v>
      </c>
      <c r="B640" s="1">
        <v>45564</v>
      </c>
      <c r="C640" t="s">
        <v>43</v>
      </c>
      <c r="D640" t="s">
        <v>58</v>
      </c>
      <c r="E640" t="s">
        <v>4085</v>
      </c>
      <c r="F640" t="s">
        <v>60</v>
      </c>
      <c r="G640" t="s">
        <v>29</v>
      </c>
      <c r="H640" t="s">
        <v>46</v>
      </c>
      <c r="I640">
        <v>13</v>
      </c>
      <c r="J640" t="s">
        <v>1358</v>
      </c>
      <c r="K640">
        <v>22</v>
      </c>
      <c r="L640" t="s">
        <v>63</v>
      </c>
      <c r="M640">
        <v>4</v>
      </c>
      <c r="N640" t="s">
        <v>64</v>
      </c>
      <c r="O640" t="s">
        <v>34</v>
      </c>
      <c r="P640" t="s">
        <v>50</v>
      </c>
      <c r="Q640" s="2">
        <v>45650.65</v>
      </c>
      <c r="R640" s="2">
        <v>2420.6999999999998</v>
      </c>
      <c r="S640" t="s">
        <v>51</v>
      </c>
      <c r="T640" t="s">
        <v>37</v>
      </c>
      <c r="U640" t="s">
        <v>38</v>
      </c>
      <c r="V640">
        <v>3.6</v>
      </c>
      <c r="W640" t="s">
        <v>39</v>
      </c>
      <c r="X640" t="s">
        <v>65</v>
      </c>
      <c r="Y640" t="s">
        <v>72</v>
      </c>
    </row>
    <row r="641" spans="1:25" x14ac:dyDescent="0.3">
      <c r="A641" t="s">
        <v>1359</v>
      </c>
      <c r="B641" s="1">
        <v>45565</v>
      </c>
      <c r="C641" t="s">
        <v>26</v>
      </c>
      <c r="D641" t="s">
        <v>26</v>
      </c>
      <c r="E641" t="s">
        <v>45</v>
      </c>
      <c r="F641" t="s">
        <v>28</v>
      </c>
      <c r="G641" t="s">
        <v>29</v>
      </c>
      <c r="H641" t="s">
        <v>67</v>
      </c>
      <c r="I641">
        <v>13</v>
      </c>
      <c r="J641" t="s">
        <v>1360</v>
      </c>
      <c r="K641">
        <v>40</v>
      </c>
      <c r="L641" t="s">
        <v>32</v>
      </c>
      <c r="M641">
        <v>2</v>
      </c>
      <c r="N641" t="s">
        <v>33</v>
      </c>
      <c r="O641" t="s">
        <v>34</v>
      </c>
      <c r="P641" t="s">
        <v>82</v>
      </c>
      <c r="Q641" s="2">
        <v>21323.98</v>
      </c>
      <c r="R641" s="2">
        <v>1872.75</v>
      </c>
      <c r="S641" t="s">
        <v>51</v>
      </c>
      <c r="T641" t="s">
        <v>71</v>
      </c>
      <c r="U641" t="s">
        <v>38</v>
      </c>
      <c r="V641">
        <v>5</v>
      </c>
      <c r="W641" t="s">
        <v>103</v>
      </c>
      <c r="X641" t="s">
        <v>65</v>
      </c>
      <c r="Y641" t="s">
        <v>72</v>
      </c>
    </row>
    <row r="642" spans="1:25" x14ac:dyDescent="0.3">
      <c r="A642" t="s">
        <v>1361</v>
      </c>
      <c r="B642" s="1">
        <v>45566</v>
      </c>
      <c r="C642" t="s">
        <v>43</v>
      </c>
      <c r="D642" t="s">
        <v>58</v>
      </c>
      <c r="E642" t="s">
        <v>45</v>
      </c>
      <c r="F642" t="s">
        <v>28</v>
      </c>
      <c r="G642" t="s">
        <v>29</v>
      </c>
      <c r="H642" t="s">
        <v>67</v>
      </c>
      <c r="I642">
        <v>4</v>
      </c>
      <c r="J642" t="s">
        <v>1362</v>
      </c>
      <c r="K642">
        <v>63</v>
      </c>
      <c r="L642" t="s">
        <v>32</v>
      </c>
      <c r="M642">
        <v>6</v>
      </c>
      <c r="N642" t="s">
        <v>48</v>
      </c>
      <c r="O642" t="s">
        <v>49</v>
      </c>
      <c r="P642" t="s">
        <v>82</v>
      </c>
      <c r="Q642" s="2">
        <v>10625.49</v>
      </c>
      <c r="R642" s="2">
        <v>1413.91</v>
      </c>
      <c r="S642" t="s">
        <v>115</v>
      </c>
      <c r="T642" t="s">
        <v>52</v>
      </c>
      <c r="U642" t="s">
        <v>38</v>
      </c>
      <c r="V642">
        <v>4.5</v>
      </c>
      <c r="W642" t="s">
        <v>103</v>
      </c>
      <c r="X642" t="s">
        <v>106</v>
      </c>
      <c r="Y642" t="s">
        <v>72</v>
      </c>
    </row>
    <row r="643" spans="1:25" x14ac:dyDescent="0.3">
      <c r="A643" t="s">
        <v>1363</v>
      </c>
      <c r="B643" s="1">
        <v>45567</v>
      </c>
      <c r="C643" t="s">
        <v>26</v>
      </c>
      <c r="D643" t="s">
        <v>26</v>
      </c>
      <c r="E643" t="s">
        <v>4084</v>
      </c>
      <c r="F643" t="s">
        <v>60</v>
      </c>
      <c r="G643" t="s">
        <v>29</v>
      </c>
      <c r="H643" t="s">
        <v>27</v>
      </c>
      <c r="I643">
        <v>3</v>
      </c>
      <c r="J643" t="s">
        <v>1364</v>
      </c>
      <c r="K643">
        <v>69</v>
      </c>
      <c r="L643" t="s">
        <v>80</v>
      </c>
      <c r="M643">
        <v>3</v>
      </c>
      <c r="N643" t="s">
        <v>64</v>
      </c>
      <c r="O643" t="s">
        <v>34</v>
      </c>
      <c r="P643" t="s">
        <v>70</v>
      </c>
      <c r="Q643" s="2">
        <v>11480.92</v>
      </c>
      <c r="R643" s="2">
        <v>2493.7600000000002</v>
      </c>
      <c r="S643" t="s">
        <v>115</v>
      </c>
      <c r="T643" t="s">
        <v>71</v>
      </c>
      <c r="U643" t="s">
        <v>38</v>
      </c>
      <c r="V643">
        <v>2.7</v>
      </c>
      <c r="W643" t="s">
        <v>76</v>
      </c>
      <c r="X643" t="s">
        <v>40</v>
      </c>
      <c r="Y643" t="s">
        <v>41</v>
      </c>
    </row>
    <row r="644" spans="1:25" x14ac:dyDescent="0.3">
      <c r="A644" t="s">
        <v>1365</v>
      </c>
      <c r="B644" s="1">
        <v>45568</v>
      </c>
      <c r="C644" t="s">
        <v>43</v>
      </c>
      <c r="D644" t="s">
        <v>58</v>
      </c>
      <c r="E644" t="s">
        <v>120</v>
      </c>
      <c r="F644" t="s">
        <v>28</v>
      </c>
      <c r="G644" t="s">
        <v>29</v>
      </c>
      <c r="H644" t="s">
        <v>86</v>
      </c>
      <c r="I644">
        <v>4</v>
      </c>
      <c r="J644" t="s">
        <v>1366</v>
      </c>
      <c r="K644">
        <v>27</v>
      </c>
      <c r="L644" t="s">
        <v>63</v>
      </c>
      <c r="M644">
        <v>4</v>
      </c>
      <c r="N644" t="s">
        <v>64</v>
      </c>
      <c r="O644" t="s">
        <v>34</v>
      </c>
      <c r="P644" t="s">
        <v>70</v>
      </c>
      <c r="Q644" s="2">
        <v>45088.59</v>
      </c>
      <c r="R644" s="2">
        <v>4672.66</v>
      </c>
      <c r="S644" t="s">
        <v>115</v>
      </c>
      <c r="T644" t="s">
        <v>71</v>
      </c>
      <c r="U644" t="s">
        <v>83</v>
      </c>
      <c r="V644">
        <v>2.2999999999999998</v>
      </c>
      <c r="W644" t="s">
        <v>76</v>
      </c>
      <c r="X644" t="s">
        <v>65</v>
      </c>
      <c r="Y644" t="s">
        <v>72</v>
      </c>
    </row>
    <row r="645" spans="1:25" x14ac:dyDescent="0.3">
      <c r="A645" t="s">
        <v>1367</v>
      </c>
      <c r="B645" s="1">
        <v>45569</v>
      </c>
      <c r="C645" t="s">
        <v>43</v>
      </c>
      <c r="D645" t="s">
        <v>58</v>
      </c>
      <c r="E645" t="s">
        <v>120</v>
      </c>
      <c r="F645" t="s">
        <v>28</v>
      </c>
      <c r="G645" t="s">
        <v>29</v>
      </c>
      <c r="H645" t="s">
        <v>86</v>
      </c>
      <c r="I645">
        <v>9</v>
      </c>
      <c r="J645" t="s">
        <v>1368</v>
      </c>
      <c r="K645">
        <v>63</v>
      </c>
      <c r="L645" t="s">
        <v>63</v>
      </c>
      <c r="M645">
        <v>4</v>
      </c>
      <c r="N645" t="s">
        <v>64</v>
      </c>
      <c r="O645" t="s">
        <v>69</v>
      </c>
      <c r="P645" t="s">
        <v>50</v>
      </c>
      <c r="Q645" s="2">
        <v>49460.36</v>
      </c>
      <c r="R645" s="2">
        <v>749.05</v>
      </c>
      <c r="S645" t="s">
        <v>94</v>
      </c>
      <c r="T645" t="s">
        <v>37</v>
      </c>
      <c r="U645" t="s">
        <v>53</v>
      </c>
      <c r="V645">
        <v>3.4</v>
      </c>
      <c r="W645" t="s">
        <v>76</v>
      </c>
      <c r="X645" t="s">
        <v>106</v>
      </c>
      <c r="Y645" t="s">
        <v>72</v>
      </c>
    </row>
    <row r="646" spans="1:25" x14ac:dyDescent="0.3">
      <c r="A646" t="s">
        <v>1369</v>
      </c>
      <c r="B646" s="1">
        <v>45570</v>
      </c>
      <c r="C646" t="s">
        <v>57</v>
      </c>
      <c r="D646" t="s">
        <v>44</v>
      </c>
      <c r="E646" t="s">
        <v>4084</v>
      </c>
      <c r="F646" t="s">
        <v>60</v>
      </c>
      <c r="G646" t="s">
        <v>29</v>
      </c>
      <c r="H646" t="s">
        <v>27</v>
      </c>
      <c r="I646">
        <v>9</v>
      </c>
      <c r="J646" t="s">
        <v>1370</v>
      </c>
      <c r="K646">
        <v>45</v>
      </c>
      <c r="L646" t="s">
        <v>63</v>
      </c>
      <c r="M646">
        <v>1</v>
      </c>
      <c r="N646" t="s">
        <v>64</v>
      </c>
      <c r="O646" t="s">
        <v>34</v>
      </c>
      <c r="P646" t="s">
        <v>35</v>
      </c>
      <c r="Q646" s="2">
        <v>18002.2</v>
      </c>
      <c r="R646" s="2">
        <v>2099.15</v>
      </c>
      <c r="S646" t="s">
        <v>94</v>
      </c>
      <c r="T646" t="s">
        <v>37</v>
      </c>
      <c r="U646" t="s">
        <v>38</v>
      </c>
      <c r="V646">
        <v>4.3</v>
      </c>
      <c r="W646" t="s">
        <v>54</v>
      </c>
      <c r="X646" t="s">
        <v>84</v>
      </c>
      <c r="Y646" t="s">
        <v>41</v>
      </c>
    </row>
    <row r="647" spans="1:25" x14ac:dyDescent="0.3">
      <c r="A647" t="s">
        <v>1371</v>
      </c>
      <c r="B647" s="1">
        <v>45571</v>
      </c>
      <c r="C647" t="s">
        <v>43</v>
      </c>
      <c r="D647" t="s">
        <v>58</v>
      </c>
      <c r="E647" t="s">
        <v>4084</v>
      </c>
      <c r="F647" t="s">
        <v>60</v>
      </c>
      <c r="G647" t="s">
        <v>29</v>
      </c>
      <c r="H647" t="s">
        <v>27</v>
      </c>
      <c r="I647">
        <v>12</v>
      </c>
      <c r="J647" t="s">
        <v>1372</v>
      </c>
      <c r="K647">
        <v>50</v>
      </c>
      <c r="L647" t="s">
        <v>32</v>
      </c>
      <c r="M647">
        <v>3</v>
      </c>
      <c r="N647" t="s">
        <v>33</v>
      </c>
      <c r="O647" t="s">
        <v>34</v>
      </c>
      <c r="P647" t="s">
        <v>70</v>
      </c>
      <c r="Q647" s="2">
        <v>11462.12</v>
      </c>
      <c r="R647" s="2">
        <v>4558.04</v>
      </c>
      <c r="S647" t="s">
        <v>51</v>
      </c>
      <c r="T647" t="s">
        <v>52</v>
      </c>
      <c r="U647" t="s">
        <v>83</v>
      </c>
      <c r="V647">
        <v>2.9</v>
      </c>
      <c r="W647" t="s">
        <v>76</v>
      </c>
      <c r="X647" t="s">
        <v>40</v>
      </c>
      <c r="Y647" t="s">
        <v>72</v>
      </c>
    </row>
    <row r="648" spans="1:25" x14ac:dyDescent="0.3">
      <c r="A648" t="s">
        <v>1373</v>
      </c>
      <c r="B648" s="1">
        <v>45572</v>
      </c>
      <c r="C648" t="s">
        <v>78</v>
      </c>
      <c r="D648" t="s">
        <v>58</v>
      </c>
      <c r="E648" t="s">
        <v>4084</v>
      </c>
      <c r="F648" t="s">
        <v>60</v>
      </c>
      <c r="G648" t="s">
        <v>29</v>
      </c>
      <c r="H648" t="s">
        <v>27</v>
      </c>
      <c r="I648">
        <v>8</v>
      </c>
      <c r="J648" t="s">
        <v>1374</v>
      </c>
      <c r="K648">
        <v>60</v>
      </c>
      <c r="L648" t="s">
        <v>63</v>
      </c>
      <c r="M648">
        <v>3</v>
      </c>
      <c r="N648" t="s">
        <v>33</v>
      </c>
      <c r="O648" t="s">
        <v>81</v>
      </c>
      <c r="P648" t="s">
        <v>82</v>
      </c>
      <c r="Q648" s="2">
        <v>26699.55</v>
      </c>
      <c r="R648" s="2">
        <v>1745.6</v>
      </c>
      <c r="S648" t="s">
        <v>51</v>
      </c>
      <c r="T648" t="s">
        <v>37</v>
      </c>
      <c r="U648" t="s">
        <v>75</v>
      </c>
      <c r="V648">
        <v>4</v>
      </c>
      <c r="W648" t="s">
        <v>54</v>
      </c>
      <c r="X648" t="s">
        <v>65</v>
      </c>
      <c r="Y648" t="s">
        <v>72</v>
      </c>
    </row>
    <row r="649" spans="1:25" x14ac:dyDescent="0.3">
      <c r="A649" t="s">
        <v>1375</v>
      </c>
      <c r="B649" s="1">
        <v>45573</v>
      </c>
      <c r="C649" t="s">
        <v>57</v>
      </c>
      <c r="D649" t="s">
        <v>44</v>
      </c>
      <c r="E649" t="s">
        <v>120</v>
      </c>
      <c r="F649" t="s">
        <v>28</v>
      </c>
      <c r="G649" t="s">
        <v>29</v>
      </c>
      <c r="H649" t="s">
        <v>86</v>
      </c>
      <c r="I649">
        <v>7</v>
      </c>
      <c r="J649" t="s">
        <v>1376</v>
      </c>
      <c r="K649">
        <v>43</v>
      </c>
      <c r="L649" t="s">
        <v>80</v>
      </c>
      <c r="M649">
        <v>5</v>
      </c>
      <c r="N649" t="s">
        <v>33</v>
      </c>
      <c r="O649" t="s">
        <v>69</v>
      </c>
      <c r="P649" t="s">
        <v>50</v>
      </c>
      <c r="Q649" s="2">
        <v>36928.76</v>
      </c>
      <c r="R649" s="2">
        <v>3840.41</v>
      </c>
      <c r="S649" t="s">
        <v>94</v>
      </c>
      <c r="T649" t="s">
        <v>71</v>
      </c>
      <c r="U649" t="s">
        <v>83</v>
      </c>
      <c r="V649">
        <v>1.1000000000000001</v>
      </c>
      <c r="W649" t="s">
        <v>124</v>
      </c>
      <c r="X649" t="s">
        <v>65</v>
      </c>
      <c r="Y649" t="s">
        <v>41</v>
      </c>
    </row>
    <row r="650" spans="1:25" x14ac:dyDescent="0.3">
      <c r="A650" t="s">
        <v>1377</v>
      </c>
      <c r="B650" s="1">
        <v>45574</v>
      </c>
      <c r="C650" t="s">
        <v>43</v>
      </c>
      <c r="D650" t="s">
        <v>58</v>
      </c>
      <c r="E650" t="s">
        <v>45</v>
      </c>
      <c r="F650" t="s">
        <v>28</v>
      </c>
      <c r="G650" t="s">
        <v>29</v>
      </c>
      <c r="H650" t="s">
        <v>67</v>
      </c>
      <c r="I650">
        <v>5</v>
      </c>
      <c r="J650" t="s">
        <v>1378</v>
      </c>
      <c r="K650">
        <v>67</v>
      </c>
      <c r="L650" t="s">
        <v>80</v>
      </c>
      <c r="M650">
        <v>6</v>
      </c>
      <c r="N650" t="s">
        <v>33</v>
      </c>
      <c r="O650" t="s">
        <v>69</v>
      </c>
      <c r="P650" t="s">
        <v>50</v>
      </c>
      <c r="Q650" s="2">
        <v>32558.13</v>
      </c>
      <c r="R650" s="2">
        <v>1946.3</v>
      </c>
      <c r="S650" t="s">
        <v>36</v>
      </c>
      <c r="T650" t="s">
        <v>52</v>
      </c>
      <c r="U650" t="s">
        <v>83</v>
      </c>
      <c r="V650">
        <v>4.7</v>
      </c>
      <c r="W650" t="s">
        <v>103</v>
      </c>
      <c r="X650" t="s">
        <v>65</v>
      </c>
      <c r="Y650" t="s">
        <v>72</v>
      </c>
    </row>
    <row r="651" spans="1:25" x14ac:dyDescent="0.3">
      <c r="A651" t="s">
        <v>1379</v>
      </c>
      <c r="B651" s="1">
        <v>45575</v>
      </c>
      <c r="C651" t="s">
        <v>117</v>
      </c>
      <c r="D651" t="s">
        <v>4083</v>
      </c>
      <c r="E651" t="s">
        <v>4084</v>
      </c>
      <c r="F651" t="s">
        <v>60</v>
      </c>
      <c r="G651" t="s">
        <v>29</v>
      </c>
      <c r="H651" t="s">
        <v>27</v>
      </c>
      <c r="I651">
        <v>14</v>
      </c>
      <c r="J651" t="s">
        <v>1380</v>
      </c>
      <c r="K651">
        <v>65</v>
      </c>
      <c r="L651" t="s">
        <v>63</v>
      </c>
      <c r="M651">
        <v>1</v>
      </c>
      <c r="N651" t="s">
        <v>48</v>
      </c>
      <c r="O651" t="s">
        <v>49</v>
      </c>
      <c r="P651" t="s">
        <v>50</v>
      </c>
      <c r="Q651" s="2">
        <v>47799.87</v>
      </c>
      <c r="R651" s="2">
        <v>4024.63</v>
      </c>
      <c r="S651" t="s">
        <v>94</v>
      </c>
      <c r="T651" t="s">
        <v>37</v>
      </c>
      <c r="U651" t="s">
        <v>83</v>
      </c>
      <c r="V651">
        <v>4.0999999999999996</v>
      </c>
      <c r="W651" t="s">
        <v>54</v>
      </c>
      <c r="X651" t="s">
        <v>106</v>
      </c>
      <c r="Y651" t="s">
        <v>41</v>
      </c>
    </row>
    <row r="652" spans="1:25" x14ac:dyDescent="0.3">
      <c r="A652" t="s">
        <v>1381</v>
      </c>
      <c r="B652" s="1">
        <v>45576</v>
      </c>
      <c r="C652" t="s">
        <v>78</v>
      </c>
      <c r="D652" t="s">
        <v>58</v>
      </c>
      <c r="E652" t="s">
        <v>4085</v>
      </c>
      <c r="F652" t="s">
        <v>60</v>
      </c>
      <c r="G652" t="s">
        <v>29</v>
      </c>
      <c r="H652" t="s">
        <v>59</v>
      </c>
      <c r="I652">
        <v>5</v>
      </c>
      <c r="J652" t="s">
        <v>1382</v>
      </c>
      <c r="K652">
        <v>46</v>
      </c>
      <c r="L652" t="s">
        <v>32</v>
      </c>
      <c r="M652">
        <v>5</v>
      </c>
      <c r="N652" t="s">
        <v>33</v>
      </c>
      <c r="O652" t="s">
        <v>34</v>
      </c>
      <c r="P652" t="s">
        <v>82</v>
      </c>
      <c r="Q652" s="2">
        <v>41800</v>
      </c>
      <c r="R652" s="2">
        <v>4905.01</v>
      </c>
      <c r="S652" t="s">
        <v>51</v>
      </c>
      <c r="T652" t="s">
        <v>71</v>
      </c>
      <c r="U652" t="s">
        <v>38</v>
      </c>
      <c r="V652">
        <v>2.6</v>
      </c>
      <c r="W652" t="s">
        <v>76</v>
      </c>
      <c r="X652" t="s">
        <v>84</v>
      </c>
      <c r="Y652" t="s">
        <v>72</v>
      </c>
    </row>
    <row r="653" spans="1:25" x14ac:dyDescent="0.3">
      <c r="A653" t="s">
        <v>1383</v>
      </c>
      <c r="B653" s="1">
        <v>45577</v>
      </c>
      <c r="C653" t="s">
        <v>78</v>
      </c>
      <c r="D653" t="s">
        <v>58</v>
      </c>
      <c r="E653" t="s">
        <v>4084</v>
      </c>
      <c r="F653" t="s">
        <v>60</v>
      </c>
      <c r="G653" t="s">
        <v>29</v>
      </c>
      <c r="H653" t="s">
        <v>27</v>
      </c>
      <c r="I653">
        <v>13</v>
      </c>
      <c r="J653" t="s">
        <v>1384</v>
      </c>
      <c r="K653">
        <v>44</v>
      </c>
      <c r="L653" t="s">
        <v>80</v>
      </c>
      <c r="M653">
        <v>1</v>
      </c>
      <c r="N653" t="s">
        <v>33</v>
      </c>
      <c r="O653" t="s">
        <v>81</v>
      </c>
      <c r="P653" t="s">
        <v>70</v>
      </c>
      <c r="Q653" s="2">
        <v>44103.75</v>
      </c>
      <c r="R653" s="2">
        <v>1939.11</v>
      </c>
      <c r="S653" t="s">
        <v>94</v>
      </c>
      <c r="T653" t="s">
        <v>71</v>
      </c>
      <c r="U653" t="s">
        <v>75</v>
      </c>
      <c r="V653">
        <v>2.5</v>
      </c>
      <c r="W653" t="s">
        <v>76</v>
      </c>
      <c r="X653" t="s">
        <v>40</v>
      </c>
      <c r="Y653" t="s">
        <v>72</v>
      </c>
    </row>
    <row r="654" spans="1:25" x14ac:dyDescent="0.3">
      <c r="A654" t="s">
        <v>1385</v>
      </c>
      <c r="B654" s="1">
        <v>45578</v>
      </c>
      <c r="C654" t="s">
        <v>78</v>
      </c>
      <c r="D654" t="s">
        <v>58</v>
      </c>
      <c r="E654" t="s">
        <v>89</v>
      </c>
      <c r="F654" t="s">
        <v>28</v>
      </c>
      <c r="G654" t="s">
        <v>29</v>
      </c>
      <c r="H654" t="s">
        <v>61</v>
      </c>
      <c r="I654">
        <v>14</v>
      </c>
      <c r="J654" t="s">
        <v>1386</v>
      </c>
      <c r="K654">
        <v>35</v>
      </c>
      <c r="L654" t="s">
        <v>80</v>
      </c>
      <c r="M654">
        <v>3</v>
      </c>
      <c r="N654" t="s">
        <v>64</v>
      </c>
      <c r="O654" t="s">
        <v>81</v>
      </c>
      <c r="P654" t="s">
        <v>35</v>
      </c>
      <c r="Q654" s="2">
        <v>29375.02</v>
      </c>
      <c r="R654" s="2">
        <v>4225.49</v>
      </c>
      <c r="S654" t="s">
        <v>36</v>
      </c>
      <c r="T654" t="s">
        <v>52</v>
      </c>
      <c r="U654" t="s">
        <v>83</v>
      </c>
      <c r="V654">
        <v>1.4</v>
      </c>
      <c r="W654" t="s">
        <v>124</v>
      </c>
      <c r="X654" t="s">
        <v>65</v>
      </c>
      <c r="Y654" t="s">
        <v>41</v>
      </c>
    </row>
    <row r="655" spans="1:25" x14ac:dyDescent="0.3">
      <c r="A655" t="s">
        <v>1387</v>
      </c>
      <c r="B655" s="1">
        <v>45579</v>
      </c>
      <c r="C655" t="s">
        <v>57</v>
      </c>
      <c r="D655" t="s">
        <v>44</v>
      </c>
      <c r="E655" t="s">
        <v>4084</v>
      </c>
      <c r="F655" t="s">
        <v>60</v>
      </c>
      <c r="G655" t="s">
        <v>29</v>
      </c>
      <c r="H655" t="s">
        <v>27</v>
      </c>
      <c r="I655">
        <v>11</v>
      </c>
      <c r="J655" t="s">
        <v>1388</v>
      </c>
      <c r="K655">
        <v>57</v>
      </c>
      <c r="L655" t="s">
        <v>32</v>
      </c>
      <c r="M655">
        <v>1</v>
      </c>
      <c r="N655" t="s">
        <v>48</v>
      </c>
      <c r="O655" t="s">
        <v>69</v>
      </c>
      <c r="P655" t="s">
        <v>50</v>
      </c>
      <c r="Q655" s="2">
        <v>19727.38</v>
      </c>
      <c r="R655" s="2">
        <v>4942.08</v>
      </c>
      <c r="S655" t="s">
        <v>51</v>
      </c>
      <c r="T655" t="s">
        <v>52</v>
      </c>
      <c r="U655" t="s">
        <v>75</v>
      </c>
      <c r="V655">
        <v>4.3</v>
      </c>
      <c r="W655" t="s">
        <v>54</v>
      </c>
      <c r="X655" t="s">
        <v>55</v>
      </c>
      <c r="Y655" t="s">
        <v>41</v>
      </c>
    </row>
    <row r="656" spans="1:25" x14ac:dyDescent="0.3">
      <c r="A656" t="s">
        <v>1389</v>
      </c>
      <c r="B656" s="1">
        <v>45580</v>
      </c>
      <c r="C656" t="s">
        <v>43</v>
      </c>
      <c r="D656" t="s">
        <v>58</v>
      </c>
      <c r="E656" t="s">
        <v>120</v>
      </c>
      <c r="F656" t="s">
        <v>28</v>
      </c>
      <c r="G656" t="s">
        <v>29</v>
      </c>
      <c r="H656" t="s">
        <v>86</v>
      </c>
      <c r="I656">
        <v>6</v>
      </c>
      <c r="J656" t="s">
        <v>1390</v>
      </c>
      <c r="K656">
        <v>27</v>
      </c>
      <c r="L656" t="s">
        <v>80</v>
      </c>
      <c r="M656">
        <v>1</v>
      </c>
      <c r="N656" t="s">
        <v>64</v>
      </c>
      <c r="O656" t="s">
        <v>34</v>
      </c>
      <c r="P656" t="s">
        <v>82</v>
      </c>
      <c r="Q656" s="2">
        <v>36578.120000000003</v>
      </c>
      <c r="R656" s="2">
        <v>4919.1499999999996</v>
      </c>
      <c r="S656" t="s">
        <v>115</v>
      </c>
      <c r="T656" t="s">
        <v>37</v>
      </c>
      <c r="U656" t="s">
        <v>83</v>
      </c>
      <c r="V656">
        <v>4.0999999999999996</v>
      </c>
      <c r="W656" t="s">
        <v>54</v>
      </c>
      <c r="X656" t="s">
        <v>40</v>
      </c>
      <c r="Y656" t="s">
        <v>41</v>
      </c>
    </row>
    <row r="657" spans="1:25" x14ac:dyDescent="0.3">
      <c r="A657" t="s">
        <v>1391</v>
      </c>
      <c r="B657" s="1">
        <v>45581</v>
      </c>
      <c r="C657" t="s">
        <v>43</v>
      </c>
      <c r="D657" t="s">
        <v>58</v>
      </c>
      <c r="E657" t="s">
        <v>4084</v>
      </c>
      <c r="F657" t="s">
        <v>60</v>
      </c>
      <c r="G657" t="s">
        <v>29</v>
      </c>
      <c r="H657" t="s">
        <v>27</v>
      </c>
      <c r="I657">
        <v>11</v>
      </c>
      <c r="J657" t="s">
        <v>1392</v>
      </c>
      <c r="K657">
        <v>59</v>
      </c>
      <c r="L657" t="s">
        <v>32</v>
      </c>
      <c r="M657">
        <v>1</v>
      </c>
      <c r="N657" t="s">
        <v>48</v>
      </c>
      <c r="O657" t="s">
        <v>81</v>
      </c>
      <c r="P657" t="s">
        <v>70</v>
      </c>
      <c r="Q657" s="2">
        <v>24757.39</v>
      </c>
      <c r="R657" s="2">
        <v>2168.86</v>
      </c>
      <c r="S657" t="s">
        <v>51</v>
      </c>
      <c r="T657" t="s">
        <v>37</v>
      </c>
      <c r="U657" t="s">
        <v>38</v>
      </c>
      <c r="V657">
        <v>3.5</v>
      </c>
      <c r="W657" t="s">
        <v>54</v>
      </c>
      <c r="X657" t="s">
        <v>55</v>
      </c>
      <c r="Y657" t="s">
        <v>72</v>
      </c>
    </row>
    <row r="658" spans="1:25" x14ac:dyDescent="0.3">
      <c r="A658" t="s">
        <v>1393</v>
      </c>
      <c r="B658" s="1">
        <v>45582</v>
      </c>
      <c r="C658" t="s">
        <v>117</v>
      </c>
      <c r="D658" t="s">
        <v>4083</v>
      </c>
      <c r="E658" t="s">
        <v>89</v>
      </c>
      <c r="F658" t="s">
        <v>28</v>
      </c>
      <c r="G658" t="s">
        <v>29</v>
      </c>
      <c r="H658" t="s">
        <v>61</v>
      </c>
      <c r="I658">
        <v>6</v>
      </c>
      <c r="J658" t="s">
        <v>1394</v>
      </c>
      <c r="K658">
        <v>22</v>
      </c>
      <c r="L658" t="s">
        <v>80</v>
      </c>
      <c r="M658">
        <v>2</v>
      </c>
      <c r="N658" t="s">
        <v>91</v>
      </c>
      <c r="O658" t="s">
        <v>49</v>
      </c>
      <c r="P658" t="s">
        <v>70</v>
      </c>
      <c r="Q658" s="2">
        <v>17948.939999999999</v>
      </c>
      <c r="R658" s="2">
        <v>2428.81</v>
      </c>
      <c r="S658" t="s">
        <v>94</v>
      </c>
      <c r="T658" t="s">
        <v>37</v>
      </c>
      <c r="U658" t="s">
        <v>83</v>
      </c>
      <c r="V658">
        <v>1.4</v>
      </c>
      <c r="W658" t="s">
        <v>124</v>
      </c>
      <c r="X658" t="s">
        <v>106</v>
      </c>
      <c r="Y658" t="s">
        <v>72</v>
      </c>
    </row>
    <row r="659" spans="1:25" x14ac:dyDescent="0.3">
      <c r="A659" t="s">
        <v>1395</v>
      </c>
      <c r="B659" s="1">
        <v>45583</v>
      </c>
      <c r="C659" t="s">
        <v>117</v>
      </c>
      <c r="D659" t="s">
        <v>4083</v>
      </c>
      <c r="E659" t="s">
        <v>4085</v>
      </c>
      <c r="F659" t="s">
        <v>60</v>
      </c>
      <c r="G659" t="s">
        <v>29</v>
      </c>
      <c r="H659" t="s">
        <v>46</v>
      </c>
      <c r="I659">
        <v>4</v>
      </c>
      <c r="J659" t="s">
        <v>1396</v>
      </c>
      <c r="K659">
        <v>27</v>
      </c>
      <c r="L659" t="s">
        <v>32</v>
      </c>
      <c r="M659">
        <v>2</v>
      </c>
      <c r="N659" t="s">
        <v>48</v>
      </c>
      <c r="O659" t="s">
        <v>34</v>
      </c>
      <c r="P659" t="s">
        <v>35</v>
      </c>
      <c r="Q659" s="2">
        <v>11852.18</v>
      </c>
      <c r="R659" s="2">
        <v>1517.01</v>
      </c>
      <c r="S659" t="s">
        <v>94</v>
      </c>
      <c r="T659" t="s">
        <v>37</v>
      </c>
      <c r="U659" t="s">
        <v>83</v>
      </c>
      <c r="V659">
        <v>2</v>
      </c>
      <c r="W659" t="s">
        <v>76</v>
      </c>
      <c r="X659" t="s">
        <v>65</v>
      </c>
      <c r="Y659" t="s">
        <v>41</v>
      </c>
    </row>
    <row r="660" spans="1:25" x14ac:dyDescent="0.3">
      <c r="A660" t="s">
        <v>1397</v>
      </c>
      <c r="B660" s="1">
        <v>45584</v>
      </c>
      <c r="C660" t="s">
        <v>78</v>
      </c>
      <c r="D660" t="s">
        <v>58</v>
      </c>
      <c r="E660" t="s">
        <v>45</v>
      </c>
      <c r="F660" t="s">
        <v>28</v>
      </c>
      <c r="G660" t="s">
        <v>29</v>
      </c>
      <c r="H660" t="s">
        <v>67</v>
      </c>
      <c r="I660">
        <v>6</v>
      </c>
      <c r="J660" t="s">
        <v>1398</v>
      </c>
      <c r="K660">
        <v>67</v>
      </c>
      <c r="L660" t="s">
        <v>80</v>
      </c>
      <c r="M660">
        <v>6</v>
      </c>
      <c r="N660" t="s">
        <v>48</v>
      </c>
      <c r="O660" t="s">
        <v>34</v>
      </c>
      <c r="P660" t="s">
        <v>50</v>
      </c>
      <c r="Q660" s="2">
        <v>28754.34</v>
      </c>
      <c r="R660" s="2">
        <v>1570.09</v>
      </c>
      <c r="S660" t="s">
        <v>36</v>
      </c>
      <c r="T660" t="s">
        <v>52</v>
      </c>
      <c r="U660" t="s">
        <v>75</v>
      </c>
      <c r="V660">
        <v>2.8</v>
      </c>
      <c r="W660" t="s">
        <v>76</v>
      </c>
      <c r="X660" t="s">
        <v>40</v>
      </c>
      <c r="Y660" t="s">
        <v>41</v>
      </c>
    </row>
    <row r="661" spans="1:25" x14ac:dyDescent="0.3">
      <c r="A661" t="s">
        <v>1399</v>
      </c>
      <c r="B661" s="1">
        <v>45585</v>
      </c>
      <c r="C661" t="s">
        <v>117</v>
      </c>
      <c r="D661" t="s">
        <v>4083</v>
      </c>
      <c r="E661" t="s">
        <v>4084</v>
      </c>
      <c r="F661" t="s">
        <v>60</v>
      </c>
      <c r="G661" t="s">
        <v>29</v>
      </c>
      <c r="H661" t="s">
        <v>27</v>
      </c>
      <c r="I661">
        <v>8</v>
      </c>
      <c r="J661" t="s">
        <v>1400</v>
      </c>
      <c r="K661">
        <v>38</v>
      </c>
      <c r="L661" t="s">
        <v>63</v>
      </c>
      <c r="M661">
        <v>6</v>
      </c>
      <c r="N661" t="s">
        <v>64</v>
      </c>
      <c r="O661" t="s">
        <v>34</v>
      </c>
      <c r="P661" t="s">
        <v>82</v>
      </c>
      <c r="Q661" s="2">
        <v>31741.41</v>
      </c>
      <c r="R661" s="2">
        <v>2462.35</v>
      </c>
      <c r="S661" t="s">
        <v>94</v>
      </c>
      <c r="T661" t="s">
        <v>71</v>
      </c>
      <c r="U661" t="s">
        <v>75</v>
      </c>
      <c r="V661">
        <v>2.1</v>
      </c>
      <c r="W661" t="s">
        <v>76</v>
      </c>
      <c r="X661" t="s">
        <v>40</v>
      </c>
      <c r="Y661" t="s">
        <v>41</v>
      </c>
    </row>
    <row r="662" spans="1:25" x14ac:dyDescent="0.3">
      <c r="A662" t="s">
        <v>1401</v>
      </c>
      <c r="B662" s="1">
        <v>45586</v>
      </c>
      <c r="C662" t="s">
        <v>57</v>
      </c>
      <c r="D662" t="s">
        <v>44</v>
      </c>
      <c r="E662" t="s">
        <v>89</v>
      </c>
      <c r="F662" t="s">
        <v>28</v>
      </c>
      <c r="G662" t="s">
        <v>29</v>
      </c>
      <c r="H662" t="s">
        <v>61</v>
      </c>
      <c r="I662">
        <v>8</v>
      </c>
      <c r="J662" t="s">
        <v>1402</v>
      </c>
      <c r="K662">
        <v>41</v>
      </c>
      <c r="L662" t="s">
        <v>80</v>
      </c>
      <c r="M662">
        <v>7</v>
      </c>
      <c r="N662" t="s">
        <v>48</v>
      </c>
      <c r="O662" t="s">
        <v>81</v>
      </c>
      <c r="P662" t="s">
        <v>70</v>
      </c>
      <c r="Q662" s="2">
        <v>30595.360000000001</v>
      </c>
      <c r="R662" s="2">
        <v>1002.59</v>
      </c>
      <c r="S662" t="s">
        <v>36</v>
      </c>
      <c r="T662" t="s">
        <v>71</v>
      </c>
      <c r="U662" t="s">
        <v>75</v>
      </c>
      <c r="V662">
        <v>2.7</v>
      </c>
      <c r="W662" t="s">
        <v>76</v>
      </c>
      <c r="X662" t="s">
        <v>65</v>
      </c>
      <c r="Y662" t="s">
        <v>72</v>
      </c>
    </row>
    <row r="663" spans="1:25" x14ac:dyDescent="0.3">
      <c r="A663" t="s">
        <v>1403</v>
      </c>
      <c r="B663" s="1">
        <v>45587</v>
      </c>
      <c r="C663" t="s">
        <v>43</v>
      </c>
      <c r="D663" t="s">
        <v>58</v>
      </c>
      <c r="E663" t="s">
        <v>89</v>
      </c>
      <c r="F663" t="s">
        <v>28</v>
      </c>
      <c r="G663" t="s">
        <v>29</v>
      </c>
      <c r="H663" t="s">
        <v>61</v>
      </c>
      <c r="I663">
        <v>7</v>
      </c>
      <c r="J663" t="s">
        <v>1404</v>
      </c>
      <c r="K663">
        <v>55</v>
      </c>
      <c r="L663" t="s">
        <v>80</v>
      </c>
      <c r="M663">
        <v>3</v>
      </c>
      <c r="N663" t="s">
        <v>48</v>
      </c>
      <c r="O663" t="s">
        <v>69</v>
      </c>
      <c r="P663" t="s">
        <v>82</v>
      </c>
      <c r="Q663" s="2">
        <v>10244.68</v>
      </c>
      <c r="R663" s="2">
        <v>3555.62</v>
      </c>
      <c r="S663" t="s">
        <v>51</v>
      </c>
      <c r="T663" t="s">
        <v>37</v>
      </c>
      <c r="U663" t="s">
        <v>53</v>
      </c>
      <c r="V663">
        <v>1.9</v>
      </c>
      <c r="W663" t="s">
        <v>124</v>
      </c>
      <c r="X663" t="s">
        <v>84</v>
      </c>
      <c r="Y663" t="s">
        <v>72</v>
      </c>
    </row>
    <row r="664" spans="1:25" x14ac:dyDescent="0.3">
      <c r="A664" t="s">
        <v>1405</v>
      </c>
      <c r="B664" s="1">
        <v>45588</v>
      </c>
      <c r="C664" t="s">
        <v>78</v>
      </c>
      <c r="D664" t="s">
        <v>58</v>
      </c>
      <c r="E664" t="s">
        <v>4085</v>
      </c>
      <c r="F664" t="s">
        <v>60</v>
      </c>
      <c r="G664" t="s">
        <v>29</v>
      </c>
      <c r="H664" t="s">
        <v>59</v>
      </c>
      <c r="I664">
        <v>3</v>
      </c>
      <c r="J664" t="s">
        <v>1406</v>
      </c>
      <c r="K664">
        <v>20</v>
      </c>
      <c r="L664" t="s">
        <v>63</v>
      </c>
      <c r="M664">
        <v>1</v>
      </c>
      <c r="N664" t="s">
        <v>64</v>
      </c>
      <c r="O664" t="s">
        <v>69</v>
      </c>
      <c r="P664" t="s">
        <v>70</v>
      </c>
      <c r="Q664" s="2">
        <v>30649.43</v>
      </c>
      <c r="R664" s="2">
        <v>2681.54</v>
      </c>
      <c r="S664" t="s">
        <v>94</v>
      </c>
      <c r="T664" t="s">
        <v>52</v>
      </c>
      <c r="U664" t="s">
        <v>75</v>
      </c>
      <c r="V664">
        <v>2.4</v>
      </c>
      <c r="W664" t="s">
        <v>76</v>
      </c>
      <c r="X664" t="s">
        <v>106</v>
      </c>
      <c r="Y664" t="s">
        <v>41</v>
      </c>
    </row>
    <row r="665" spans="1:25" x14ac:dyDescent="0.3">
      <c r="A665" t="s">
        <v>1407</v>
      </c>
      <c r="B665" s="1">
        <v>45589</v>
      </c>
      <c r="C665" t="s">
        <v>117</v>
      </c>
      <c r="D665" t="s">
        <v>4083</v>
      </c>
      <c r="E665" t="s">
        <v>120</v>
      </c>
      <c r="F665" t="s">
        <v>28</v>
      </c>
      <c r="G665" t="s">
        <v>29</v>
      </c>
      <c r="H665" t="s">
        <v>86</v>
      </c>
      <c r="I665">
        <v>5</v>
      </c>
      <c r="J665" t="s">
        <v>1408</v>
      </c>
      <c r="K665">
        <v>57</v>
      </c>
      <c r="L665" t="s">
        <v>63</v>
      </c>
      <c r="M665">
        <v>3</v>
      </c>
      <c r="N665" t="s">
        <v>91</v>
      </c>
      <c r="O665" t="s">
        <v>49</v>
      </c>
      <c r="P665" t="s">
        <v>50</v>
      </c>
      <c r="Q665" s="2">
        <v>12578.63</v>
      </c>
      <c r="R665" s="2">
        <v>4490.34</v>
      </c>
      <c r="S665" t="s">
        <v>51</v>
      </c>
      <c r="T665" t="s">
        <v>37</v>
      </c>
      <c r="U665" t="s">
        <v>83</v>
      </c>
      <c r="V665">
        <v>3.6</v>
      </c>
      <c r="W665" t="s">
        <v>39</v>
      </c>
      <c r="X665" t="s">
        <v>65</v>
      </c>
      <c r="Y665" t="s">
        <v>72</v>
      </c>
    </row>
    <row r="666" spans="1:25" x14ac:dyDescent="0.3">
      <c r="A666" t="s">
        <v>1409</v>
      </c>
      <c r="B666" s="1">
        <v>45590</v>
      </c>
      <c r="C666" t="s">
        <v>57</v>
      </c>
      <c r="D666" t="s">
        <v>44</v>
      </c>
      <c r="E666" t="s">
        <v>4084</v>
      </c>
      <c r="F666" t="s">
        <v>60</v>
      </c>
      <c r="G666" t="s">
        <v>29</v>
      </c>
      <c r="H666" t="s">
        <v>30</v>
      </c>
      <c r="I666">
        <v>7</v>
      </c>
      <c r="J666" t="s">
        <v>1410</v>
      </c>
      <c r="K666">
        <v>48</v>
      </c>
      <c r="L666" t="s">
        <v>63</v>
      </c>
      <c r="M666">
        <v>2</v>
      </c>
      <c r="N666" t="s">
        <v>91</v>
      </c>
      <c r="O666" t="s">
        <v>81</v>
      </c>
      <c r="P666" t="s">
        <v>50</v>
      </c>
      <c r="Q666" s="2">
        <v>34867.14</v>
      </c>
      <c r="R666" s="2">
        <v>4052.91</v>
      </c>
      <c r="S666" t="s">
        <v>115</v>
      </c>
      <c r="T666" t="s">
        <v>37</v>
      </c>
      <c r="U666" t="s">
        <v>53</v>
      </c>
      <c r="V666">
        <v>4.5999999999999996</v>
      </c>
      <c r="W666" t="s">
        <v>103</v>
      </c>
      <c r="X666" t="s">
        <v>40</v>
      </c>
      <c r="Y666" t="s">
        <v>72</v>
      </c>
    </row>
    <row r="667" spans="1:25" x14ac:dyDescent="0.3">
      <c r="A667" t="s">
        <v>1411</v>
      </c>
      <c r="B667" s="1">
        <v>45591</v>
      </c>
      <c r="C667" t="s">
        <v>57</v>
      </c>
      <c r="D667" t="s">
        <v>44</v>
      </c>
      <c r="E667" t="s">
        <v>89</v>
      </c>
      <c r="F667" t="s">
        <v>28</v>
      </c>
      <c r="G667" t="s">
        <v>29</v>
      </c>
      <c r="H667" t="s">
        <v>61</v>
      </c>
      <c r="I667">
        <v>8</v>
      </c>
      <c r="J667" t="s">
        <v>1412</v>
      </c>
      <c r="K667">
        <v>58</v>
      </c>
      <c r="L667" t="s">
        <v>63</v>
      </c>
      <c r="M667">
        <v>1</v>
      </c>
      <c r="N667" t="s">
        <v>91</v>
      </c>
      <c r="O667" t="s">
        <v>34</v>
      </c>
      <c r="P667" t="s">
        <v>35</v>
      </c>
      <c r="Q667" s="2">
        <v>24322.28</v>
      </c>
      <c r="R667" s="2">
        <v>1612.36</v>
      </c>
      <c r="S667" t="s">
        <v>115</v>
      </c>
      <c r="T667" t="s">
        <v>52</v>
      </c>
      <c r="U667" t="s">
        <v>75</v>
      </c>
      <c r="V667">
        <v>2.5</v>
      </c>
      <c r="W667" t="s">
        <v>76</v>
      </c>
      <c r="X667" t="s">
        <v>84</v>
      </c>
      <c r="Y667" t="s">
        <v>72</v>
      </c>
    </row>
    <row r="668" spans="1:25" x14ac:dyDescent="0.3">
      <c r="A668" t="s">
        <v>1413</v>
      </c>
      <c r="B668" s="1">
        <v>45592</v>
      </c>
      <c r="C668" t="s">
        <v>117</v>
      </c>
      <c r="D668" t="s">
        <v>4083</v>
      </c>
      <c r="E668" t="s">
        <v>4085</v>
      </c>
      <c r="F668" t="s">
        <v>60</v>
      </c>
      <c r="G668" t="s">
        <v>29</v>
      </c>
      <c r="H668" t="s">
        <v>46</v>
      </c>
      <c r="I668">
        <v>3</v>
      </c>
      <c r="J668" t="s">
        <v>1414</v>
      </c>
      <c r="K668">
        <v>54</v>
      </c>
      <c r="L668" t="s">
        <v>32</v>
      </c>
      <c r="M668">
        <v>5</v>
      </c>
      <c r="N668" t="s">
        <v>48</v>
      </c>
      <c r="O668" t="s">
        <v>49</v>
      </c>
      <c r="P668" t="s">
        <v>70</v>
      </c>
      <c r="Q668" s="2">
        <v>43195.49</v>
      </c>
      <c r="R668" s="2">
        <v>2529.02</v>
      </c>
      <c r="S668" t="s">
        <v>36</v>
      </c>
      <c r="T668" t="s">
        <v>71</v>
      </c>
      <c r="U668" t="s">
        <v>38</v>
      </c>
      <c r="V668">
        <v>3.8</v>
      </c>
      <c r="W668" t="s">
        <v>54</v>
      </c>
      <c r="X668" t="s">
        <v>40</v>
      </c>
      <c r="Y668" t="s">
        <v>41</v>
      </c>
    </row>
    <row r="669" spans="1:25" x14ac:dyDescent="0.3">
      <c r="A669" t="s">
        <v>1415</v>
      </c>
      <c r="B669" s="1">
        <v>45593</v>
      </c>
      <c r="C669" t="s">
        <v>43</v>
      </c>
      <c r="D669" t="s">
        <v>58</v>
      </c>
      <c r="E669" t="s">
        <v>45</v>
      </c>
      <c r="F669" t="s">
        <v>28</v>
      </c>
      <c r="G669" t="s">
        <v>29</v>
      </c>
      <c r="H669" t="s">
        <v>67</v>
      </c>
      <c r="I669">
        <v>11</v>
      </c>
      <c r="J669" t="s">
        <v>1416</v>
      </c>
      <c r="K669">
        <v>19</v>
      </c>
      <c r="L669" t="s">
        <v>32</v>
      </c>
      <c r="M669">
        <v>2</v>
      </c>
      <c r="N669" t="s">
        <v>64</v>
      </c>
      <c r="O669" t="s">
        <v>49</v>
      </c>
      <c r="P669" t="s">
        <v>82</v>
      </c>
      <c r="Q669" s="2">
        <v>40021.96</v>
      </c>
      <c r="R669" s="2">
        <v>3752.57</v>
      </c>
      <c r="S669" t="s">
        <v>94</v>
      </c>
      <c r="T669" t="s">
        <v>71</v>
      </c>
      <c r="U669" t="s">
        <v>75</v>
      </c>
      <c r="V669">
        <v>1.5</v>
      </c>
      <c r="W669" t="s">
        <v>124</v>
      </c>
      <c r="X669" t="s">
        <v>55</v>
      </c>
      <c r="Y669" t="s">
        <v>72</v>
      </c>
    </row>
    <row r="670" spans="1:25" x14ac:dyDescent="0.3">
      <c r="A670" t="s">
        <v>1417</v>
      </c>
      <c r="B670" s="1">
        <v>45594</v>
      </c>
      <c r="C670" t="s">
        <v>117</v>
      </c>
      <c r="D670" t="s">
        <v>4083</v>
      </c>
      <c r="E670" t="s">
        <v>89</v>
      </c>
      <c r="F670" t="s">
        <v>28</v>
      </c>
      <c r="G670" t="s">
        <v>29</v>
      </c>
      <c r="H670" t="s">
        <v>61</v>
      </c>
      <c r="I670">
        <v>5</v>
      </c>
      <c r="J670" t="s">
        <v>1418</v>
      </c>
      <c r="K670">
        <v>19</v>
      </c>
      <c r="L670" t="s">
        <v>80</v>
      </c>
      <c r="M670">
        <v>2</v>
      </c>
      <c r="N670" t="s">
        <v>91</v>
      </c>
      <c r="O670" t="s">
        <v>69</v>
      </c>
      <c r="P670" t="s">
        <v>70</v>
      </c>
      <c r="Q670" s="2">
        <v>37597.19</v>
      </c>
      <c r="R670" s="2">
        <v>966</v>
      </c>
      <c r="S670" t="s">
        <v>51</v>
      </c>
      <c r="T670" t="s">
        <v>37</v>
      </c>
      <c r="U670" t="s">
        <v>38</v>
      </c>
      <c r="V670">
        <v>3.2</v>
      </c>
      <c r="W670" t="s">
        <v>76</v>
      </c>
      <c r="X670" t="s">
        <v>40</v>
      </c>
      <c r="Y670" t="s">
        <v>41</v>
      </c>
    </row>
    <row r="671" spans="1:25" x14ac:dyDescent="0.3">
      <c r="A671" t="s">
        <v>1419</v>
      </c>
      <c r="B671" s="1">
        <v>45595</v>
      </c>
      <c r="C671" t="s">
        <v>78</v>
      </c>
      <c r="D671" t="s">
        <v>58</v>
      </c>
      <c r="E671" t="s">
        <v>4085</v>
      </c>
      <c r="F671" t="s">
        <v>60</v>
      </c>
      <c r="G671" t="s">
        <v>29</v>
      </c>
      <c r="H671" t="s">
        <v>46</v>
      </c>
      <c r="I671">
        <v>12</v>
      </c>
      <c r="J671" t="s">
        <v>1420</v>
      </c>
      <c r="K671">
        <v>56</v>
      </c>
      <c r="L671" t="s">
        <v>80</v>
      </c>
      <c r="M671">
        <v>2</v>
      </c>
      <c r="N671" t="s">
        <v>91</v>
      </c>
      <c r="O671" t="s">
        <v>34</v>
      </c>
      <c r="P671" t="s">
        <v>82</v>
      </c>
      <c r="Q671" s="2">
        <v>36533.17</v>
      </c>
      <c r="R671" s="2">
        <v>157.99</v>
      </c>
      <c r="S671" t="s">
        <v>51</v>
      </c>
      <c r="T671" t="s">
        <v>52</v>
      </c>
      <c r="U671" t="s">
        <v>53</v>
      </c>
      <c r="V671">
        <v>4.7</v>
      </c>
      <c r="W671" t="s">
        <v>103</v>
      </c>
      <c r="X671" t="s">
        <v>106</v>
      </c>
      <c r="Y671" t="s">
        <v>41</v>
      </c>
    </row>
    <row r="672" spans="1:25" x14ac:dyDescent="0.3">
      <c r="A672" t="s">
        <v>1421</v>
      </c>
      <c r="B672" s="1">
        <v>45596</v>
      </c>
      <c r="C672" t="s">
        <v>117</v>
      </c>
      <c r="D672" t="s">
        <v>4083</v>
      </c>
      <c r="E672" t="s">
        <v>120</v>
      </c>
      <c r="F672" t="s">
        <v>28</v>
      </c>
      <c r="G672" t="s">
        <v>29</v>
      </c>
      <c r="H672" t="s">
        <v>86</v>
      </c>
      <c r="I672">
        <v>5</v>
      </c>
      <c r="J672" t="s">
        <v>1422</v>
      </c>
      <c r="K672">
        <v>66</v>
      </c>
      <c r="L672" t="s">
        <v>80</v>
      </c>
      <c r="M672">
        <v>7</v>
      </c>
      <c r="N672" t="s">
        <v>91</v>
      </c>
      <c r="O672" t="s">
        <v>34</v>
      </c>
      <c r="P672" t="s">
        <v>35</v>
      </c>
      <c r="Q672" s="2">
        <v>30221.96</v>
      </c>
      <c r="R672" s="2">
        <v>4261.5200000000004</v>
      </c>
      <c r="S672" t="s">
        <v>94</v>
      </c>
      <c r="T672" t="s">
        <v>71</v>
      </c>
      <c r="U672" t="s">
        <v>38</v>
      </c>
      <c r="V672">
        <v>1.1000000000000001</v>
      </c>
      <c r="W672" t="s">
        <v>124</v>
      </c>
      <c r="X672" t="s">
        <v>65</v>
      </c>
      <c r="Y672" t="s">
        <v>41</v>
      </c>
    </row>
    <row r="673" spans="1:25" x14ac:dyDescent="0.3">
      <c r="A673" t="s">
        <v>1423</v>
      </c>
      <c r="B673" s="1">
        <v>45597</v>
      </c>
      <c r="C673" t="s">
        <v>57</v>
      </c>
      <c r="D673" t="s">
        <v>44</v>
      </c>
      <c r="E673" t="s">
        <v>120</v>
      </c>
      <c r="F673" t="s">
        <v>28</v>
      </c>
      <c r="G673" t="s">
        <v>29</v>
      </c>
      <c r="H673" t="s">
        <v>86</v>
      </c>
      <c r="I673">
        <v>13</v>
      </c>
      <c r="J673" t="s">
        <v>1424</v>
      </c>
      <c r="K673">
        <v>59</v>
      </c>
      <c r="L673" t="s">
        <v>32</v>
      </c>
      <c r="M673">
        <v>1</v>
      </c>
      <c r="N673" t="s">
        <v>91</v>
      </c>
      <c r="O673" t="s">
        <v>81</v>
      </c>
      <c r="P673" t="s">
        <v>70</v>
      </c>
      <c r="Q673" s="2">
        <v>7750.11</v>
      </c>
      <c r="R673" s="2">
        <v>687.75</v>
      </c>
      <c r="S673" t="s">
        <v>51</v>
      </c>
      <c r="T673" t="s">
        <v>71</v>
      </c>
      <c r="U673" t="s">
        <v>53</v>
      </c>
      <c r="V673">
        <v>2.1</v>
      </c>
      <c r="W673" t="s">
        <v>76</v>
      </c>
      <c r="X673" t="s">
        <v>40</v>
      </c>
      <c r="Y673" t="s">
        <v>41</v>
      </c>
    </row>
    <row r="674" spans="1:25" x14ac:dyDescent="0.3">
      <c r="A674" t="s">
        <v>1425</v>
      </c>
      <c r="B674" s="1">
        <v>45598</v>
      </c>
      <c r="C674" t="s">
        <v>117</v>
      </c>
      <c r="D674" t="s">
        <v>4083</v>
      </c>
      <c r="E674" t="s">
        <v>89</v>
      </c>
      <c r="F674" t="s">
        <v>28</v>
      </c>
      <c r="G674" t="s">
        <v>29</v>
      </c>
      <c r="H674" t="s">
        <v>61</v>
      </c>
      <c r="I674">
        <v>4</v>
      </c>
      <c r="J674" t="s">
        <v>1426</v>
      </c>
      <c r="K674">
        <v>61</v>
      </c>
      <c r="L674" t="s">
        <v>80</v>
      </c>
      <c r="M674">
        <v>6</v>
      </c>
      <c r="N674" t="s">
        <v>64</v>
      </c>
      <c r="O674" t="s">
        <v>81</v>
      </c>
      <c r="P674" t="s">
        <v>50</v>
      </c>
      <c r="Q674" s="2">
        <v>34497.03</v>
      </c>
      <c r="R674" s="2">
        <v>4447.0600000000004</v>
      </c>
      <c r="S674" t="s">
        <v>94</v>
      </c>
      <c r="T674" t="s">
        <v>52</v>
      </c>
      <c r="U674" t="s">
        <v>38</v>
      </c>
      <c r="V674">
        <v>1.5</v>
      </c>
      <c r="W674" t="s">
        <v>124</v>
      </c>
      <c r="X674" t="s">
        <v>55</v>
      </c>
      <c r="Y674" t="s">
        <v>41</v>
      </c>
    </row>
    <row r="675" spans="1:25" x14ac:dyDescent="0.3">
      <c r="A675" t="s">
        <v>1427</v>
      </c>
      <c r="B675" s="1">
        <v>45599</v>
      </c>
      <c r="C675" t="s">
        <v>43</v>
      </c>
      <c r="D675" t="s">
        <v>58</v>
      </c>
      <c r="E675" t="s">
        <v>89</v>
      </c>
      <c r="F675" t="s">
        <v>28</v>
      </c>
      <c r="G675" t="s">
        <v>29</v>
      </c>
      <c r="H675" t="s">
        <v>61</v>
      </c>
      <c r="I675">
        <v>10</v>
      </c>
      <c r="J675" t="s">
        <v>1428</v>
      </c>
      <c r="K675">
        <v>51</v>
      </c>
      <c r="L675" t="s">
        <v>80</v>
      </c>
      <c r="M675">
        <v>4</v>
      </c>
      <c r="N675" t="s">
        <v>91</v>
      </c>
      <c r="O675" t="s">
        <v>81</v>
      </c>
      <c r="P675" t="s">
        <v>82</v>
      </c>
      <c r="Q675" s="2">
        <v>26011.5</v>
      </c>
      <c r="R675" s="2">
        <v>4568.04</v>
      </c>
      <c r="S675" t="s">
        <v>94</v>
      </c>
      <c r="T675" t="s">
        <v>52</v>
      </c>
      <c r="U675" t="s">
        <v>75</v>
      </c>
      <c r="V675">
        <v>3.1</v>
      </c>
      <c r="W675" t="s">
        <v>76</v>
      </c>
      <c r="X675" t="s">
        <v>55</v>
      </c>
      <c r="Y675" t="s">
        <v>41</v>
      </c>
    </row>
    <row r="676" spans="1:25" x14ac:dyDescent="0.3">
      <c r="A676" t="s">
        <v>1429</v>
      </c>
      <c r="B676" s="1">
        <v>45600</v>
      </c>
      <c r="C676" t="s">
        <v>26</v>
      </c>
      <c r="D676" t="s">
        <v>26</v>
      </c>
      <c r="E676" t="s">
        <v>4084</v>
      </c>
      <c r="F676" t="s">
        <v>60</v>
      </c>
      <c r="G676" t="s">
        <v>29</v>
      </c>
      <c r="H676" t="s">
        <v>27</v>
      </c>
      <c r="I676">
        <v>5</v>
      </c>
      <c r="J676" t="s">
        <v>1430</v>
      </c>
      <c r="K676">
        <v>59</v>
      </c>
      <c r="L676" t="s">
        <v>32</v>
      </c>
      <c r="M676">
        <v>5</v>
      </c>
      <c r="N676" t="s">
        <v>48</v>
      </c>
      <c r="O676" t="s">
        <v>49</v>
      </c>
      <c r="P676" t="s">
        <v>50</v>
      </c>
      <c r="Q676" s="2">
        <v>26129.96</v>
      </c>
      <c r="R676" s="2">
        <v>2303.5</v>
      </c>
      <c r="S676" t="s">
        <v>115</v>
      </c>
      <c r="T676" t="s">
        <v>71</v>
      </c>
      <c r="U676" t="s">
        <v>53</v>
      </c>
      <c r="V676">
        <v>3.7</v>
      </c>
      <c r="W676" t="s">
        <v>54</v>
      </c>
      <c r="X676" t="s">
        <v>65</v>
      </c>
      <c r="Y676" t="s">
        <v>72</v>
      </c>
    </row>
    <row r="677" spans="1:25" x14ac:dyDescent="0.3">
      <c r="A677" t="s">
        <v>1431</v>
      </c>
      <c r="B677" s="1">
        <v>45601</v>
      </c>
      <c r="C677" t="s">
        <v>117</v>
      </c>
      <c r="D677" t="s">
        <v>4083</v>
      </c>
      <c r="E677" t="s">
        <v>4085</v>
      </c>
      <c r="F677" t="s">
        <v>60</v>
      </c>
      <c r="G677" t="s">
        <v>29</v>
      </c>
      <c r="H677" t="s">
        <v>46</v>
      </c>
      <c r="I677">
        <v>8</v>
      </c>
      <c r="J677" t="s">
        <v>1432</v>
      </c>
      <c r="K677">
        <v>37</v>
      </c>
      <c r="L677" t="s">
        <v>80</v>
      </c>
      <c r="M677">
        <v>5</v>
      </c>
      <c r="N677" t="s">
        <v>48</v>
      </c>
      <c r="O677" t="s">
        <v>34</v>
      </c>
      <c r="P677" t="s">
        <v>35</v>
      </c>
      <c r="Q677" s="2">
        <v>22056</v>
      </c>
      <c r="R677" s="2">
        <v>4033.91</v>
      </c>
      <c r="S677" t="s">
        <v>94</v>
      </c>
      <c r="T677" t="s">
        <v>37</v>
      </c>
      <c r="U677" t="s">
        <v>83</v>
      </c>
      <c r="V677">
        <v>1.2</v>
      </c>
      <c r="W677" t="s">
        <v>124</v>
      </c>
      <c r="X677" t="s">
        <v>55</v>
      </c>
      <c r="Y677" t="s">
        <v>41</v>
      </c>
    </row>
    <row r="678" spans="1:25" x14ac:dyDescent="0.3">
      <c r="A678" t="s">
        <v>1433</v>
      </c>
      <c r="B678" s="1">
        <v>45602</v>
      </c>
      <c r="C678" t="s">
        <v>43</v>
      </c>
      <c r="D678" t="s">
        <v>58</v>
      </c>
      <c r="E678" t="s">
        <v>89</v>
      </c>
      <c r="F678" t="s">
        <v>28</v>
      </c>
      <c r="G678" t="s">
        <v>29</v>
      </c>
      <c r="H678" t="s">
        <v>61</v>
      </c>
      <c r="I678">
        <v>4</v>
      </c>
      <c r="J678" t="s">
        <v>1434</v>
      </c>
      <c r="K678">
        <v>50</v>
      </c>
      <c r="L678" t="s">
        <v>32</v>
      </c>
      <c r="M678">
        <v>3</v>
      </c>
      <c r="N678" t="s">
        <v>64</v>
      </c>
      <c r="O678" t="s">
        <v>69</v>
      </c>
      <c r="P678" t="s">
        <v>35</v>
      </c>
      <c r="Q678" s="2">
        <v>46808.19</v>
      </c>
      <c r="R678" s="2">
        <v>1815.96</v>
      </c>
      <c r="S678" t="s">
        <v>51</v>
      </c>
      <c r="T678" t="s">
        <v>37</v>
      </c>
      <c r="U678" t="s">
        <v>83</v>
      </c>
      <c r="V678">
        <v>1.3</v>
      </c>
      <c r="W678" t="s">
        <v>124</v>
      </c>
      <c r="X678" t="s">
        <v>65</v>
      </c>
      <c r="Y678" t="s">
        <v>72</v>
      </c>
    </row>
    <row r="679" spans="1:25" x14ac:dyDescent="0.3">
      <c r="A679" t="s">
        <v>1435</v>
      </c>
      <c r="B679" s="1">
        <v>45603</v>
      </c>
      <c r="C679" t="s">
        <v>43</v>
      </c>
      <c r="D679" t="s">
        <v>58</v>
      </c>
      <c r="E679" t="s">
        <v>4084</v>
      </c>
      <c r="F679" t="s">
        <v>60</v>
      </c>
      <c r="G679" t="s">
        <v>29</v>
      </c>
      <c r="H679" t="s">
        <v>30</v>
      </c>
      <c r="I679">
        <v>9</v>
      </c>
      <c r="J679" t="s">
        <v>1436</v>
      </c>
      <c r="K679">
        <v>21</v>
      </c>
      <c r="L679" t="s">
        <v>32</v>
      </c>
      <c r="M679">
        <v>1</v>
      </c>
      <c r="N679" t="s">
        <v>33</v>
      </c>
      <c r="O679" t="s">
        <v>49</v>
      </c>
      <c r="P679" t="s">
        <v>82</v>
      </c>
      <c r="Q679" s="2">
        <v>16225.31</v>
      </c>
      <c r="R679" s="2">
        <v>4291.32</v>
      </c>
      <c r="S679" t="s">
        <v>94</v>
      </c>
      <c r="T679" t="s">
        <v>71</v>
      </c>
      <c r="U679" t="s">
        <v>83</v>
      </c>
      <c r="V679">
        <v>4.5</v>
      </c>
      <c r="W679" t="s">
        <v>103</v>
      </c>
      <c r="X679" t="s">
        <v>106</v>
      </c>
      <c r="Y679" t="s">
        <v>72</v>
      </c>
    </row>
    <row r="680" spans="1:25" x14ac:dyDescent="0.3">
      <c r="A680" t="s">
        <v>1437</v>
      </c>
      <c r="B680" s="1">
        <v>45604</v>
      </c>
      <c r="C680" t="s">
        <v>57</v>
      </c>
      <c r="D680" t="s">
        <v>44</v>
      </c>
      <c r="E680" t="s">
        <v>4084</v>
      </c>
      <c r="F680" t="s">
        <v>60</v>
      </c>
      <c r="G680" t="s">
        <v>29</v>
      </c>
      <c r="H680" t="s">
        <v>30</v>
      </c>
      <c r="I680">
        <v>6</v>
      </c>
      <c r="J680" t="s">
        <v>1438</v>
      </c>
      <c r="K680">
        <v>62</v>
      </c>
      <c r="L680" t="s">
        <v>63</v>
      </c>
      <c r="M680">
        <v>6</v>
      </c>
      <c r="N680" t="s">
        <v>91</v>
      </c>
      <c r="O680" t="s">
        <v>49</v>
      </c>
      <c r="P680" t="s">
        <v>70</v>
      </c>
      <c r="Q680" s="2">
        <v>19246.75</v>
      </c>
      <c r="R680" s="2">
        <v>4123.41</v>
      </c>
      <c r="S680" t="s">
        <v>115</v>
      </c>
      <c r="T680" t="s">
        <v>37</v>
      </c>
      <c r="U680" t="s">
        <v>75</v>
      </c>
      <c r="V680">
        <v>2.8</v>
      </c>
      <c r="W680" t="s">
        <v>76</v>
      </c>
      <c r="X680" t="s">
        <v>65</v>
      </c>
      <c r="Y680" t="s">
        <v>72</v>
      </c>
    </row>
    <row r="681" spans="1:25" x14ac:dyDescent="0.3">
      <c r="A681" t="s">
        <v>1439</v>
      </c>
      <c r="B681" s="1">
        <v>45605</v>
      </c>
      <c r="C681" t="s">
        <v>43</v>
      </c>
      <c r="D681" t="s">
        <v>58</v>
      </c>
      <c r="E681" t="s">
        <v>89</v>
      </c>
      <c r="F681" t="s">
        <v>28</v>
      </c>
      <c r="G681" t="s">
        <v>29</v>
      </c>
      <c r="H681" t="s">
        <v>61</v>
      </c>
      <c r="I681">
        <v>11</v>
      </c>
      <c r="J681" t="s">
        <v>1440</v>
      </c>
      <c r="K681">
        <v>61</v>
      </c>
      <c r="L681" t="s">
        <v>63</v>
      </c>
      <c r="M681">
        <v>2</v>
      </c>
      <c r="N681" t="s">
        <v>91</v>
      </c>
      <c r="O681" t="s">
        <v>69</v>
      </c>
      <c r="P681" t="s">
        <v>50</v>
      </c>
      <c r="Q681" s="2">
        <v>48336.84</v>
      </c>
      <c r="R681" s="2">
        <v>392.59</v>
      </c>
      <c r="S681" t="s">
        <v>115</v>
      </c>
      <c r="T681" t="s">
        <v>37</v>
      </c>
      <c r="U681" t="s">
        <v>83</v>
      </c>
      <c r="V681">
        <v>2.9</v>
      </c>
      <c r="W681" t="s">
        <v>76</v>
      </c>
      <c r="X681" t="s">
        <v>84</v>
      </c>
      <c r="Y681" t="s">
        <v>72</v>
      </c>
    </row>
    <row r="682" spans="1:25" x14ac:dyDescent="0.3">
      <c r="A682" t="s">
        <v>1441</v>
      </c>
      <c r="B682" s="1">
        <v>45606</v>
      </c>
      <c r="C682" t="s">
        <v>43</v>
      </c>
      <c r="D682" t="s">
        <v>58</v>
      </c>
      <c r="E682" t="s">
        <v>120</v>
      </c>
      <c r="F682" t="s">
        <v>28</v>
      </c>
      <c r="G682" t="s">
        <v>29</v>
      </c>
      <c r="H682" t="s">
        <v>86</v>
      </c>
      <c r="I682">
        <v>12</v>
      </c>
      <c r="J682" t="s">
        <v>1442</v>
      </c>
      <c r="K682">
        <v>28</v>
      </c>
      <c r="L682" t="s">
        <v>32</v>
      </c>
      <c r="M682">
        <v>4</v>
      </c>
      <c r="N682" t="s">
        <v>48</v>
      </c>
      <c r="O682" t="s">
        <v>69</v>
      </c>
      <c r="P682" t="s">
        <v>50</v>
      </c>
      <c r="Q682" s="2">
        <v>41456.92</v>
      </c>
      <c r="R682" s="2">
        <v>2913.01</v>
      </c>
      <c r="S682" t="s">
        <v>36</v>
      </c>
      <c r="T682" t="s">
        <v>52</v>
      </c>
      <c r="U682" t="s">
        <v>53</v>
      </c>
      <c r="V682">
        <v>4.8</v>
      </c>
      <c r="W682" t="s">
        <v>103</v>
      </c>
      <c r="X682" t="s">
        <v>55</v>
      </c>
      <c r="Y682" t="s">
        <v>41</v>
      </c>
    </row>
    <row r="683" spans="1:25" x14ac:dyDescent="0.3">
      <c r="A683" t="s">
        <v>1443</v>
      </c>
      <c r="B683" s="1">
        <v>45607</v>
      </c>
      <c r="C683" t="s">
        <v>43</v>
      </c>
      <c r="D683" t="s">
        <v>58</v>
      </c>
      <c r="E683" t="s">
        <v>4085</v>
      </c>
      <c r="F683" t="s">
        <v>60</v>
      </c>
      <c r="G683" t="s">
        <v>29</v>
      </c>
      <c r="H683" t="s">
        <v>59</v>
      </c>
      <c r="I683">
        <v>11</v>
      </c>
      <c r="J683" t="s">
        <v>1444</v>
      </c>
      <c r="K683">
        <v>59</v>
      </c>
      <c r="L683" t="s">
        <v>32</v>
      </c>
      <c r="M683">
        <v>1</v>
      </c>
      <c r="N683" t="s">
        <v>64</v>
      </c>
      <c r="O683" t="s">
        <v>81</v>
      </c>
      <c r="P683" t="s">
        <v>82</v>
      </c>
      <c r="Q683" s="2">
        <v>5633.89</v>
      </c>
      <c r="R683" s="2">
        <v>3199.99</v>
      </c>
      <c r="S683" t="s">
        <v>51</v>
      </c>
      <c r="T683" t="s">
        <v>52</v>
      </c>
      <c r="U683" t="s">
        <v>83</v>
      </c>
      <c r="V683">
        <v>2.2999999999999998</v>
      </c>
      <c r="W683" t="s">
        <v>76</v>
      </c>
      <c r="X683" t="s">
        <v>55</v>
      </c>
      <c r="Y683" t="s">
        <v>72</v>
      </c>
    </row>
    <row r="684" spans="1:25" x14ac:dyDescent="0.3">
      <c r="A684" t="s">
        <v>1445</v>
      </c>
      <c r="B684" s="1">
        <v>45608</v>
      </c>
      <c r="C684" t="s">
        <v>43</v>
      </c>
      <c r="D684" t="s">
        <v>58</v>
      </c>
      <c r="E684" t="s">
        <v>4085</v>
      </c>
      <c r="F684" t="s">
        <v>60</v>
      </c>
      <c r="G684" t="s">
        <v>29</v>
      </c>
      <c r="H684" t="s">
        <v>46</v>
      </c>
      <c r="I684">
        <v>9</v>
      </c>
      <c r="J684" t="s">
        <v>1446</v>
      </c>
      <c r="K684">
        <v>64</v>
      </c>
      <c r="L684" t="s">
        <v>63</v>
      </c>
      <c r="M684">
        <v>1</v>
      </c>
      <c r="N684" t="s">
        <v>33</v>
      </c>
      <c r="O684" t="s">
        <v>69</v>
      </c>
      <c r="P684" t="s">
        <v>82</v>
      </c>
      <c r="Q684" s="2">
        <v>45774.84</v>
      </c>
      <c r="R684" s="2">
        <v>4.29</v>
      </c>
      <c r="S684" t="s">
        <v>94</v>
      </c>
      <c r="T684" t="s">
        <v>52</v>
      </c>
      <c r="U684" t="s">
        <v>53</v>
      </c>
      <c r="V684">
        <v>4.5999999999999996</v>
      </c>
      <c r="W684" t="s">
        <v>103</v>
      </c>
      <c r="X684" t="s">
        <v>40</v>
      </c>
      <c r="Y684" t="s">
        <v>41</v>
      </c>
    </row>
    <row r="685" spans="1:25" x14ac:dyDescent="0.3">
      <c r="A685" t="s">
        <v>1447</v>
      </c>
      <c r="B685" s="1">
        <v>45609</v>
      </c>
      <c r="C685" t="s">
        <v>78</v>
      </c>
      <c r="D685" t="s">
        <v>58</v>
      </c>
      <c r="E685" t="s">
        <v>120</v>
      </c>
      <c r="F685" t="s">
        <v>28</v>
      </c>
      <c r="G685" t="s">
        <v>29</v>
      </c>
      <c r="H685" t="s">
        <v>86</v>
      </c>
      <c r="I685">
        <v>14</v>
      </c>
      <c r="J685" t="s">
        <v>1448</v>
      </c>
      <c r="K685">
        <v>22</v>
      </c>
      <c r="L685" t="s">
        <v>80</v>
      </c>
      <c r="M685">
        <v>7</v>
      </c>
      <c r="N685" t="s">
        <v>48</v>
      </c>
      <c r="O685" t="s">
        <v>69</v>
      </c>
      <c r="P685" t="s">
        <v>82</v>
      </c>
      <c r="Q685" s="2">
        <v>15199.13</v>
      </c>
      <c r="R685" s="2">
        <v>4899.59</v>
      </c>
      <c r="S685" t="s">
        <v>51</v>
      </c>
      <c r="T685" t="s">
        <v>37</v>
      </c>
      <c r="U685" t="s">
        <v>83</v>
      </c>
      <c r="V685">
        <v>4.9000000000000004</v>
      </c>
      <c r="W685" t="s">
        <v>103</v>
      </c>
      <c r="X685" t="s">
        <v>84</v>
      </c>
      <c r="Y685" t="s">
        <v>41</v>
      </c>
    </row>
    <row r="686" spans="1:25" x14ac:dyDescent="0.3">
      <c r="A686" t="s">
        <v>1449</v>
      </c>
      <c r="B686" s="1">
        <v>45610</v>
      </c>
      <c r="C686" t="s">
        <v>78</v>
      </c>
      <c r="D686" t="s">
        <v>58</v>
      </c>
      <c r="E686" t="s">
        <v>89</v>
      </c>
      <c r="F686" t="s">
        <v>28</v>
      </c>
      <c r="G686" t="s">
        <v>29</v>
      </c>
      <c r="H686" t="s">
        <v>61</v>
      </c>
      <c r="I686">
        <v>10</v>
      </c>
      <c r="J686" t="s">
        <v>1450</v>
      </c>
      <c r="K686">
        <v>42</v>
      </c>
      <c r="L686" t="s">
        <v>80</v>
      </c>
      <c r="M686">
        <v>6</v>
      </c>
      <c r="N686" t="s">
        <v>33</v>
      </c>
      <c r="O686" t="s">
        <v>69</v>
      </c>
      <c r="P686" t="s">
        <v>35</v>
      </c>
      <c r="Q686" s="2">
        <v>36766.959999999999</v>
      </c>
      <c r="R686" s="2">
        <v>2032.84</v>
      </c>
      <c r="S686" t="s">
        <v>51</v>
      </c>
      <c r="T686" t="s">
        <v>52</v>
      </c>
      <c r="U686" t="s">
        <v>38</v>
      </c>
      <c r="V686">
        <v>2</v>
      </c>
      <c r="W686" t="s">
        <v>76</v>
      </c>
      <c r="X686" t="s">
        <v>40</v>
      </c>
      <c r="Y686" t="s">
        <v>72</v>
      </c>
    </row>
    <row r="687" spans="1:25" x14ac:dyDescent="0.3">
      <c r="A687" t="s">
        <v>1451</v>
      </c>
      <c r="B687" s="1">
        <v>45611</v>
      </c>
      <c r="C687" t="s">
        <v>57</v>
      </c>
      <c r="D687" t="s">
        <v>44</v>
      </c>
      <c r="E687" t="s">
        <v>4085</v>
      </c>
      <c r="F687" t="s">
        <v>60</v>
      </c>
      <c r="G687" t="s">
        <v>29</v>
      </c>
      <c r="H687" t="s">
        <v>59</v>
      </c>
      <c r="I687">
        <v>5</v>
      </c>
      <c r="J687" t="s">
        <v>1452</v>
      </c>
      <c r="K687">
        <v>66</v>
      </c>
      <c r="L687" t="s">
        <v>80</v>
      </c>
      <c r="M687">
        <v>4</v>
      </c>
      <c r="N687" t="s">
        <v>64</v>
      </c>
      <c r="O687" t="s">
        <v>69</v>
      </c>
      <c r="P687" t="s">
        <v>35</v>
      </c>
      <c r="Q687" s="2">
        <v>29888.29</v>
      </c>
      <c r="R687" s="2">
        <v>2586.7199999999998</v>
      </c>
      <c r="S687" t="s">
        <v>94</v>
      </c>
      <c r="T687" t="s">
        <v>52</v>
      </c>
      <c r="U687" t="s">
        <v>53</v>
      </c>
      <c r="V687">
        <v>3.1</v>
      </c>
      <c r="W687" t="s">
        <v>76</v>
      </c>
      <c r="X687" t="s">
        <v>65</v>
      </c>
      <c r="Y687" t="s">
        <v>41</v>
      </c>
    </row>
    <row r="688" spans="1:25" x14ac:dyDescent="0.3">
      <c r="A688" t="s">
        <v>1453</v>
      </c>
      <c r="B688" s="1">
        <v>45612</v>
      </c>
      <c r="C688" t="s">
        <v>117</v>
      </c>
      <c r="D688" t="s">
        <v>4083</v>
      </c>
      <c r="E688" t="s">
        <v>89</v>
      </c>
      <c r="F688" t="s">
        <v>28</v>
      </c>
      <c r="G688" t="s">
        <v>29</v>
      </c>
      <c r="H688" t="s">
        <v>61</v>
      </c>
      <c r="I688">
        <v>13</v>
      </c>
      <c r="J688" t="s">
        <v>1454</v>
      </c>
      <c r="K688">
        <v>54</v>
      </c>
      <c r="L688" t="s">
        <v>32</v>
      </c>
      <c r="M688">
        <v>2</v>
      </c>
      <c r="N688" t="s">
        <v>64</v>
      </c>
      <c r="O688" t="s">
        <v>81</v>
      </c>
      <c r="P688" t="s">
        <v>50</v>
      </c>
      <c r="Q688" s="2">
        <v>29156.53</v>
      </c>
      <c r="R688" s="2">
        <v>974.02</v>
      </c>
      <c r="S688" t="s">
        <v>115</v>
      </c>
      <c r="T688" t="s">
        <v>71</v>
      </c>
      <c r="U688" t="s">
        <v>83</v>
      </c>
      <c r="V688">
        <v>3.1</v>
      </c>
      <c r="W688" t="s">
        <v>39</v>
      </c>
      <c r="X688" t="s">
        <v>106</v>
      </c>
      <c r="Y688" t="s">
        <v>72</v>
      </c>
    </row>
    <row r="689" spans="1:25" x14ac:dyDescent="0.3">
      <c r="A689" t="s">
        <v>1455</v>
      </c>
      <c r="B689" s="1">
        <v>45613</v>
      </c>
      <c r="C689" t="s">
        <v>43</v>
      </c>
      <c r="D689" t="s">
        <v>58</v>
      </c>
      <c r="E689" t="s">
        <v>89</v>
      </c>
      <c r="F689" t="s">
        <v>28</v>
      </c>
      <c r="G689" t="s">
        <v>29</v>
      </c>
      <c r="H689" t="s">
        <v>61</v>
      </c>
      <c r="I689">
        <v>7</v>
      </c>
      <c r="J689" t="s">
        <v>1456</v>
      </c>
      <c r="K689">
        <v>51</v>
      </c>
      <c r="L689" t="s">
        <v>63</v>
      </c>
      <c r="M689">
        <v>1</v>
      </c>
      <c r="N689" t="s">
        <v>64</v>
      </c>
      <c r="O689" t="s">
        <v>49</v>
      </c>
      <c r="P689" t="s">
        <v>70</v>
      </c>
      <c r="Q689" s="2">
        <v>37306.46</v>
      </c>
      <c r="R689" s="2">
        <v>3054.59</v>
      </c>
      <c r="S689" t="s">
        <v>51</v>
      </c>
      <c r="T689" t="s">
        <v>52</v>
      </c>
      <c r="U689" t="s">
        <v>83</v>
      </c>
      <c r="V689">
        <v>4.5</v>
      </c>
      <c r="W689" t="s">
        <v>103</v>
      </c>
      <c r="X689" t="s">
        <v>55</v>
      </c>
      <c r="Y689" t="s">
        <v>41</v>
      </c>
    </row>
    <row r="690" spans="1:25" x14ac:dyDescent="0.3">
      <c r="A690" t="s">
        <v>1457</v>
      </c>
      <c r="B690" s="1">
        <v>45614</v>
      </c>
      <c r="C690" t="s">
        <v>117</v>
      </c>
      <c r="D690" t="s">
        <v>4083</v>
      </c>
      <c r="E690" t="s">
        <v>4084</v>
      </c>
      <c r="F690" t="s">
        <v>60</v>
      </c>
      <c r="G690" t="s">
        <v>29</v>
      </c>
      <c r="H690" t="s">
        <v>27</v>
      </c>
      <c r="I690">
        <v>4</v>
      </c>
      <c r="J690" t="s">
        <v>1458</v>
      </c>
      <c r="K690">
        <v>26</v>
      </c>
      <c r="L690" t="s">
        <v>80</v>
      </c>
      <c r="M690">
        <v>5</v>
      </c>
      <c r="N690" t="s">
        <v>48</v>
      </c>
      <c r="O690" t="s">
        <v>34</v>
      </c>
      <c r="P690" t="s">
        <v>82</v>
      </c>
      <c r="Q690" s="2">
        <v>14323.17</v>
      </c>
      <c r="R690" s="2">
        <v>4053.1</v>
      </c>
      <c r="S690" t="s">
        <v>36</v>
      </c>
      <c r="T690" t="s">
        <v>71</v>
      </c>
      <c r="U690" t="s">
        <v>83</v>
      </c>
      <c r="V690">
        <v>2.2000000000000002</v>
      </c>
      <c r="W690" t="s">
        <v>76</v>
      </c>
      <c r="X690" t="s">
        <v>106</v>
      </c>
      <c r="Y690" t="s">
        <v>41</v>
      </c>
    </row>
    <row r="691" spans="1:25" x14ac:dyDescent="0.3">
      <c r="A691" t="s">
        <v>1459</v>
      </c>
      <c r="B691" s="1">
        <v>45615</v>
      </c>
      <c r="C691" t="s">
        <v>117</v>
      </c>
      <c r="D691" t="s">
        <v>4083</v>
      </c>
      <c r="E691" t="s">
        <v>120</v>
      </c>
      <c r="F691" t="s">
        <v>28</v>
      </c>
      <c r="G691" t="s">
        <v>29</v>
      </c>
      <c r="H691" t="s">
        <v>86</v>
      </c>
      <c r="I691">
        <v>12</v>
      </c>
      <c r="J691" t="s">
        <v>1460</v>
      </c>
      <c r="K691">
        <v>23</v>
      </c>
      <c r="L691" t="s">
        <v>63</v>
      </c>
      <c r="M691">
        <v>5</v>
      </c>
      <c r="N691" t="s">
        <v>64</v>
      </c>
      <c r="O691" t="s">
        <v>34</v>
      </c>
      <c r="P691" t="s">
        <v>35</v>
      </c>
      <c r="Q691" s="2">
        <v>12156.13</v>
      </c>
      <c r="R691" s="2">
        <v>2929.46</v>
      </c>
      <c r="S691" t="s">
        <v>51</v>
      </c>
      <c r="T691" t="s">
        <v>37</v>
      </c>
      <c r="U691" t="s">
        <v>53</v>
      </c>
      <c r="V691">
        <v>4.2</v>
      </c>
      <c r="W691" t="s">
        <v>39</v>
      </c>
      <c r="X691" t="s">
        <v>65</v>
      </c>
      <c r="Y691" t="s">
        <v>41</v>
      </c>
    </row>
    <row r="692" spans="1:25" x14ac:dyDescent="0.3">
      <c r="A692" t="s">
        <v>1461</v>
      </c>
      <c r="B692" s="1">
        <v>45616</v>
      </c>
      <c r="C692" t="s">
        <v>57</v>
      </c>
      <c r="D692" t="s">
        <v>44</v>
      </c>
      <c r="E692" t="s">
        <v>89</v>
      </c>
      <c r="F692" t="s">
        <v>28</v>
      </c>
      <c r="G692" t="s">
        <v>29</v>
      </c>
      <c r="H692" t="s">
        <v>61</v>
      </c>
      <c r="I692">
        <v>9</v>
      </c>
      <c r="J692" t="s">
        <v>1462</v>
      </c>
      <c r="K692">
        <v>35</v>
      </c>
      <c r="L692" t="s">
        <v>63</v>
      </c>
      <c r="M692">
        <v>4</v>
      </c>
      <c r="N692" t="s">
        <v>48</v>
      </c>
      <c r="O692" t="s">
        <v>49</v>
      </c>
      <c r="P692" t="s">
        <v>70</v>
      </c>
      <c r="Q692" s="2">
        <v>34336.07</v>
      </c>
      <c r="R692" s="2">
        <v>3940.18</v>
      </c>
      <c r="S692" t="s">
        <v>115</v>
      </c>
      <c r="T692" t="s">
        <v>52</v>
      </c>
      <c r="U692" t="s">
        <v>53</v>
      </c>
      <c r="V692">
        <v>4.9000000000000004</v>
      </c>
      <c r="W692" t="s">
        <v>103</v>
      </c>
      <c r="X692" t="s">
        <v>65</v>
      </c>
      <c r="Y692" t="s">
        <v>72</v>
      </c>
    </row>
    <row r="693" spans="1:25" x14ac:dyDescent="0.3">
      <c r="A693" t="s">
        <v>1463</v>
      </c>
      <c r="B693" s="1">
        <v>45617</v>
      </c>
      <c r="C693" t="s">
        <v>43</v>
      </c>
      <c r="D693" t="s">
        <v>58</v>
      </c>
      <c r="E693" t="s">
        <v>45</v>
      </c>
      <c r="F693" t="s">
        <v>28</v>
      </c>
      <c r="G693" t="s">
        <v>29</v>
      </c>
      <c r="H693" t="s">
        <v>67</v>
      </c>
      <c r="I693">
        <v>10</v>
      </c>
      <c r="J693" t="s">
        <v>1464</v>
      </c>
      <c r="K693">
        <v>31</v>
      </c>
      <c r="L693" t="s">
        <v>32</v>
      </c>
      <c r="M693">
        <v>2</v>
      </c>
      <c r="N693" t="s">
        <v>48</v>
      </c>
      <c r="O693" t="s">
        <v>34</v>
      </c>
      <c r="P693" t="s">
        <v>82</v>
      </c>
      <c r="Q693" s="2">
        <v>18076.07</v>
      </c>
      <c r="R693" s="2">
        <v>3655.54</v>
      </c>
      <c r="S693" t="s">
        <v>36</v>
      </c>
      <c r="T693" t="s">
        <v>71</v>
      </c>
      <c r="U693" t="s">
        <v>83</v>
      </c>
      <c r="V693">
        <v>4.4000000000000004</v>
      </c>
      <c r="W693" t="s">
        <v>54</v>
      </c>
      <c r="X693" t="s">
        <v>84</v>
      </c>
      <c r="Y693" t="s">
        <v>72</v>
      </c>
    </row>
    <row r="694" spans="1:25" x14ac:dyDescent="0.3">
      <c r="A694" t="s">
        <v>1465</v>
      </c>
      <c r="B694" s="1">
        <v>45618</v>
      </c>
      <c r="C694" t="s">
        <v>43</v>
      </c>
      <c r="D694" t="s">
        <v>58</v>
      </c>
      <c r="E694" t="s">
        <v>120</v>
      </c>
      <c r="F694" t="s">
        <v>28</v>
      </c>
      <c r="G694" t="s">
        <v>29</v>
      </c>
      <c r="H694" t="s">
        <v>86</v>
      </c>
      <c r="I694">
        <v>11</v>
      </c>
      <c r="J694" t="s">
        <v>1466</v>
      </c>
      <c r="K694">
        <v>36</v>
      </c>
      <c r="L694" t="s">
        <v>80</v>
      </c>
      <c r="M694">
        <v>4</v>
      </c>
      <c r="N694" t="s">
        <v>91</v>
      </c>
      <c r="O694" t="s">
        <v>34</v>
      </c>
      <c r="P694" t="s">
        <v>70</v>
      </c>
      <c r="Q694" s="2">
        <v>48827.76</v>
      </c>
      <c r="R694" s="2">
        <v>1188.29</v>
      </c>
      <c r="S694" t="s">
        <v>36</v>
      </c>
      <c r="T694" t="s">
        <v>71</v>
      </c>
      <c r="U694" t="s">
        <v>38</v>
      </c>
      <c r="V694">
        <v>4.5999999999999996</v>
      </c>
      <c r="W694" t="s">
        <v>103</v>
      </c>
      <c r="X694" t="s">
        <v>40</v>
      </c>
      <c r="Y694" t="s">
        <v>41</v>
      </c>
    </row>
    <row r="695" spans="1:25" x14ac:dyDescent="0.3">
      <c r="A695" t="s">
        <v>1467</v>
      </c>
      <c r="B695" s="1">
        <v>45619</v>
      </c>
      <c r="C695" t="s">
        <v>26</v>
      </c>
      <c r="D695" t="s">
        <v>26</v>
      </c>
      <c r="E695" t="s">
        <v>4085</v>
      </c>
      <c r="F695" t="s">
        <v>60</v>
      </c>
      <c r="G695" t="s">
        <v>29</v>
      </c>
      <c r="H695" t="s">
        <v>46</v>
      </c>
      <c r="I695">
        <v>13</v>
      </c>
      <c r="J695" t="s">
        <v>1468</v>
      </c>
      <c r="K695">
        <v>31</v>
      </c>
      <c r="L695" t="s">
        <v>63</v>
      </c>
      <c r="M695">
        <v>1</v>
      </c>
      <c r="N695" t="s">
        <v>48</v>
      </c>
      <c r="O695" t="s">
        <v>49</v>
      </c>
      <c r="P695" t="s">
        <v>82</v>
      </c>
      <c r="Q695" s="2">
        <v>25318.03</v>
      </c>
      <c r="R695" s="2">
        <v>2179.06</v>
      </c>
      <c r="S695" t="s">
        <v>36</v>
      </c>
      <c r="T695" t="s">
        <v>71</v>
      </c>
      <c r="U695" t="s">
        <v>53</v>
      </c>
      <c r="V695">
        <v>3.8</v>
      </c>
      <c r="W695" t="s">
        <v>39</v>
      </c>
      <c r="X695" t="s">
        <v>55</v>
      </c>
      <c r="Y695" t="s">
        <v>41</v>
      </c>
    </row>
    <row r="696" spans="1:25" x14ac:dyDescent="0.3">
      <c r="A696" t="s">
        <v>1469</v>
      </c>
      <c r="B696" s="1">
        <v>45620</v>
      </c>
      <c r="C696" t="s">
        <v>117</v>
      </c>
      <c r="D696" t="s">
        <v>4083</v>
      </c>
      <c r="E696" t="s">
        <v>4084</v>
      </c>
      <c r="F696" t="s">
        <v>60</v>
      </c>
      <c r="G696" t="s">
        <v>29</v>
      </c>
      <c r="H696" t="s">
        <v>27</v>
      </c>
      <c r="I696">
        <v>13</v>
      </c>
      <c r="J696" t="s">
        <v>1470</v>
      </c>
      <c r="K696">
        <v>57</v>
      </c>
      <c r="L696" t="s">
        <v>32</v>
      </c>
      <c r="M696">
        <v>7</v>
      </c>
      <c r="N696" t="s">
        <v>48</v>
      </c>
      <c r="O696" t="s">
        <v>34</v>
      </c>
      <c r="P696" t="s">
        <v>70</v>
      </c>
      <c r="Q696" s="2">
        <v>10021.870000000001</v>
      </c>
      <c r="R696" s="2">
        <v>743.13</v>
      </c>
      <c r="S696" t="s">
        <v>36</v>
      </c>
      <c r="T696" t="s">
        <v>37</v>
      </c>
      <c r="U696" t="s">
        <v>53</v>
      </c>
      <c r="V696">
        <v>4.5999999999999996</v>
      </c>
      <c r="W696" t="s">
        <v>103</v>
      </c>
      <c r="X696" t="s">
        <v>55</v>
      </c>
      <c r="Y696" t="s">
        <v>72</v>
      </c>
    </row>
    <row r="697" spans="1:25" x14ac:dyDescent="0.3">
      <c r="A697" t="s">
        <v>1471</v>
      </c>
      <c r="B697" s="1">
        <v>45621</v>
      </c>
      <c r="C697" t="s">
        <v>117</v>
      </c>
      <c r="D697" t="s">
        <v>4083</v>
      </c>
      <c r="E697" t="s">
        <v>4085</v>
      </c>
      <c r="F697" t="s">
        <v>60</v>
      </c>
      <c r="G697" t="s">
        <v>29</v>
      </c>
      <c r="H697" t="s">
        <v>46</v>
      </c>
      <c r="I697">
        <v>9</v>
      </c>
      <c r="J697" t="s">
        <v>1472</v>
      </c>
      <c r="K697">
        <v>34</v>
      </c>
      <c r="L697" t="s">
        <v>32</v>
      </c>
      <c r="M697">
        <v>7</v>
      </c>
      <c r="N697" t="s">
        <v>91</v>
      </c>
      <c r="O697" t="s">
        <v>34</v>
      </c>
      <c r="P697" t="s">
        <v>50</v>
      </c>
      <c r="Q697" s="2">
        <v>35861.68</v>
      </c>
      <c r="R697" s="2">
        <v>209.68</v>
      </c>
      <c r="S697" t="s">
        <v>94</v>
      </c>
      <c r="T697" t="s">
        <v>52</v>
      </c>
      <c r="U697" t="s">
        <v>38</v>
      </c>
      <c r="V697">
        <v>1.7</v>
      </c>
      <c r="W697" t="s">
        <v>124</v>
      </c>
      <c r="X697" t="s">
        <v>106</v>
      </c>
      <c r="Y697" t="s">
        <v>41</v>
      </c>
    </row>
    <row r="698" spans="1:25" x14ac:dyDescent="0.3">
      <c r="A698" t="s">
        <v>1473</v>
      </c>
      <c r="B698" s="1">
        <v>45622</v>
      </c>
      <c r="C698" t="s">
        <v>78</v>
      </c>
      <c r="D698" t="s">
        <v>58</v>
      </c>
      <c r="E698" t="s">
        <v>4085</v>
      </c>
      <c r="F698" t="s">
        <v>60</v>
      </c>
      <c r="G698" t="s">
        <v>29</v>
      </c>
      <c r="H698" t="s">
        <v>46</v>
      </c>
      <c r="I698">
        <v>12</v>
      </c>
      <c r="J698" t="s">
        <v>1474</v>
      </c>
      <c r="K698">
        <v>52</v>
      </c>
      <c r="L698" t="s">
        <v>32</v>
      </c>
      <c r="M698">
        <v>5</v>
      </c>
      <c r="N698" t="s">
        <v>33</v>
      </c>
      <c r="O698" t="s">
        <v>49</v>
      </c>
      <c r="P698" t="s">
        <v>82</v>
      </c>
      <c r="Q698" s="2">
        <v>18777.169999999998</v>
      </c>
      <c r="R698" s="2">
        <v>315.33999999999997</v>
      </c>
      <c r="S698" t="s">
        <v>94</v>
      </c>
      <c r="T698" t="s">
        <v>37</v>
      </c>
      <c r="U698" t="s">
        <v>75</v>
      </c>
      <c r="V698">
        <v>3.8</v>
      </c>
      <c r="W698" t="s">
        <v>54</v>
      </c>
      <c r="X698" t="s">
        <v>84</v>
      </c>
      <c r="Y698" t="s">
        <v>72</v>
      </c>
    </row>
    <row r="699" spans="1:25" x14ac:dyDescent="0.3">
      <c r="A699" t="s">
        <v>1475</v>
      </c>
      <c r="B699" s="1">
        <v>45623</v>
      </c>
      <c r="C699" t="s">
        <v>26</v>
      </c>
      <c r="D699" t="s">
        <v>26</v>
      </c>
      <c r="E699" t="s">
        <v>120</v>
      </c>
      <c r="F699" t="s">
        <v>28</v>
      </c>
      <c r="G699" t="s">
        <v>29</v>
      </c>
      <c r="H699" t="s">
        <v>86</v>
      </c>
      <c r="I699">
        <v>12</v>
      </c>
      <c r="J699" t="s">
        <v>1476</v>
      </c>
      <c r="K699">
        <v>46</v>
      </c>
      <c r="L699" t="s">
        <v>80</v>
      </c>
      <c r="M699">
        <v>7</v>
      </c>
      <c r="N699" t="s">
        <v>91</v>
      </c>
      <c r="O699" t="s">
        <v>34</v>
      </c>
      <c r="P699" t="s">
        <v>82</v>
      </c>
      <c r="Q699" s="2">
        <v>11686.43</v>
      </c>
      <c r="R699" s="2">
        <v>4712.5</v>
      </c>
      <c r="S699" t="s">
        <v>94</v>
      </c>
      <c r="T699" t="s">
        <v>71</v>
      </c>
      <c r="U699" t="s">
        <v>38</v>
      </c>
      <c r="V699">
        <v>3.9</v>
      </c>
      <c r="W699" t="s">
        <v>54</v>
      </c>
      <c r="X699" t="s">
        <v>65</v>
      </c>
      <c r="Y699" t="s">
        <v>72</v>
      </c>
    </row>
    <row r="700" spans="1:25" x14ac:dyDescent="0.3">
      <c r="A700" t="s">
        <v>1477</v>
      </c>
      <c r="B700" s="1">
        <v>45624</v>
      </c>
      <c r="C700" t="s">
        <v>78</v>
      </c>
      <c r="D700" t="s">
        <v>58</v>
      </c>
      <c r="E700" t="s">
        <v>4085</v>
      </c>
      <c r="F700" t="s">
        <v>60</v>
      </c>
      <c r="G700" t="s">
        <v>29</v>
      </c>
      <c r="H700" t="s">
        <v>59</v>
      </c>
      <c r="I700">
        <v>10</v>
      </c>
      <c r="J700" t="s">
        <v>1478</v>
      </c>
      <c r="K700">
        <v>59</v>
      </c>
      <c r="L700" t="s">
        <v>80</v>
      </c>
      <c r="M700">
        <v>3</v>
      </c>
      <c r="N700" t="s">
        <v>91</v>
      </c>
      <c r="O700" t="s">
        <v>69</v>
      </c>
      <c r="P700" t="s">
        <v>50</v>
      </c>
      <c r="Q700" s="2">
        <v>24027.05</v>
      </c>
      <c r="R700" s="2">
        <v>4922.6899999999996</v>
      </c>
      <c r="S700" t="s">
        <v>36</v>
      </c>
      <c r="T700" t="s">
        <v>37</v>
      </c>
      <c r="U700" t="s">
        <v>83</v>
      </c>
      <c r="V700">
        <v>2.8</v>
      </c>
      <c r="W700" t="s">
        <v>76</v>
      </c>
      <c r="X700" t="s">
        <v>84</v>
      </c>
      <c r="Y700" t="s">
        <v>72</v>
      </c>
    </row>
    <row r="701" spans="1:25" x14ac:dyDescent="0.3">
      <c r="A701" t="s">
        <v>1479</v>
      </c>
      <c r="B701" s="1">
        <v>45625</v>
      </c>
      <c r="C701" t="s">
        <v>78</v>
      </c>
      <c r="D701" t="s">
        <v>58</v>
      </c>
      <c r="E701" t="s">
        <v>89</v>
      </c>
      <c r="F701" t="s">
        <v>28</v>
      </c>
      <c r="G701" t="s">
        <v>29</v>
      </c>
      <c r="H701" t="s">
        <v>61</v>
      </c>
      <c r="I701">
        <v>14</v>
      </c>
      <c r="J701" t="s">
        <v>1480</v>
      </c>
      <c r="K701">
        <v>34</v>
      </c>
      <c r="L701" t="s">
        <v>32</v>
      </c>
      <c r="M701">
        <v>4</v>
      </c>
      <c r="N701" t="s">
        <v>64</v>
      </c>
      <c r="O701" t="s">
        <v>49</v>
      </c>
      <c r="P701" t="s">
        <v>82</v>
      </c>
      <c r="Q701" s="2">
        <v>48390</v>
      </c>
      <c r="R701" s="2">
        <v>474.89</v>
      </c>
      <c r="S701" t="s">
        <v>115</v>
      </c>
      <c r="T701" t="s">
        <v>37</v>
      </c>
      <c r="U701" t="s">
        <v>53</v>
      </c>
      <c r="V701">
        <v>1.3</v>
      </c>
      <c r="W701" t="s">
        <v>124</v>
      </c>
      <c r="X701" t="s">
        <v>55</v>
      </c>
      <c r="Y701" t="s">
        <v>72</v>
      </c>
    </row>
    <row r="702" spans="1:25" x14ac:dyDescent="0.3">
      <c r="A702" t="s">
        <v>1481</v>
      </c>
      <c r="B702" s="1">
        <v>45626</v>
      </c>
      <c r="C702" t="s">
        <v>78</v>
      </c>
      <c r="D702" t="s">
        <v>58</v>
      </c>
      <c r="E702" t="s">
        <v>4085</v>
      </c>
      <c r="F702" t="s">
        <v>60</v>
      </c>
      <c r="G702" t="s">
        <v>29</v>
      </c>
      <c r="H702" t="s">
        <v>46</v>
      </c>
      <c r="I702">
        <v>11</v>
      </c>
      <c r="J702" t="s">
        <v>1482</v>
      </c>
      <c r="K702">
        <v>60</v>
      </c>
      <c r="L702" t="s">
        <v>80</v>
      </c>
      <c r="M702">
        <v>7</v>
      </c>
      <c r="N702" t="s">
        <v>64</v>
      </c>
      <c r="O702" t="s">
        <v>81</v>
      </c>
      <c r="P702" t="s">
        <v>82</v>
      </c>
      <c r="Q702" s="2">
        <v>23514.38</v>
      </c>
      <c r="R702" s="2">
        <v>1675.97</v>
      </c>
      <c r="S702" t="s">
        <v>51</v>
      </c>
      <c r="T702" t="s">
        <v>71</v>
      </c>
      <c r="U702" t="s">
        <v>53</v>
      </c>
      <c r="V702">
        <v>3.5</v>
      </c>
      <c r="W702" t="s">
        <v>54</v>
      </c>
      <c r="X702" t="s">
        <v>40</v>
      </c>
      <c r="Y702" t="s">
        <v>41</v>
      </c>
    </row>
    <row r="703" spans="1:25" x14ac:dyDescent="0.3">
      <c r="A703" t="s">
        <v>1483</v>
      </c>
      <c r="B703" s="1">
        <v>45627</v>
      </c>
      <c r="C703" t="s">
        <v>57</v>
      </c>
      <c r="D703" t="s">
        <v>44</v>
      </c>
      <c r="E703" t="s">
        <v>4084</v>
      </c>
      <c r="F703" t="s">
        <v>60</v>
      </c>
      <c r="G703" t="s">
        <v>29</v>
      </c>
      <c r="H703" t="s">
        <v>30</v>
      </c>
      <c r="I703">
        <v>8</v>
      </c>
      <c r="J703" t="s">
        <v>1484</v>
      </c>
      <c r="K703">
        <v>25</v>
      </c>
      <c r="L703" t="s">
        <v>80</v>
      </c>
      <c r="M703">
        <v>3</v>
      </c>
      <c r="N703" t="s">
        <v>91</v>
      </c>
      <c r="O703" t="s">
        <v>34</v>
      </c>
      <c r="P703" t="s">
        <v>35</v>
      </c>
      <c r="Q703" s="2">
        <v>20630.02</v>
      </c>
      <c r="R703" s="2">
        <v>572.1</v>
      </c>
      <c r="S703" t="s">
        <v>36</v>
      </c>
      <c r="T703" t="s">
        <v>52</v>
      </c>
      <c r="U703" t="s">
        <v>53</v>
      </c>
      <c r="V703">
        <v>1.2</v>
      </c>
      <c r="W703" t="s">
        <v>124</v>
      </c>
      <c r="X703" t="s">
        <v>106</v>
      </c>
      <c r="Y703" t="s">
        <v>72</v>
      </c>
    </row>
    <row r="704" spans="1:25" x14ac:dyDescent="0.3">
      <c r="A704" t="s">
        <v>1485</v>
      </c>
      <c r="B704" s="1">
        <v>45628</v>
      </c>
      <c r="C704" t="s">
        <v>57</v>
      </c>
      <c r="D704" t="s">
        <v>44</v>
      </c>
      <c r="E704" t="s">
        <v>4084</v>
      </c>
      <c r="F704" t="s">
        <v>60</v>
      </c>
      <c r="G704" t="s">
        <v>29</v>
      </c>
      <c r="H704" t="s">
        <v>27</v>
      </c>
      <c r="I704">
        <v>14</v>
      </c>
      <c r="J704" t="s">
        <v>1486</v>
      </c>
      <c r="K704">
        <v>18</v>
      </c>
      <c r="L704" t="s">
        <v>63</v>
      </c>
      <c r="M704">
        <v>3</v>
      </c>
      <c r="N704" t="s">
        <v>64</v>
      </c>
      <c r="O704" t="s">
        <v>81</v>
      </c>
      <c r="P704" t="s">
        <v>50</v>
      </c>
      <c r="Q704" s="2">
        <v>25002.9</v>
      </c>
      <c r="R704" s="2">
        <v>4171.1400000000003</v>
      </c>
      <c r="S704" t="s">
        <v>115</v>
      </c>
      <c r="T704" t="s">
        <v>52</v>
      </c>
      <c r="U704" t="s">
        <v>53</v>
      </c>
      <c r="V704">
        <v>2.5</v>
      </c>
      <c r="W704" t="s">
        <v>76</v>
      </c>
      <c r="X704" t="s">
        <v>65</v>
      </c>
      <c r="Y704" t="s">
        <v>72</v>
      </c>
    </row>
    <row r="705" spans="1:25" x14ac:dyDescent="0.3">
      <c r="A705" t="s">
        <v>1487</v>
      </c>
      <c r="B705" s="1">
        <v>45629</v>
      </c>
      <c r="C705" t="s">
        <v>78</v>
      </c>
      <c r="D705" t="s">
        <v>58</v>
      </c>
      <c r="E705" t="s">
        <v>45</v>
      </c>
      <c r="F705" t="s">
        <v>28</v>
      </c>
      <c r="G705" t="s">
        <v>29</v>
      </c>
      <c r="H705" t="s">
        <v>67</v>
      </c>
      <c r="I705">
        <v>14</v>
      </c>
      <c r="J705" t="s">
        <v>1488</v>
      </c>
      <c r="K705">
        <v>62</v>
      </c>
      <c r="L705" t="s">
        <v>32</v>
      </c>
      <c r="M705">
        <v>6</v>
      </c>
      <c r="N705" t="s">
        <v>91</v>
      </c>
      <c r="O705" t="s">
        <v>34</v>
      </c>
      <c r="P705" t="s">
        <v>35</v>
      </c>
      <c r="Q705" s="2">
        <v>5545.21</v>
      </c>
      <c r="R705" s="2">
        <v>2481.4899999999998</v>
      </c>
      <c r="S705" t="s">
        <v>51</v>
      </c>
      <c r="T705" t="s">
        <v>37</v>
      </c>
      <c r="U705" t="s">
        <v>75</v>
      </c>
      <c r="V705">
        <v>2.6</v>
      </c>
      <c r="W705" t="s">
        <v>76</v>
      </c>
      <c r="X705" t="s">
        <v>65</v>
      </c>
      <c r="Y705" t="s">
        <v>72</v>
      </c>
    </row>
    <row r="706" spans="1:25" x14ac:dyDescent="0.3">
      <c r="A706" t="s">
        <v>1489</v>
      </c>
      <c r="B706" s="1">
        <v>45630</v>
      </c>
      <c r="C706" t="s">
        <v>26</v>
      </c>
      <c r="D706" t="s">
        <v>26</v>
      </c>
      <c r="E706" t="s">
        <v>4084</v>
      </c>
      <c r="F706" t="s">
        <v>60</v>
      </c>
      <c r="G706" t="s">
        <v>29</v>
      </c>
      <c r="H706" t="s">
        <v>27</v>
      </c>
      <c r="I706">
        <v>12</v>
      </c>
      <c r="J706" t="s">
        <v>1490</v>
      </c>
      <c r="K706">
        <v>53</v>
      </c>
      <c r="L706" t="s">
        <v>32</v>
      </c>
      <c r="M706">
        <v>5</v>
      </c>
      <c r="N706" t="s">
        <v>64</v>
      </c>
      <c r="O706" t="s">
        <v>69</v>
      </c>
      <c r="P706" t="s">
        <v>50</v>
      </c>
      <c r="Q706" s="2">
        <v>10989.57</v>
      </c>
      <c r="R706" s="2">
        <v>3106.31</v>
      </c>
      <c r="S706" t="s">
        <v>36</v>
      </c>
      <c r="T706" t="s">
        <v>52</v>
      </c>
      <c r="U706" t="s">
        <v>53</v>
      </c>
      <c r="V706">
        <v>5</v>
      </c>
      <c r="W706" t="s">
        <v>103</v>
      </c>
      <c r="X706" t="s">
        <v>65</v>
      </c>
      <c r="Y706" t="s">
        <v>72</v>
      </c>
    </row>
    <row r="707" spans="1:25" x14ac:dyDescent="0.3">
      <c r="A707" t="s">
        <v>1491</v>
      </c>
      <c r="B707" s="1">
        <v>45631</v>
      </c>
      <c r="C707" t="s">
        <v>117</v>
      </c>
      <c r="D707" t="s">
        <v>4083</v>
      </c>
      <c r="E707" t="s">
        <v>4085</v>
      </c>
      <c r="F707" t="s">
        <v>60</v>
      </c>
      <c r="G707" t="s">
        <v>29</v>
      </c>
      <c r="H707" t="s">
        <v>59</v>
      </c>
      <c r="I707">
        <v>4</v>
      </c>
      <c r="J707" t="s">
        <v>1492</v>
      </c>
      <c r="K707">
        <v>24</v>
      </c>
      <c r="L707" t="s">
        <v>80</v>
      </c>
      <c r="M707">
        <v>4</v>
      </c>
      <c r="N707" t="s">
        <v>48</v>
      </c>
      <c r="O707" t="s">
        <v>49</v>
      </c>
      <c r="P707" t="s">
        <v>70</v>
      </c>
      <c r="Q707" s="2">
        <v>43235.360000000001</v>
      </c>
      <c r="R707" s="2">
        <v>2699.55</v>
      </c>
      <c r="S707" t="s">
        <v>51</v>
      </c>
      <c r="T707" t="s">
        <v>71</v>
      </c>
      <c r="U707" t="s">
        <v>53</v>
      </c>
      <c r="V707">
        <v>2.2000000000000002</v>
      </c>
      <c r="W707" t="s">
        <v>76</v>
      </c>
      <c r="X707" t="s">
        <v>40</v>
      </c>
      <c r="Y707" t="s">
        <v>41</v>
      </c>
    </row>
    <row r="708" spans="1:25" x14ac:dyDescent="0.3">
      <c r="A708" t="s">
        <v>1493</v>
      </c>
      <c r="B708" s="1">
        <v>45632</v>
      </c>
      <c r="C708" t="s">
        <v>26</v>
      </c>
      <c r="D708" t="s">
        <v>26</v>
      </c>
      <c r="E708" t="s">
        <v>4084</v>
      </c>
      <c r="F708" t="s">
        <v>60</v>
      </c>
      <c r="G708" t="s">
        <v>29</v>
      </c>
      <c r="H708" t="s">
        <v>27</v>
      </c>
      <c r="I708">
        <v>4</v>
      </c>
      <c r="J708" t="s">
        <v>1494</v>
      </c>
      <c r="K708">
        <v>63</v>
      </c>
      <c r="L708" t="s">
        <v>32</v>
      </c>
      <c r="M708">
        <v>3</v>
      </c>
      <c r="N708" t="s">
        <v>64</v>
      </c>
      <c r="O708" t="s">
        <v>81</v>
      </c>
      <c r="P708" t="s">
        <v>50</v>
      </c>
      <c r="Q708" s="2">
        <v>49011.55</v>
      </c>
      <c r="R708" s="2">
        <v>3551.27</v>
      </c>
      <c r="S708" t="s">
        <v>94</v>
      </c>
      <c r="T708" t="s">
        <v>52</v>
      </c>
      <c r="U708" t="s">
        <v>75</v>
      </c>
      <c r="V708">
        <v>4.3</v>
      </c>
      <c r="W708" t="s">
        <v>54</v>
      </c>
      <c r="X708" t="s">
        <v>55</v>
      </c>
      <c r="Y708" t="s">
        <v>72</v>
      </c>
    </row>
    <row r="709" spans="1:25" x14ac:dyDescent="0.3">
      <c r="A709" t="s">
        <v>1495</v>
      </c>
      <c r="B709" s="1">
        <v>45633</v>
      </c>
      <c r="C709" t="s">
        <v>43</v>
      </c>
      <c r="D709" t="s">
        <v>58</v>
      </c>
      <c r="E709" t="s">
        <v>120</v>
      </c>
      <c r="F709" t="s">
        <v>28</v>
      </c>
      <c r="G709" t="s">
        <v>29</v>
      </c>
      <c r="H709" t="s">
        <v>86</v>
      </c>
      <c r="I709">
        <v>6</v>
      </c>
      <c r="J709" t="s">
        <v>1496</v>
      </c>
      <c r="K709">
        <v>22</v>
      </c>
      <c r="L709" t="s">
        <v>32</v>
      </c>
      <c r="M709">
        <v>1</v>
      </c>
      <c r="N709" t="s">
        <v>64</v>
      </c>
      <c r="O709" t="s">
        <v>49</v>
      </c>
      <c r="P709" t="s">
        <v>50</v>
      </c>
      <c r="Q709" s="2">
        <v>12107.37</v>
      </c>
      <c r="R709" s="2">
        <v>1595.66</v>
      </c>
      <c r="S709" t="s">
        <v>94</v>
      </c>
      <c r="T709" t="s">
        <v>37</v>
      </c>
      <c r="U709" t="s">
        <v>83</v>
      </c>
      <c r="V709">
        <v>1.2</v>
      </c>
      <c r="W709" t="s">
        <v>124</v>
      </c>
      <c r="X709" t="s">
        <v>55</v>
      </c>
      <c r="Y709" t="s">
        <v>41</v>
      </c>
    </row>
    <row r="710" spans="1:25" x14ac:dyDescent="0.3">
      <c r="A710" t="s">
        <v>1497</v>
      </c>
      <c r="B710" s="1">
        <v>45634</v>
      </c>
      <c r="C710" t="s">
        <v>57</v>
      </c>
      <c r="D710" t="s">
        <v>44</v>
      </c>
      <c r="E710" t="s">
        <v>4084</v>
      </c>
      <c r="F710" t="s">
        <v>60</v>
      </c>
      <c r="G710" t="s">
        <v>29</v>
      </c>
      <c r="H710" t="s">
        <v>30</v>
      </c>
      <c r="I710">
        <v>11</v>
      </c>
      <c r="J710" t="s">
        <v>1498</v>
      </c>
      <c r="K710">
        <v>41</v>
      </c>
      <c r="L710" t="s">
        <v>32</v>
      </c>
      <c r="M710">
        <v>7</v>
      </c>
      <c r="N710" t="s">
        <v>48</v>
      </c>
      <c r="O710" t="s">
        <v>81</v>
      </c>
      <c r="P710" t="s">
        <v>35</v>
      </c>
      <c r="Q710" s="2">
        <v>29098.3</v>
      </c>
      <c r="R710" s="2">
        <v>687.47</v>
      </c>
      <c r="S710" t="s">
        <v>94</v>
      </c>
      <c r="T710" t="s">
        <v>71</v>
      </c>
      <c r="U710" t="s">
        <v>83</v>
      </c>
      <c r="V710">
        <v>3.1</v>
      </c>
      <c r="W710" t="s">
        <v>76</v>
      </c>
      <c r="X710" t="s">
        <v>84</v>
      </c>
      <c r="Y710" t="s">
        <v>72</v>
      </c>
    </row>
    <row r="711" spans="1:25" x14ac:dyDescent="0.3">
      <c r="A711" t="s">
        <v>1499</v>
      </c>
      <c r="B711" s="1">
        <v>45635</v>
      </c>
      <c r="C711" t="s">
        <v>117</v>
      </c>
      <c r="D711" t="s">
        <v>4083</v>
      </c>
      <c r="E711" t="s">
        <v>89</v>
      </c>
      <c r="F711" t="s">
        <v>28</v>
      </c>
      <c r="G711" t="s">
        <v>29</v>
      </c>
      <c r="H711" t="s">
        <v>61</v>
      </c>
      <c r="I711">
        <v>9</v>
      </c>
      <c r="J711" t="s">
        <v>1500</v>
      </c>
      <c r="K711">
        <v>45</v>
      </c>
      <c r="L711" t="s">
        <v>80</v>
      </c>
      <c r="M711">
        <v>6</v>
      </c>
      <c r="N711" t="s">
        <v>91</v>
      </c>
      <c r="O711" t="s">
        <v>34</v>
      </c>
      <c r="P711" t="s">
        <v>82</v>
      </c>
      <c r="Q711" s="2">
        <v>48485</v>
      </c>
      <c r="R711" s="2">
        <v>88.1</v>
      </c>
      <c r="S711" t="s">
        <v>115</v>
      </c>
      <c r="T711" t="s">
        <v>71</v>
      </c>
      <c r="U711" t="s">
        <v>75</v>
      </c>
      <c r="V711">
        <v>3.1</v>
      </c>
      <c r="W711" t="s">
        <v>76</v>
      </c>
      <c r="X711" t="s">
        <v>84</v>
      </c>
      <c r="Y711" t="s">
        <v>72</v>
      </c>
    </row>
    <row r="712" spans="1:25" x14ac:dyDescent="0.3">
      <c r="A712" t="s">
        <v>1501</v>
      </c>
      <c r="B712" s="1">
        <v>45636</v>
      </c>
      <c r="C712" t="s">
        <v>117</v>
      </c>
      <c r="D712" t="s">
        <v>4083</v>
      </c>
      <c r="E712" t="s">
        <v>120</v>
      </c>
      <c r="F712" t="s">
        <v>28</v>
      </c>
      <c r="G712" t="s">
        <v>29</v>
      </c>
      <c r="H712" t="s">
        <v>86</v>
      </c>
      <c r="I712">
        <v>4</v>
      </c>
      <c r="J712" t="s">
        <v>1502</v>
      </c>
      <c r="K712">
        <v>60</v>
      </c>
      <c r="L712" t="s">
        <v>80</v>
      </c>
      <c r="M712">
        <v>2</v>
      </c>
      <c r="N712" t="s">
        <v>64</v>
      </c>
      <c r="O712" t="s">
        <v>69</v>
      </c>
      <c r="P712" t="s">
        <v>50</v>
      </c>
      <c r="Q712" s="2">
        <v>12046.16</v>
      </c>
      <c r="R712" s="2">
        <v>2228.46</v>
      </c>
      <c r="S712" t="s">
        <v>94</v>
      </c>
      <c r="T712" t="s">
        <v>71</v>
      </c>
      <c r="U712" t="s">
        <v>83</v>
      </c>
      <c r="V712">
        <v>3.5</v>
      </c>
      <c r="W712" t="s">
        <v>54</v>
      </c>
      <c r="X712" t="s">
        <v>55</v>
      </c>
      <c r="Y712" t="s">
        <v>41</v>
      </c>
    </row>
    <row r="713" spans="1:25" x14ac:dyDescent="0.3">
      <c r="A713" t="s">
        <v>1503</v>
      </c>
      <c r="B713" s="1">
        <v>45637</v>
      </c>
      <c r="C713" t="s">
        <v>43</v>
      </c>
      <c r="D713" t="s">
        <v>58</v>
      </c>
      <c r="E713" t="s">
        <v>45</v>
      </c>
      <c r="F713" t="s">
        <v>28</v>
      </c>
      <c r="G713" t="s">
        <v>29</v>
      </c>
      <c r="H713" t="s">
        <v>67</v>
      </c>
      <c r="I713">
        <v>10</v>
      </c>
      <c r="J713" t="s">
        <v>1504</v>
      </c>
      <c r="K713">
        <v>34</v>
      </c>
      <c r="L713" t="s">
        <v>80</v>
      </c>
      <c r="M713">
        <v>7</v>
      </c>
      <c r="N713" t="s">
        <v>64</v>
      </c>
      <c r="O713" t="s">
        <v>81</v>
      </c>
      <c r="P713" t="s">
        <v>82</v>
      </c>
      <c r="Q713" s="2">
        <v>13383.93</v>
      </c>
      <c r="R713" s="2">
        <v>4539.17</v>
      </c>
      <c r="S713" t="s">
        <v>115</v>
      </c>
      <c r="T713" t="s">
        <v>37</v>
      </c>
      <c r="U713" t="s">
        <v>83</v>
      </c>
      <c r="V713">
        <v>4.2</v>
      </c>
      <c r="W713" t="s">
        <v>54</v>
      </c>
      <c r="X713" t="s">
        <v>65</v>
      </c>
      <c r="Y713" t="s">
        <v>72</v>
      </c>
    </row>
    <row r="714" spans="1:25" x14ac:dyDescent="0.3">
      <c r="A714" t="s">
        <v>1505</v>
      </c>
      <c r="B714" s="1">
        <v>45638</v>
      </c>
      <c r="C714" t="s">
        <v>43</v>
      </c>
      <c r="D714" t="s">
        <v>58</v>
      </c>
      <c r="E714" t="s">
        <v>89</v>
      </c>
      <c r="F714" t="s">
        <v>28</v>
      </c>
      <c r="G714" t="s">
        <v>29</v>
      </c>
      <c r="H714" t="s">
        <v>61</v>
      </c>
      <c r="I714">
        <v>13</v>
      </c>
      <c r="J714" t="s">
        <v>1506</v>
      </c>
      <c r="K714">
        <v>54</v>
      </c>
      <c r="L714" t="s">
        <v>63</v>
      </c>
      <c r="M714">
        <v>7</v>
      </c>
      <c r="N714" t="s">
        <v>48</v>
      </c>
      <c r="O714" t="s">
        <v>81</v>
      </c>
      <c r="P714" t="s">
        <v>50</v>
      </c>
      <c r="Q714" s="2">
        <v>46706.74</v>
      </c>
      <c r="R714" s="2">
        <v>1526.33</v>
      </c>
      <c r="S714" t="s">
        <v>94</v>
      </c>
      <c r="T714" t="s">
        <v>37</v>
      </c>
      <c r="U714" t="s">
        <v>38</v>
      </c>
      <c r="V714">
        <v>4</v>
      </c>
      <c r="W714" t="s">
        <v>54</v>
      </c>
      <c r="X714" t="s">
        <v>40</v>
      </c>
      <c r="Y714" t="s">
        <v>41</v>
      </c>
    </row>
    <row r="715" spans="1:25" x14ac:dyDescent="0.3">
      <c r="A715" t="s">
        <v>1507</v>
      </c>
      <c r="B715" s="1">
        <v>45639</v>
      </c>
      <c r="C715" t="s">
        <v>78</v>
      </c>
      <c r="D715" t="s">
        <v>58</v>
      </c>
      <c r="E715" t="s">
        <v>4085</v>
      </c>
      <c r="F715" t="s">
        <v>60</v>
      </c>
      <c r="G715" t="s">
        <v>29</v>
      </c>
      <c r="H715" t="s">
        <v>46</v>
      </c>
      <c r="I715">
        <v>9</v>
      </c>
      <c r="J715" t="s">
        <v>1508</v>
      </c>
      <c r="K715">
        <v>37</v>
      </c>
      <c r="L715" t="s">
        <v>32</v>
      </c>
      <c r="M715">
        <v>7</v>
      </c>
      <c r="N715" t="s">
        <v>48</v>
      </c>
      <c r="O715" t="s">
        <v>69</v>
      </c>
      <c r="P715" t="s">
        <v>35</v>
      </c>
      <c r="Q715" s="2">
        <v>36755.94</v>
      </c>
      <c r="R715" s="2">
        <v>979.78</v>
      </c>
      <c r="S715" t="s">
        <v>94</v>
      </c>
      <c r="T715" t="s">
        <v>52</v>
      </c>
      <c r="U715" t="s">
        <v>38</v>
      </c>
      <c r="V715">
        <v>4</v>
      </c>
      <c r="W715" t="s">
        <v>54</v>
      </c>
      <c r="X715" t="s">
        <v>55</v>
      </c>
      <c r="Y715" t="s">
        <v>72</v>
      </c>
    </row>
    <row r="716" spans="1:25" x14ac:dyDescent="0.3">
      <c r="A716" t="s">
        <v>1509</v>
      </c>
      <c r="B716" s="1">
        <v>45640</v>
      </c>
      <c r="C716" t="s">
        <v>57</v>
      </c>
      <c r="D716" t="s">
        <v>44</v>
      </c>
      <c r="E716" t="s">
        <v>4085</v>
      </c>
      <c r="F716" t="s">
        <v>60</v>
      </c>
      <c r="G716" t="s">
        <v>29</v>
      </c>
      <c r="H716" t="s">
        <v>59</v>
      </c>
      <c r="I716">
        <v>11</v>
      </c>
      <c r="J716" t="s">
        <v>1510</v>
      </c>
      <c r="K716">
        <v>20</v>
      </c>
      <c r="L716" t="s">
        <v>63</v>
      </c>
      <c r="M716">
        <v>6</v>
      </c>
      <c r="N716" t="s">
        <v>48</v>
      </c>
      <c r="O716" t="s">
        <v>69</v>
      </c>
      <c r="P716" t="s">
        <v>50</v>
      </c>
      <c r="Q716" s="2">
        <v>11838.5</v>
      </c>
      <c r="R716" s="2">
        <v>4630.21</v>
      </c>
      <c r="S716" t="s">
        <v>94</v>
      </c>
      <c r="T716" t="s">
        <v>37</v>
      </c>
      <c r="U716" t="s">
        <v>38</v>
      </c>
      <c r="V716">
        <v>2.7</v>
      </c>
      <c r="W716" t="s">
        <v>76</v>
      </c>
      <c r="X716" t="s">
        <v>40</v>
      </c>
      <c r="Y716" t="s">
        <v>41</v>
      </c>
    </row>
    <row r="717" spans="1:25" x14ac:dyDescent="0.3">
      <c r="A717" t="s">
        <v>1511</v>
      </c>
      <c r="B717" s="1">
        <v>45641</v>
      </c>
      <c r="C717" t="s">
        <v>57</v>
      </c>
      <c r="D717" t="s">
        <v>44</v>
      </c>
      <c r="E717" t="s">
        <v>4085</v>
      </c>
      <c r="F717" t="s">
        <v>60</v>
      </c>
      <c r="G717" t="s">
        <v>29</v>
      </c>
      <c r="H717" t="s">
        <v>46</v>
      </c>
      <c r="I717">
        <v>10</v>
      </c>
      <c r="J717" t="s">
        <v>1512</v>
      </c>
      <c r="K717">
        <v>54</v>
      </c>
      <c r="L717" t="s">
        <v>80</v>
      </c>
      <c r="M717">
        <v>2</v>
      </c>
      <c r="N717" t="s">
        <v>33</v>
      </c>
      <c r="O717" t="s">
        <v>69</v>
      </c>
      <c r="P717" t="s">
        <v>70</v>
      </c>
      <c r="Q717" s="2">
        <v>22707.17</v>
      </c>
      <c r="R717" s="2">
        <v>527.24</v>
      </c>
      <c r="S717" t="s">
        <v>115</v>
      </c>
      <c r="T717" t="s">
        <v>71</v>
      </c>
      <c r="U717" t="s">
        <v>75</v>
      </c>
      <c r="V717">
        <v>3.9</v>
      </c>
      <c r="W717" t="s">
        <v>54</v>
      </c>
      <c r="X717" t="s">
        <v>106</v>
      </c>
      <c r="Y717" t="s">
        <v>41</v>
      </c>
    </row>
    <row r="718" spans="1:25" x14ac:dyDescent="0.3">
      <c r="A718" t="s">
        <v>1513</v>
      </c>
      <c r="B718" s="1">
        <v>45642</v>
      </c>
      <c r="C718" t="s">
        <v>26</v>
      </c>
      <c r="D718" t="s">
        <v>26</v>
      </c>
      <c r="E718" t="s">
        <v>89</v>
      </c>
      <c r="F718" t="s">
        <v>28</v>
      </c>
      <c r="G718" t="s">
        <v>29</v>
      </c>
      <c r="H718" t="s">
        <v>61</v>
      </c>
      <c r="I718">
        <v>5</v>
      </c>
      <c r="J718" t="s">
        <v>1514</v>
      </c>
      <c r="K718">
        <v>43</v>
      </c>
      <c r="L718" t="s">
        <v>63</v>
      </c>
      <c r="M718">
        <v>5</v>
      </c>
      <c r="N718" t="s">
        <v>48</v>
      </c>
      <c r="O718" t="s">
        <v>69</v>
      </c>
      <c r="P718" t="s">
        <v>50</v>
      </c>
      <c r="Q718" s="2">
        <v>7532.15</v>
      </c>
      <c r="R718" s="2">
        <v>259.01</v>
      </c>
      <c r="S718" t="s">
        <v>51</v>
      </c>
      <c r="T718" t="s">
        <v>37</v>
      </c>
      <c r="U718" t="s">
        <v>53</v>
      </c>
      <c r="V718">
        <v>3</v>
      </c>
      <c r="W718" t="s">
        <v>39</v>
      </c>
      <c r="X718" t="s">
        <v>65</v>
      </c>
      <c r="Y718" t="s">
        <v>41</v>
      </c>
    </row>
    <row r="719" spans="1:25" x14ac:dyDescent="0.3">
      <c r="A719" t="s">
        <v>1515</v>
      </c>
      <c r="B719" s="1">
        <v>45643</v>
      </c>
      <c r="C719" t="s">
        <v>78</v>
      </c>
      <c r="D719" t="s">
        <v>58</v>
      </c>
      <c r="E719" t="s">
        <v>89</v>
      </c>
      <c r="F719" t="s">
        <v>28</v>
      </c>
      <c r="G719" t="s">
        <v>29</v>
      </c>
      <c r="H719" t="s">
        <v>61</v>
      </c>
      <c r="I719">
        <v>3</v>
      </c>
      <c r="J719" t="s">
        <v>1516</v>
      </c>
      <c r="K719">
        <v>32</v>
      </c>
      <c r="L719" t="s">
        <v>32</v>
      </c>
      <c r="M719">
        <v>4</v>
      </c>
      <c r="N719" t="s">
        <v>91</v>
      </c>
      <c r="O719" t="s">
        <v>69</v>
      </c>
      <c r="P719" t="s">
        <v>50</v>
      </c>
      <c r="Q719" s="2">
        <v>24470.22</v>
      </c>
      <c r="R719" s="2">
        <v>4397.07</v>
      </c>
      <c r="S719" t="s">
        <v>115</v>
      </c>
      <c r="T719" t="s">
        <v>37</v>
      </c>
      <c r="U719" t="s">
        <v>75</v>
      </c>
      <c r="V719">
        <v>1.3</v>
      </c>
      <c r="W719" t="s">
        <v>124</v>
      </c>
      <c r="X719" t="s">
        <v>106</v>
      </c>
      <c r="Y719" t="s">
        <v>41</v>
      </c>
    </row>
    <row r="720" spans="1:25" x14ac:dyDescent="0.3">
      <c r="A720" t="s">
        <v>1517</v>
      </c>
      <c r="B720" s="1">
        <v>45644</v>
      </c>
      <c r="C720" t="s">
        <v>78</v>
      </c>
      <c r="D720" t="s">
        <v>58</v>
      </c>
      <c r="E720" t="s">
        <v>89</v>
      </c>
      <c r="F720" t="s">
        <v>28</v>
      </c>
      <c r="G720" t="s">
        <v>29</v>
      </c>
      <c r="H720" t="s">
        <v>61</v>
      </c>
      <c r="I720">
        <v>4</v>
      </c>
      <c r="J720" t="s">
        <v>1518</v>
      </c>
      <c r="K720">
        <v>68</v>
      </c>
      <c r="L720" t="s">
        <v>32</v>
      </c>
      <c r="M720">
        <v>4</v>
      </c>
      <c r="N720" t="s">
        <v>64</v>
      </c>
      <c r="O720" t="s">
        <v>49</v>
      </c>
      <c r="P720" t="s">
        <v>82</v>
      </c>
      <c r="Q720" s="2">
        <v>40005.57</v>
      </c>
      <c r="R720" s="2">
        <v>3504.55</v>
      </c>
      <c r="S720" t="s">
        <v>36</v>
      </c>
      <c r="T720" t="s">
        <v>52</v>
      </c>
      <c r="U720" t="s">
        <v>75</v>
      </c>
      <c r="V720">
        <v>4.5999999999999996</v>
      </c>
      <c r="W720" t="s">
        <v>103</v>
      </c>
      <c r="X720" t="s">
        <v>55</v>
      </c>
      <c r="Y720" t="s">
        <v>41</v>
      </c>
    </row>
    <row r="721" spans="1:25" x14ac:dyDescent="0.3">
      <c r="A721" t="s">
        <v>1519</v>
      </c>
      <c r="B721" s="1">
        <v>45645</v>
      </c>
      <c r="C721" t="s">
        <v>78</v>
      </c>
      <c r="D721" t="s">
        <v>58</v>
      </c>
      <c r="E721" t="s">
        <v>120</v>
      </c>
      <c r="F721" t="s">
        <v>28</v>
      </c>
      <c r="G721" t="s">
        <v>29</v>
      </c>
      <c r="H721" t="s">
        <v>86</v>
      </c>
      <c r="I721">
        <v>4</v>
      </c>
      <c r="J721" t="s">
        <v>1520</v>
      </c>
      <c r="K721">
        <v>65</v>
      </c>
      <c r="L721" t="s">
        <v>80</v>
      </c>
      <c r="M721">
        <v>2</v>
      </c>
      <c r="N721" t="s">
        <v>64</v>
      </c>
      <c r="O721" t="s">
        <v>34</v>
      </c>
      <c r="P721" t="s">
        <v>82</v>
      </c>
      <c r="Q721" s="2">
        <v>29928.74</v>
      </c>
      <c r="R721" s="2">
        <v>2110.34</v>
      </c>
      <c r="S721" t="s">
        <v>36</v>
      </c>
      <c r="T721" t="s">
        <v>71</v>
      </c>
      <c r="U721" t="s">
        <v>75</v>
      </c>
      <c r="V721">
        <v>4.5999999999999996</v>
      </c>
      <c r="W721" t="s">
        <v>103</v>
      </c>
      <c r="X721" t="s">
        <v>84</v>
      </c>
      <c r="Y721" t="s">
        <v>72</v>
      </c>
    </row>
    <row r="722" spans="1:25" x14ac:dyDescent="0.3">
      <c r="A722" t="s">
        <v>1521</v>
      </c>
      <c r="B722" s="1">
        <v>45646</v>
      </c>
      <c r="C722" t="s">
        <v>78</v>
      </c>
      <c r="D722" t="s">
        <v>58</v>
      </c>
      <c r="E722" t="s">
        <v>120</v>
      </c>
      <c r="F722" t="s">
        <v>28</v>
      </c>
      <c r="G722" t="s">
        <v>29</v>
      </c>
      <c r="H722" t="s">
        <v>86</v>
      </c>
      <c r="I722">
        <v>6</v>
      </c>
      <c r="J722" t="s">
        <v>1522</v>
      </c>
      <c r="K722">
        <v>25</v>
      </c>
      <c r="L722" t="s">
        <v>80</v>
      </c>
      <c r="M722">
        <v>7</v>
      </c>
      <c r="N722" t="s">
        <v>33</v>
      </c>
      <c r="O722" t="s">
        <v>34</v>
      </c>
      <c r="P722" t="s">
        <v>70</v>
      </c>
      <c r="Q722" s="2">
        <v>34134.9</v>
      </c>
      <c r="R722" s="2">
        <v>3761.72</v>
      </c>
      <c r="S722" t="s">
        <v>115</v>
      </c>
      <c r="T722" t="s">
        <v>52</v>
      </c>
      <c r="U722" t="s">
        <v>75</v>
      </c>
      <c r="V722">
        <v>2.2999999999999998</v>
      </c>
      <c r="W722" t="s">
        <v>76</v>
      </c>
      <c r="X722" t="s">
        <v>55</v>
      </c>
      <c r="Y722" t="s">
        <v>41</v>
      </c>
    </row>
    <row r="723" spans="1:25" x14ac:dyDescent="0.3">
      <c r="A723" t="s">
        <v>1523</v>
      </c>
      <c r="B723" s="1">
        <v>45647</v>
      </c>
      <c r="C723" t="s">
        <v>57</v>
      </c>
      <c r="D723" t="s">
        <v>44</v>
      </c>
      <c r="E723" t="s">
        <v>4085</v>
      </c>
      <c r="F723" t="s">
        <v>60</v>
      </c>
      <c r="G723" t="s">
        <v>29</v>
      </c>
      <c r="H723" t="s">
        <v>59</v>
      </c>
      <c r="I723">
        <v>8</v>
      </c>
      <c r="J723" t="s">
        <v>1524</v>
      </c>
      <c r="K723">
        <v>30</v>
      </c>
      <c r="L723" t="s">
        <v>63</v>
      </c>
      <c r="M723">
        <v>1</v>
      </c>
      <c r="N723" t="s">
        <v>64</v>
      </c>
      <c r="O723" t="s">
        <v>81</v>
      </c>
      <c r="P723" t="s">
        <v>50</v>
      </c>
      <c r="Q723" s="2">
        <v>19706.91</v>
      </c>
      <c r="R723" s="2">
        <v>3707.2</v>
      </c>
      <c r="S723" t="s">
        <v>115</v>
      </c>
      <c r="T723" t="s">
        <v>52</v>
      </c>
      <c r="U723" t="s">
        <v>38</v>
      </c>
      <c r="V723">
        <v>4.7</v>
      </c>
      <c r="W723" t="s">
        <v>103</v>
      </c>
      <c r="X723" t="s">
        <v>106</v>
      </c>
      <c r="Y723" t="s">
        <v>41</v>
      </c>
    </row>
    <row r="724" spans="1:25" x14ac:dyDescent="0.3">
      <c r="A724" t="s">
        <v>1525</v>
      </c>
      <c r="B724" s="1">
        <v>45648</v>
      </c>
      <c r="C724" t="s">
        <v>57</v>
      </c>
      <c r="D724" t="s">
        <v>44</v>
      </c>
      <c r="E724" t="s">
        <v>4084</v>
      </c>
      <c r="F724" t="s">
        <v>60</v>
      </c>
      <c r="G724" t="s">
        <v>29</v>
      </c>
      <c r="H724" t="s">
        <v>27</v>
      </c>
      <c r="I724">
        <v>6</v>
      </c>
      <c r="J724" t="s">
        <v>1526</v>
      </c>
      <c r="K724">
        <v>65</v>
      </c>
      <c r="L724" t="s">
        <v>80</v>
      </c>
      <c r="M724">
        <v>2</v>
      </c>
      <c r="N724" t="s">
        <v>64</v>
      </c>
      <c r="O724" t="s">
        <v>69</v>
      </c>
      <c r="P724" t="s">
        <v>82</v>
      </c>
      <c r="Q724" s="2">
        <v>12262.82</v>
      </c>
      <c r="R724" s="2">
        <v>200.3</v>
      </c>
      <c r="S724" t="s">
        <v>51</v>
      </c>
      <c r="T724" t="s">
        <v>52</v>
      </c>
      <c r="U724" t="s">
        <v>75</v>
      </c>
      <c r="V724">
        <v>4</v>
      </c>
      <c r="W724" t="s">
        <v>54</v>
      </c>
      <c r="X724" t="s">
        <v>40</v>
      </c>
      <c r="Y724" t="s">
        <v>72</v>
      </c>
    </row>
    <row r="725" spans="1:25" x14ac:dyDescent="0.3">
      <c r="A725" t="s">
        <v>1527</v>
      </c>
      <c r="B725" s="1">
        <v>45649</v>
      </c>
      <c r="C725" t="s">
        <v>78</v>
      </c>
      <c r="D725" t="s">
        <v>58</v>
      </c>
      <c r="E725" t="s">
        <v>4085</v>
      </c>
      <c r="F725" t="s">
        <v>60</v>
      </c>
      <c r="G725" t="s">
        <v>29</v>
      </c>
      <c r="H725" t="s">
        <v>59</v>
      </c>
      <c r="I725">
        <v>11</v>
      </c>
      <c r="J725" t="s">
        <v>1528</v>
      </c>
      <c r="K725">
        <v>20</v>
      </c>
      <c r="L725" t="s">
        <v>63</v>
      </c>
      <c r="M725">
        <v>2</v>
      </c>
      <c r="N725" t="s">
        <v>91</v>
      </c>
      <c r="O725" t="s">
        <v>49</v>
      </c>
      <c r="P725" t="s">
        <v>50</v>
      </c>
      <c r="Q725" s="2">
        <v>5590.25</v>
      </c>
      <c r="R725" s="2">
        <v>3381.23</v>
      </c>
      <c r="S725" t="s">
        <v>115</v>
      </c>
      <c r="T725" t="s">
        <v>71</v>
      </c>
      <c r="U725" t="s">
        <v>38</v>
      </c>
      <c r="V725">
        <v>2.6</v>
      </c>
      <c r="W725" t="s">
        <v>76</v>
      </c>
      <c r="X725" t="s">
        <v>55</v>
      </c>
      <c r="Y725" t="s">
        <v>41</v>
      </c>
    </row>
    <row r="726" spans="1:25" x14ac:dyDescent="0.3">
      <c r="A726" t="s">
        <v>1529</v>
      </c>
      <c r="B726" s="1">
        <v>45650</v>
      </c>
      <c r="C726" t="s">
        <v>26</v>
      </c>
      <c r="D726" t="s">
        <v>26</v>
      </c>
      <c r="E726" t="s">
        <v>45</v>
      </c>
      <c r="F726" t="s">
        <v>28</v>
      </c>
      <c r="G726" t="s">
        <v>29</v>
      </c>
      <c r="H726" t="s">
        <v>67</v>
      </c>
      <c r="I726">
        <v>6</v>
      </c>
      <c r="J726" t="s">
        <v>1530</v>
      </c>
      <c r="K726">
        <v>18</v>
      </c>
      <c r="L726" t="s">
        <v>32</v>
      </c>
      <c r="M726">
        <v>4</v>
      </c>
      <c r="N726" t="s">
        <v>64</v>
      </c>
      <c r="O726" t="s">
        <v>49</v>
      </c>
      <c r="P726" t="s">
        <v>35</v>
      </c>
      <c r="Q726" s="2">
        <v>41959.06</v>
      </c>
      <c r="R726" s="2">
        <v>3204.36</v>
      </c>
      <c r="S726" t="s">
        <v>94</v>
      </c>
      <c r="T726" t="s">
        <v>52</v>
      </c>
      <c r="U726" t="s">
        <v>53</v>
      </c>
      <c r="V726">
        <v>2.2999999999999998</v>
      </c>
      <c r="W726" t="s">
        <v>76</v>
      </c>
      <c r="X726" t="s">
        <v>84</v>
      </c>
      <c r="Y726" t="s">
        <v>72</v>
      </c>
    </row>
    <row r="727" spans="1:25" x14ac:dyDescent="0.3">
      <c r="A727" t="s">
        <v>1531</v>
      </c>
      <c r="B727" s="1">
        <v>45651</v>
      </c>
      <c r="C727" t="s">
        <v>117</v>
      </c>
      <c r="D727" t="s">
        <v>4083</v>
      </c>
      <c r="E727" t="s">
        <v>120</v>
      </c>
      <c r="F727" t="s">
        <v>28</v>
      </c>
      <c r="G727" t="s">
        <v>29</v>
      </c>
      <c r="H727" t="s">
        <v>86</v>
      </c>
      <c r="I727">
        <v>8</v>
      </c>
      <c r="J727" t="s">
        <v>1532</v>
      </c>
      <c r="K727">
        <v>26</v>
      </c>
      <c r="L727" t="s">
        <v>32</v>
      </c>
      <c r="M727">
        <v>3</v>
      </c>
      <c r="N727" t="s">
        <v>91</v>
      </c>
      <c r="O727" t="s">
        <v>81</v>
      </c>
      <c r="P727" t="s">
        <v>35</v>
      </c>
      <c r="Q727" s="2">
        <v>33649.46</v>
      </c>
      <c r="R727" s="2">
        <v>4818.8999999999996</v>
      </c>
      <c r="S727" t="s">
        <v>51</v>
      </c>
      <c r="T727" t="s">
        <v>71</v>
      </c>
      <c r="U727" t="s">
        <v>83</v>
      </c>
      <c r="V727">
        <v>4.9000000000000004</v>
      </c>
      <c r="W727" t="s">
        <v>103</v>
      </c>
      <c r="X727" t="s">
        <v>106</v>
      </c>
      <c r="Y727" t="s">
        <v>72</v>
      </c>
    </row>
    <row r="728" spans="1:25" x14ac:dyDescent="0.3">
      <c r="A728" t="s">
        <v>1533</v>
      </c>
      <c r="B728" s="1">
        <v>45652</v>
      </c>
      <c r="C728" t="s">
        <v>117</v>
      </c>
      <c r="D728" t="s">
        <v>4083</v>
      </c>
      <c r="E728" t="s">
        <v>89</v>
      </c>
      <c r="F728" t="s">
        <v>28</v>
      </c>
      <c r="G728" t="s">
        <v>29</v>
      </c>
      <c r="H728" t="s">
        <v>61</v>
      </c>
      <c r="I728">
        <v>8</v>
      </c>
      <c r="J728" t="s">
        <v>1534</v>
      </c>
      <c r="K728">
        <v>48</v>
      </c>
      <c r="L728" t="s">
        <v>32</v>
      </c>
      <c r="M728">
        <v>1</v>
      </c>
      <c r="N728" t="s">
        <v>33</v>
      </c>
      <c r="O728" t="s">
        <v>69</v>
      </c>
      <c r="P728" t="s">
        <v>70</v>
      </c>
      <c r="Q728" s="2">
        <v>15319.46</v>
      </c>
      <c r="R728" s="2">
        <v>4833.1099999999997</v>
      </c>
      <c r="S728" t="s">
        <v>115</v>
      </c>
      <c r="T728" t="s">
        <v>52</v>
      </c>
      <c r="U728" t="s">
        <v>38</v>
      </c>
      <c r="V728">
        <v>3.9</v>
      </c>
      <c r="W728" t="s">
        <v>54</v>
      </c>
      <c r="X728" t="s">
        <v>55</v>
      </c>
      <c r="Y728" t="s">
        <v>41</v>
      </c>
    </row>
    <row r="729" spans="1:25" x14ac:dyDescent="0.3">
      <c r="A729" t="s">
        <v>1535</v>
      </c>
      <c r="B729" s="1">
        <v>45653</v>
      </c>
      <c r="C729" t="s">
        <v>26</v>
      </c>
      <c r="D729" t="s">
        <v>26</v>
      </c>
      <c r="E729" t="s">
        <v>120</v>
      </c>
      <c r="F729" t="s">
        <v>28</v>
      </c>
      <c r="G729" t="s">
        <v>29</v>
      </c>
      <c r="H729" t="s">
        <v>86</v>
      </c>
      <c r="I729">
        <v>12</v>
      </c>
      <c r="J729" t="s">
        <v>1536</v>
      </c>
      <c r="K729">
        <v>58</v>
      </c>
      <c r="L729" t="s">
        <v>32</v>
      </c>
      <c r="M729">
        <v>4</v>
      </c>
      <c r="N729" t="s">
        <v>91</v>
      </c>
      <c r="O729" t="s">
        <v>34</v>
      </c>
      <c r="P729" t="s">
        <v>35</v>
      </c>
      <c r="Q729" s="2">
        <v>23829.53</v>
      </c>
      <c r="R729" s="2">
        <v>1889</v>
      </c>
      <c r="S729" t="s">
        <v>115</v>
      </c>
      <c r="T729" t="s">
        <v>52</v>
      </c>
      <c r="U729" t="s">
        <v>75</v>
      </c>
      <c r="V729">
        <v>2.5</v>
      </c>
      <c r="W729" t="s">
        <v>76</v>
      </c>
      <c r="X729" t="s">
        <v>106</v>
      </c>
      <c r="Y729" t="s">
        <v>41</v>
      </c>
    </row>
    <row r="730" spans="1:25" x14ac:dyDescent="0.3">
      <c r="A730" t="s">
        <v>1537</v>
      </c>
      <c r="B730" s="1">
        <v>45654</v>
      </c>
      <c r="C730" t="s">
        <v>78</v>
      </c>
      <c r="D730" t="s">
        <v>58</v>
      </c>
      <c r="E730" t="s">
        <v>89</v>
      </c>
      <c r="F730" t="s">
        <v>28</v>
      </c>
      <c r="G730" t="s">
        <v>29</v>
      </c>
      <c r="H730" t="s">
        <v>61</v>
      </c>
      <c r="I730">
        <v>13</v>
      </c>
      <c r="J730" t="s">
        <v>1538</v>
      </c>
      <c r="K730">
        <v>43</v>
      </c>
      <c r="L730" t="s">
        <v>32</v>
      </c>
      <c r="M730">
        <v>6</v>
      </c>
      <c r="N730" t="s">
        <v>48</v>
      </c>
      <c r="O730" t="s">
        <v>69</v>
      </c>
      <c r="P730" t="s">
        <v>82</v>
      </c>
      <c r="Q730" s="2">
        <v>41064.949999999997</v>
      </c>
      <c r="R730" s="2">
        <v>2949.21</v>
      </c>
      <c r="S730" t="s">
        <v>36</v>
      </c>
      <c r="T730" t="s">
        <v>71</v>
      </c>
      <c r="U730" t="s">
        <v>53</v>
      </c>
      <c r="V730">
        <v>3.6</v>
      </c>
      <c r="W730" t="s">
        <v>54</v>
      </c>
      <c r="X730" t="s">
        <v>106</v>
      </c>
      <c r="Y730" t="s">
        <v>41</v>
      </c>
    </row>
    <row r="731" spans="1:25" x14ac:dyDescent="0.3">
      <c r="A731" t="s">
        <v>1539</v>
      </c>
      <c r="B731" s="1">
        <v>45655</v>
      </c>
      <c r="C731" t="s">
        <v>57</v>
      </c>
      <c r="D731" t="s">
        <v>44</v>
      </c>
      <c r="E731" t="s">
        <v>45</v>
      </c>
      <c r="F731" t="s">
        <v>28</v>
      </c>
      <c r="G731" t="s">
        <v>29</v>
      </c>
      <c r="H731" t="s">
        <v>67</v>
      </c>
      <c r="I731">
        <v>12</v>
      </c>
      <c r="J731" t="s">
        <v>1540</v>
      </c>
      <c r="K731">
        <v>34</v>
      </c>
      <c r="L731" t="s">
        <v>63</v>
      </c>
      <c r="M731">
        <v>2</v>
      </c>
      <c r="N731" t="s">
        <v>48</v>
      </c>
      <c r="O731" t="s">
        <v>49</v>
      </c>
      <c r="P731" t="s">
        <v>82</v>
      </c>
      <c r="Q731" s="2">
        <v>29241.51</v>
      </c>
      <c r="R731" s="2">
        <v>706.79</v>
      </c>
      <c r="S731" t="s">
        <v>51</v>
      </c>
      <c r="T731" t="s">
        <v>37</v>
      </c>
      <c r="U731" t="s">
        <v>75</v>
      </c>
      <c r="V731">
        <v>3.3</v>
      </c>
      <c r="W731" t="s">
        <v>76</v>
      </c>
      <c r="X731" t="s">
        <v>65</v>
      </c>
      <c r="Y731" t="s">
        <v>41</v>
      </c>
    </row>
    <row r="732" spans="1:25" x14ac:dyDescent="0.3">
      <c r="A732" t="s">
        <v>1541</v>
      </c>
      <c r="B732" s="1">
        <v>45656</v>
      </c>
      <c r="C732" t="s">
        <v>117</v>
      </c>
      <c r="D732" t="s">
        <v>4083</v>
      </c>
      <c r="E732" t="s">
        <v>45</v>
      </c>
      <c r="F732" t="s">
        <v>28</v>
      </c>
      <c r="G732" t="s">
        <v>29</v>
      </c>
      <c r="H732" t="s">
        <v>67</v>
      </c>
      <c r="I732">
        <v>3</v>
      </c>
      <c r="J732" t="s">
        <v>1542</v>
      </c>
      <c r="K732">
        <v>51</v>
      </c>
      <c r="L732" t="s">
        <v>32</v>
      </c>
      <c r="M732">
        <v>3</v>
      </c>
      <c r="N732" t="s">
        <v>33</v>
      </c>
      <c r="O732" t="s">
        <v>69</v>
      </c>
      <c r="P732" t="s">
        <v>70</v>
      </c>
      <c r="Q732" s="2">
        <v>18507.189999999999</v>
      </c>
      <c r="R732" s="2">
        <v>332.28</v>
      </c>
      <c r="S732" t="s">
        <v>36</v>
      </c>
      <c r="T732" t="s">
        <v>52</v>
      </c>
      <c r="U732" t="s">
        <v>53</v>
      </c>
      <c r="V732">
        <v>3.1</v>
      </c>
      <c r="W732" t="s">
        <v>76</v>
      </c>
      <c r="X732" t="s">
        <v>40</v>
      </c>
      <c r="Y732" t="s">
        <v>41</v>
      </c>
    </row>
    <row r="733" spans="1:25" x14ac:dyDescent="0.3">
      <c r="A733" t="s">
        <v>1543</v>
      </c>
      <c r="B733" s="1">
        <v>45657</v>
      </c>
      <c r="C733" t="s">
        <v>43</v>
      </c>
      <c r="D733" t="s">
        <v>58</v>
      </c>
      <c r="E733" t="s">
        <v>120</v>
      </c>
      <c r="F733" t="s">
        <v>28</v>
      </c>
      <c r="G733" t="s">
        <v>29</v>
      </c>
      <c r="H733" t="s">
        <v>86</v>
      </c>
      <c r="I733">
        <v>10</v>
      </c>
      <c r="J733" t="s">
        <v>1544</v>
      </c>
      <c r="K733">
        <v>26</v>
      </c>
      <c r="L733" t="s">
        <v>63</v>
      </c>
      <c r="M733">
        <v>1</v>
      </c>
      <c r="N733" t="s">
        <v>64</v>
      </c>
      <c r="O733" t="s">
        <v>34</v>
      </c>
      <c r="P733" t="s">
        <v>50</v>
      </c>
      <c r="Q733" s="2">
        <v>17023.3</v>
      </c>
      <c r="R733" s="2">
        <v>2163.9</v>
      </c>
      <c r="S733" t="s">
        <v>115</v>
      </c>
      <c r="T733" t="s">
        <v>37</v>
      </c>
      <c r="U733" t="s">
        <v>83</v>
      </c>
      <c r="V733">
        <v>3.6</v>
      </c>
      <c r="W733" t="s">
        <v>54</v>
      </c>
      <c r="X733" t="s">
        <v>65</v>
      </c>
      <c r="Y733" t="s">
        <v>41</v>
      </c>
    </row>
    <row r="734" spans="1:25" x14ac:dyDescent="0.3">
      <c r="A734" t="s">
        <v>1545</v>
      </c>
      <c r="B734" s="1">
        <v>45658</v>
      </c>
      <c r="C734" t="s">
        <v>43</v>
      </c>
      <c r="D734" t="s">
        <v>58</v>
      </c>
      <c r="E734" t="s">
        <v>89</v>
      </c>
      <c r="F734" t="s">
        <v>28</v>
      </c>
      <c r="G734" t="s">
        <v>29</v>
      </c>
      <c r="H734" t="s">
        <v>61</v>
      </c>
      <c r="I734">
        <v>14</v>
      </c>
      <c r="J734" t="s">
        <v>1546</v>
      </c>
      <c r="K734">
        <v>68</v>
      </c>
      <c r="L734" t="s">
        <v>32</v>
      </c>
      <c r="M734">
        <v>5</v>
      </c>
      <c r="N734" t="s">
        <v>91</v>
      </c>
      <c r="O734" t="s">
        <v>34</v>
      </c>
      <c r="P734" t="s">
        <v>82</v>
      </c>
      <c r="Q734" s="2">
        <v>14792.63</v>
      </c>
      <c r="R734" s="2">
        <v>3449.41</v>
      </c>
      <c r="S734" t="s">
        <v>51</v>
      </c>
      <c r="T734" t="s">
        <v>52</v>
      </c>
      <c r="U734" t="s">
        <v>53</v>
      </c>
      <c r="V734">
        <v>3.2</v>
      </c>
      <c r="W734" t="s">
        <v>76</v>
      </c>
      <c r="X734" t="s">
        <v>106</v>
      </c>
      <c r="Y734" t="s">
        <v>72</v>
      </c>
    </row>
    <row r="735" spans="1:25" x14ac:dyDescent="0.3">
      <c r="A735" t="s">
        <v>1547</v>
      </c>
      <c r="B735" s="1">
        <v>45659</v>
      </c>
      <c r="C735" t="s">
        <v>26</v>
      </c>
      <c r="D735" t="s">
        <v>26</v>
      </c>
      <c r="E735" t="s">
        <v>45</v>
      </c>
      <c r="F735" t="s">
        <v>28</v>
      </c>
      <c r="G735" t="s">
        <v>29</v>
      </c>
      <c r="H735" t="s">
        <v>67</v>
      </c>
      <c r="I735">
        <v>5</v>
      </c>
      <c r="J735" t="s">
        <v>1548</v>
      </c>
      <c r="K735">
        <v>30</v>
      </c>
      <c r="L735" t="s">
        <v>63</v>
      </c>
      <c r="M735">
        <v>1</v>
      </c>
      <c r="N735" t="s">
        <v>48</v>
      </c>
      <c r="O735" t="s">
        <v>81</v>
      </c>
      <c r="P735" t="s">
        <v>35</v>
      </c>
      <c r="Q735" s="2">
        <v>42067.839999999997</v>
      </c>
      <c r="R735" s="2">
        <v>2838.81</v>
      </c>
      <c r="S735" t="s">
        <v>94</v>
      </c>
      <c r="T735" t="s">
        <v>37</v>
      </c>
      <c r="U735" t="s">
        <v>53</v>
      </c>
      <c r="V735">
        <v>3.6</v>
      </c>
      <c r="W735" t="s">
        <v>54</v>
      </c>
      <c r="X735" t="s">
        <v>84</v>
      </c>
      <c r="Y735" t="s">
        <v>72</v>
      </c>
    </row>
    <row r="736" spans="1:25" x14ac:dyDescent="0.3">
      <c r="A736" t="s">
        <v>1549</v>
      </c>
      <c r="B736" s="1">
        <v>45660</v>
      </c>
      <c r="C736" t="s">
        <v>78</v>
      </c>
      <c r="D736" t="s">
        <v>58</v>
      </c>
      <c r="E736" t="s">
        <v>4085</v>
      </c>
      <c r="F736" t="s">
        <v>60</v>
      </c>
      <c r="G736" t="s">
        <v>29</v>
      </c>
      <c r="H736" t="s">
        <v>46</v>
      </c>
      <c r="I736">
        <v>8</v>
      </c>
      <c r="J736" t="s">
        <v>1550</v>
      </c>
      <c r="K736">
        <v>22</v>
      </c>
      <c r="L736" t="s">
        <v>63</v>
      </c>
      <c r="M736">
        <v>1</v>
      </c>
      <c r="N736" t="s">
        <v>91</v>
      </c>
      <c r="O736" t="s">
        <v>49</v>
      </c>
      <c r="P736" t="s">
        <v>82</v>
      </c>
      <c r="Q736" s="2">
        <v>31183.72</v>
      </c>
      <c r="R736" s="2">
        <v>2148.2800000000002</v>
      </c>
      <c r="S736" t="s">
        <v>115</v>
      </c>
      <c r="T736" t="s">
        <v>37</v>
      </c>
      <c r="U736" t="s">
        <v>83</v>
      </c>
      <c r="V736">
        <v>4.5999999999999996</v>
      </c>
      <c r="W736" t="s">
        <v>103</v>
      </c>
      <c r="X736" t="s">
        <v>84</v>
      </c>
      <c r="Y736" t="s">
        <v>72</v>
      </c>
    </row>
    <row r="737" spans="1:25" x14ac:dyDescent="0.3">
      <c r="A737" t="s">
        <v>1551</v>
      </c>
      <c r="B737" s="1">
        <v>45661</v>
      </c>
      <c r="C737" t="s">
        <v>117</v>
      </c>
      <c r="D737" t="s">
        <v>4083</v>
      </c>
      <c r="E737" t="s">
        <v>4085</v>
      </c>
      <c r="F737" t="s">
        <v>60</v>
      </c>
      <c r="G737" t="s">
        <v>29</v>
      </c>
      <c r="H737" t="s">
        <v>46</v>
      </c>
      <c r="I737">
        <v>5</v>
      </c>
      <c r="J737" t="s">
        <v>1552</v>
      </c>
      <c r="K737">
        <v>58</v>
      </c>
      <c r="L737" t="s">
        <v>63</v>
      </c>
      <c r="M737">
        <v>7</v>
      </c>
      <c r="N737" t="s">
        <v>48</v>
      </c>
      <c r="O737" t="s">
        <v>69</v>
      </c>
      <c r="P737" t="s">
        <v>70</v>
      </c>
      <c r="Q737" s="2">
        <v>36912.07</v>
      </c>
      <c r="R737" s="2">
        <v>4090.56</v>
      </c>
      <c r="S737" t="s">
        <v>115</v>
      </c>
      <c r="T737" t="s">
        <v>37</v>
      </c>
      <c r="U737" t="s">
        <v>83</v>
      </c>
      <c r="V737">
        <v>5</v>
      </c>
      <c r="W737" t="s">
        <v>103</v>
      </c>
      <c r="X737" t="s">
        <v>65</v>
      </c>
      <c r="Y737" t="s">
        <v>72</v>
      </c>
    </row>
    <row r="738" spans="1:25" x14ac:dyDescent="0.3">
      <c r="A738" t="s">
        <v>1553</v>
      </c>
      <c r="B738" s="1">
        <v>45662</v>
      </c>
      <c r="C738" t="s">
        <v>78</v>
      </c>
      <c r="D738" t="s">
        <v>58</v>
      </c>
      <c r="E738" t="s">
        <v>89</v>
      </c>
      <c r="F738" t="s">
        <v>28</v>
      </c>
      <c r="G738" t="s">
        <v>29</v>
      </c>
      <c r="H738" t="s">
        <v>61</v>
      </c>
      <c r="I738">
        <v>13</v>
      </c>
      <c r="J738" t="s">
        <v>1554</v>
      </c>
      <c r="K738">
        <v>30</v>
      </c>
      <c r="L738" t="s">
        <v>80</v>
      </c>
      <c r="M738">
        <v>2</v>
      </c>
      <c r="N738" t="s">
        <v>91</v>
      </c>
      <c r="O738" t="s">
        <v>69</v>
      </c>
      <c r="P738" t="s">
        <v>35</v>
      </c>
      <c r="Q738" s="2">
        <v>43705.42</v>
      </c>
      <c r="R738" s="2">
        <v>3972.14</v>
      </c>
      <c r="S738" t="s">
        <v>36</v>
      </c>
      <c r="T738" t="s">
        <v>37</v>
      </c>
      <c r="U738" t="s">
        <v>53</v>
      </c>
      <c r="V738">
        <v>3.8</v>
      </c>
      <c r="W738" t="s">
        <v>54</v>
      </c>
      <c r="X738" t="s">
        <v>84</v>
      </c>
      <c r="Y738" t="s">
        <v>41</v>
      </c>
    </row>
    <row r="739" spans="1:25" x14ac:dyDescent="0.3">
      <c r="A739" t="s">
        <v>1555</v>
      </c>
      <c r="B739" s="1">
        <v>45663</v>
      </c>
      <c r="C739" t="s">
        <v>117</v>
      </c>
      <c r="D739" t="s">
        <v>4083</v>
      </c>
      <c r="E739" t="s">
        <v>120</v>
      </c>
      <c r="F739" t="s">
        <v>28</v>
      </c>
      <c r="G739" t="s">
        <v>29</v>
      </c>
      <c r="H739" t="s">
        <v>86</v>
      </c>
      <c r="I739">
        <v>4</v>
      </c>
      <c r="J739" t="s">
        <v>1556</v>
      </c>
      <c r="K739">
        <v>18</v>
      </c>
      <c r="L739" t="s">
        <v>63</v>
      </c>
      <c r="M739">
        <v>2</v>
      </c>
      <c r="N739" t="s">
        <v>64</v>
      </c>
      <c r="O739" t="s">
        <v>81</v>
      </c>
      <c r="P739" t="s">
        <v>35</v>
      </c>
      <c r="Q739" s="2">
        <v>49408.78</v>
      </c>
      <c r="R739" s="2">
        <v>3659.71</v>
      </c>
      <c r="S739" t="s">
        <v>94</v>
      </c>
      <c r="T739" t="s">
        <v>37</v>
      </c>
      <c r="U739" t="s">
        <v>75</v>
      </c>
      <c r="V739">
        <v>4.7</v>
      </c>
      <c r="W739" t="s">
        <v>103</v>
      </c>
      <c r="X739" t="s">
        <v>106</v>
      </c>
      <c r="Y739" t="s">
        <v>41</v>
      </c>
    </row>
    <row r="740" spans="1:25" x14ac:dyDescent="0.3">
      <c r="A740" t="s">
        <v>1557</v>
      </c>
      <c r="B740" s="1">
        <v>45664</v>
      </c>
      <c r="C740" t="s">
        <v>26</v>
      </c>
      <c r="D740" t="s">
        <v>26</v>
      </c>
      <c r="E740" t="s">
        <v>45</v>
      </c>
      <c r="F740" t="s">
        <v>28</v>
      </c>
      <c r="G740" t="s">
        <v>29</v>
      </c>
      <c r="H740" t="s">
        <v>67</v>
      </c>
      <c r="I740">
        <v>7</v>
      </c>
      <c r="J740" t="s">
        <v>1558</v>
      </c>
      <c r="K740">
        <v>42</v>
      </c>
      <c r="L740" t="s">
        <v>63</v>
      </c>
      <c r="M740">
        <v>5</v>
      </c>
      <c r="N740" t="s">
        <v>33</v>
      </c>
      <c r="O740" t="s">
        <v>81</v>
      </c>
      <c r="P740" t="s">
        <v>35</v>
      </c>
      <c r="Q740" s="2">
        <v>16226.76</v>
      </c>
      <c r="R740" s="2">
        <v>385.16</v>
      </c>
      <c r="S740" t="s">
        <v>115</v>
      </c>
      <c r="T740" t="s">
        <v>71</v>
      </c>
      <c r="U740" t="s">
        <v>38</v>
      </c>
      <c r="V740">
        <v>4.4000000000000004</v>
      </c>
      <c r="W740" t="s">
        <v>39</v>
      </c>
      <c r="X740" t="s">
        <v>55</v>
      </c>
      <c r="Y740" t="s">
        <v>72</v>
      </c>
    </row>
    <row r="741" spans="1:25" x14ac:dyDescent="0.3">
      <c r="A741" t="s">
        <v>1559</v>
      </c>
      <c r="B741" s="1">
        <v>45665</v>
      </c>
      <c r="C741" t="s">
        <v>26</v>
      </c>
      <c r="D741" t="s">
        <v>26</v>
      </c>
      <c r="E741" t="s">
        <v>120</v>
      </c>
      <c r="F741" t="s">
        <v>28</v>
      </c>
      <c r="G741" t="s">
        <v>29</v>
      </c>
      <c r="H741" t="s">
        <v>86</v>
      </c>
      <c r="I741">
        <v>3</v>
      </c>
      <c r="J741" t="s">
        <v>1560</v>
      </c>
      <c r="K741">
        <v>64</v>
      </c>
      <c r="L741" t="s">
        <v>32</v>
      </c>
      <c r="M741">
        <v>5</v>
      </c>
      <c r="N741" t="s">
        <v>64</v>
      </c>
      <c r="O741" t="s">
        <v>81</v>
      </c>
      <c r="P741" t="s">
        <v>70</v>
      </c>
      <c r="Q741" s="2">
        <v>13140.61</v>
      </c>
      <c r="R741" s="2">
        <v>3982.35</v>
      </c>
      <c r="S741" t="s">
        <v>36</v>
      </c>
      <c r="T741" t="s">
        <v>37</v>
      </c>
      <c r="U741" t="s">
        <v>75</v>
      </c>
      <c r="V741">
        <v>2.2000000000000002</v>
      </c>
      <c r="W741" t="s">
        <v>76</v>
      </c>
      <c r="X741" t="s">
        <v>106</v>
      </c>
      <c r="Y741" t="s">
        <v>41</v>
      </c>
    </row>
    <row r="742" spans="1:25" x14ac:dyDescent="0.3">
      <c r="A742" t="s">
        <v>1561</v>
      </c>
      <c r="B742" s="1">
        <v>45666</v>
      </c>
      <c r="C742" t="s">
        <v>43</v>
      </c>
      <c r="D742" t="s">
        <v>58</v>
      </c>
      <c r="E742" t="s">
        <v>4085</v>
      </c>
      <c r="F742" t="s">
        <v>60</v>
      </c>
      <c r="G742" t="s">
        <v>29</v>
      </c>
      <c r="H742" t="s">
        <v>46</v>
      </c>
      <c r="I742">
        <v>11</v>
      </c>
      <c r="J742" t="s">
        <v>1562</v>
      </c>
      <c r="K742">
        <v>21</v>
      </c>
      <c r="L742" t="s">
        <v>63</v>
      </c>
      <c r="M742">
        <v>5</v>
      </c>
      <c r="N742" t="s">
        <v>91</v>
      </c>
      <c r="O742" t="s">
        <v>49</v>
      </c>
      <c r="P742" t="s">
        <v>70</v>
      </c>
      <c r="Q742" s="2">
        <v>25789.93</v>
      </c>
      <c r="R742" s="2">
        <v>4597.1099999999997</v>
      </c>
      <c r="S742" t="s">
        <v>36</v>
      </c>
      <c r="T742" t="s">
        <v>71</v>
      </c>
      <c r="U742" t="s">
        <v>38</v>
      </c>
      <c r="V742">
        <v>4.7</v>
      </c>
      <c r="W742" t="s">
        <v>103</v>
      </c>
      <c r="X742" t="s">
        <v>55</v>
      </c>
      <c r="Y742" t="s">
        <v>41</v>
      </c>
    </row>
    <row r="743" spans="1:25" x14ac:dyDescent="0.3">
      <c r="A743" t="s">
        <v>1563</v>
      </c>
      <c r="B743" s="1">
        <v>45667</v>
      </c>
      <c r="C743" t="s">
        <v>78</v>
      </c>
      <c r="D743" t="s">
        <v>58</v>
      </c>
      <c r="E743" t="s">
        <v>45</v>
      </c>
      <c r="F743" t="s">
        <v>28</v>
      </c>
      <c r="G743" t="s">
        <v>29</v>
      </c>
      <c r="H743" t="s">
        <v>67</v>
      </c>
      <c r="I743">
        <v>13</v>
      </c>
      <c r="J743" t="s">
        <v>1564</v>
      </c>
      <c r="K743">
        <v>53</v>
      </c>
      <c r="L743" t="s">
        <v>63</v>
      </c>
      <c r="M743">
        <v>4</v>
      </c>
      <c r="N743" t="s">
        <v>48</v>
      </c>
      <c r="O743" t="s">
        <v>69</v>
      </c>
      <c r="P743" t="s">
        <v>50</v>
      </c>
      <c r="Q743" s="2">
        <v>6578.21</v>
      </c>
      <c r="R743" s="2">
        <v>297.20999999999998</v>
      </c>
      <c r="S743" t="s">
        <v>115</v>
      </c>
      <c r="T743" t="s">
        <v>52</v>
      </c>
      <c r="U743" t="s">
        <v>83</v>
      </c>
      <c r="V743">
        <v>1.3</v>
      </c>
      <c r="W743" t="s">
        <v>124</v>
      </c>
      <c r="X743" t="s">
        <v>84</v>
      </c>
      <c r="Y743" t="s">
        <v>72</v>
      </c>
    </row>
    <row r="744" spans="1:25" x14ac:dyDescent="0.3">
      <c r="A744" t="s">
        <v>1565</v>
      </c>
      <c r="B744" s="1">
        <v>45668</v>
      </c>
      <c r="C744" t="s">
        <v>43</v>
      </c>
      <c r="D744" t="s">
        <v>58</v>
      </c>
      <c r="E744" t="s">
        <v>120</v>
      </c>
      <c r="F744" t="s">
        <v>28</v>
      </c>
      <c r="G744" t="s">
        <v>29</v>
      </c>
      <c r="H744" t="s">
        <v>86</v>
      </c>
      <c r="I744">
        <v>9</v>
      </c>
      <c r="J744" t="s">
        <v>1566</v>
      </c>
      <c r="K744">
        <v>69</v>
      </c>
      <c r="L744" t="s">
        <v>80</v>
      </c>
      <c r="M744">
        <v>4</v>
      </c>
      <c r="N744" t="s">
        <v>48</v>
      </c>
      <c r="O744" t="s">
        <v>81</v>
      </c>
      <c r="P744" t="s">
        <v>50</v>
      </c>
      <c r="Q744" s="2">
        <v>40627.300000000003</v>
      </c>
      <c r="R744" s="2">
        <v>2008.36</v>
      </c>
      <c r="S744" t="s">
        <v>51</v>
      </c>
      <c r="T744" t="s">
        <v>71</v>
      </c>
      <c r="U744" t="s">
        <v>75</v>
      </c>
      <c r="V744">
        <v>2.2999999999999998</v>
      </c>
      <c r="W744" t="s">
        <v>76</v>
      </c>
      <c r="X744" t="s">
        <v>40</v>
      </c>
      <c r="Y744" t="s">
        <v>72</v>
      </c>
    </row>
    <row r="745" spans="1:25" x14ac:dyDescent="0.3">
      <c r="A745" t="s">
        <v>1567</v>
      </c>
      <c r="B745" s="1">
        <v>45669</v>
      </c>
      <c r="C745" t="s">
        <v>78</v>
      </c>
      <c r="D745" t="s">
        <v>58</v>
      </c>
      <c r="E745" t="s">
        <v>4084</v>
      </c>
      <c r="F745" t="s">
        <v>60</v>
      </c>
      <c r="G745" t="s">
        <v>29</v>
      </c>
      <c r="H745" t="s">
        <v>30</v>
      </c>
      <c r="I745">
        <v>5</v>
      </c>
      <c r="J745" t="s">
        <v>1568</v>
      </c>
      <c r="K745">
        <v>27</v>
      </c>
      <c r="L745" t="s">
        <v>32</v>
      </c>
      <c r="M745">
        <v>2</v>
      </c>
      <c r="N745" t="s">
        <v>33</v>
      </c>
      <c r="O745" t="s">
        <v>49</v>
      </c>
      <c r="P745" t="s">
        <v>50</v>
      </c>
      <c r="Q745" s="2">
        <v>44769.2</v>
      </c>
      <c r="R745" s="2">
        <v>4941.78</v>
      </c>
      <c r="S745" t="s">
        <v>115</v>
      </c>
      <c r="T745" t="s">
        <v>37</v>
      </c>
      <c r="U745" t="s">
        <v>83</v>
      </c>
      <c r="V745">
        <v>3.6</v>
      </c>
      <c r="W745" t="s">
        <v>39</v>
      </c>
      <c r="X745" t="s">
        <v>40</v>
      </c>
      <c r="Y745" t="s">
        <v>72</v>
      </c>
    </row>
    <row r="746" spans="1:25" x14ac:dyDescent="0.3">
      <c r="A746" t="s">
        <v>1569</v>
      </c>
      <c r="B746" s="1">
        <v>45670</v>
      </c>
      <c r="C746" t="s">
        <v>43</v>
      </c>
      <c r="D746" t="s">
        <v>58</v>
      </c>
      <c r="E746" t="s">
        <v>89</v>
      </c>
      <c r="F746" t="s">
        <v>28</v>
      </c>
      <c r="G746" t="s">
        <v>29</v>
      </c>
      <c r="H746" t="s">
        <v>61</v>
      </c>
      <c r="I746">
        <v>6</v>
      </c>
      <c r="J746" t="s">
        <v>1570</v>
      </c>
      <c r="K746">
        <v>45</v>
      </c>
      <c r="L746" t="s">
        <v>80</v>
      </c>
      <c r="M746">
        <v>2</v>
      </c>
      <c r="N746" t="s">
        <v>64</v>
      </c>
      <c r="O746" t="s">
        <v>69</v>
      </c>
      <c r="P746" t="s">
        <v>70</v>
      </c>
      <c r="Q746" s="2">
        <v>35871.79</v>
      </c>
      <c r="R746" s="2">
        <v>2996.19</v>
      </c>
      <c r="S746" t="s">
        <v>94</v>
      </c>
      <c r="T746" t="s">
        <v>71</v>
      </c>
      <c r="U746" t="s">
        <v>53</v>
      </c>
      <c r="V746">
        <v>3.1</v>
      </c>
      <c r="W746" t="s">
        <v>76</v>
      </c>
      <c r="X746" t="s">
        <v>106</v>
      </c>
      <c r="Y746" t="s">
        <v>72</v>
      </c>
    </row>
    <row r="747" spans="1:25" x14ac:dyDescent="0.3">
      <c r="A747" t="s">
        <v>1571</v>
      </c>
      <c r="B747" s="1">
        <v>45671</v>
      </c>
      <c r="C747" t="s">
        <v>57</v>
      </c>
      <c r="D747" t="s">
        <v>44</v>
      </c>
      <c r="E747" t="s">
        <v>89</v>
      </c>
      <c r="F747" t="s">
        <v>28</v>
      </c>
      <c r="G747" t="s">
        <v>29</v>
      </c>
      <c r="H747" t="s">
        <v>61</v>
      </c>
      <c r="I747">
        <v>8</v>
      </c>
      <c r="J747" t="s">
        <v>1572</v>
      </c>
      <c r="K747">
        <v>23</v>
      </c>
      <c r="L747" t="s">
        <v>80</v>
      </c>
      <c r="M747">
        <v>5</v>
      </c>
      <c r="N747" t="s">
        <v>64</v>
      </c>
      <c r="O747" t="s">
        <v>34</v>
      </c>
      <c r="P747" t="s">
        <v>35</v>
      </c>
      <c r="Q747" s="2">
        <v>17059.78</v>
      </c>
      <c r="R747" s="2">
        <v>2567.89</v>
      </c>
      <c r="S747" t="s">
        <v>115</v>
      </c>
      <c r="T747" t="s">
        <v>37</v>
      </c>
      <c r="U747" t="s">
        <v>53</v>
      </c>
      <c r="V747">
        <v>3.2</v>
      </c>
      <c r="W747" t="s">
        <v>76</v>
      </c>
      <c r="X747" t="s">
        <v>106</v>
      </c>
      <c r="Y747" t="s">
        <v>41</v>
      </c>
    </row>
    <row r="748" spans="1:25" x14ac:dyDescent="0.3">
      <c r="A748" t="s">
        <v>1573</v>
      </c>
      <c r="B748" s="1">
        <v>45672</v>
      </c>
      <c r="C748" t="s">
        <v>57</v>
      </c>
      <c r="D748" t="s">
        <v>44</v>
      </c>
      <c r="E748" t="s">
        <v>4084</v>
      </c>
      <c r="F748" t="s">
        <v>60</v>
      </c>
      <c r="G748" t="s">
        <v>29</v>
      </c>
      <c r="H748" t="s">
        <v>27</v>
      </c>
      <c r="I748">
        <v>5</v>
      </c>
      <c r="J748" t="s">
        <v>1574</v>
      </c>
      <c r="K748">
        <v>44</v>
      </c>
      <c r="L748" t="s">
        <v>80</v>
      </c>
      <c r="M748">
        <v>4</v>
      </c>
      <c r="N748" t="s">
        <v>64</v>
      </c>
      <c r="O748" t="s">
        <v>81</v>
      </c>
      <c r="P748" t="s">
        <v>35</v>
      </c>
      <c r="Q748" s="2">
        <v>10542</v>
      </c>
      <c r="R748" s="2">
        <v>887.23</v>
      </c>
      <c r="S748" t="s">
        <v>51</v>
      </c>
      <c r="T748" t="s">
        <v>71</v>
      </c>
      <c r="U748" t="s">
        <v>75</v>
      </c>
      <c r="V748">
        <v>4.2</v>
      </c>
      <c r="W748" t="s">
        <v>54</v>
      </c>
      <c r="X748" t="s">
        <v>84</v>
      </c>
      <c r="Y748" t="s">
        <v>72</v>
      </c>
    </row>
    <row r="749" spans="1:25" x14ac:dyDescent="0.3">
      <c r="A749" t="s">
        <v>1575</v>
      </c>
      <c r="B749" s="1">
        <v>45673</v>
      </c>
      <c r="C749" t="s">
        <v>57</v>
      </c>
      <c r="D749" t="s">
        <v>44</v>
      </c>
      <c r="E749" t="s">
        <v>4085</v>
      </c>
      <c r="F749" t="s">
        <v>60</v>
      </c>
      <c r="G749" t="s">
        <v>29</v>
      </c>
      <c r="H749" t="s">
        <v>59</v>
      </c>
      <c r="I749">
        <v>14</v>
      </c>
      <c r="J749" t="s">
        <v>1576</v>
      </c>
      <c r="K749">
        <v>29</v>
      </c>
      <c r="L749" t="s">
        <v>63</v>
      </c>
      <c r="M749">
        <v>3</v>
      </c>
      <c r="N749" t="s">
        <v>48</v>
      </c>
      <c r="O749" t="s">
        <v>49</v>
      </c>
      <c r="P749" t="s">
        <v>82</v>
      </c>
      <c r="Q749" s="2">
        <v>22196.49</v>
      </c>
      <c r="R749" s="2">
        <v>2827.43</v>
      </c>
      <c r="S749" t="s">
        <v>36</v>
      </c>
      <c r="T749" t="s">
        <v>52</v>
      </c>
      <c r="U749" t="s">
        <v>83</v>
      </c>
      <c r="V749">
        <v>1.8</v>
      </c>
      <c r="W749" t="s">
        <v>124</v>
      </c>
      <c r="X749" t="s">
        <v>40</v>
      </c>
      <c r="Y749" t="s">
        <v>41</v>
      </c>
    </row>
    <row r="750" spans="1:25" x14ac:dyDescent="0.3">
      <c r="A750" t="s">
        <v>1577</v>
      </c>
      <c r="B750" s="1">
        <v>45674</v>
      </c>
      <c r="C750" t="s">
        <v>57</v>
      </c>
      <c r="D750" t="s">
        <v>44</v>
      </c>
      <c r="E750" t="s">
        <v>45</v>
      </c>
      <c r="F750" t="s">
        <v>28</v>
      </c>
      <c r="G750" t="s">
        <v>29</v>
      </c>
      <c r="H750" t="s">
        <v>67</v>
      </c>
      <c r="I750">
        <v>9</v>
      </c>
      <c r="J750" t="s">
        <v>1578</v>
      </c>
      <c r="K750">
        <v>69</v>
      </c>
      <c r="L750" t="s">
        <v>80</v>
      </c>
      <c r="M750">
        <v>4</v>
      </c>
      <c r="N750" t="s">
        <v>33</v>
      </c>
      <c r="O750" t="s">
        <v>69</v>
      </c>
      <c r="P750" t="s">
        <v>50</v>
      </c>
      <c r="Q750" s="2">
        <v>42500.1</v>
      </c>
      <c r="R750" s="2">
        <v>2195.2199999999998</v>
      </c>
      <c r="S750" t="s">
        <v>94</v>
      </c>
      <c r="T750" t="s">
        <v>37</v>
      </c>
      <c r="U750" t="s">
        <v>75</v>
      </c>
      <c r="V750">
        <v>4.9000000000000004</v>
      </c>
      <c r="W750" t="s">
        <v>103</v>
      </c>
      <c r="X750" t="s">
        <v>40</v>
      </c>
      <c r="Y750" t="s">
        <v>72</v>
      </c>
    </row>
    <row r="751" spans="1:25" x14ac:dyDescent="0.3">
      <c r="A751" t="s">
        <v>1579</v>
      </c>
      <c r="B751" s="1">
        <v>45675</v>
      </c>
      <c r="C751" t="s">
        <v>117</v>
      </c>
      <c r="D751" t="s">
        <v>4083</v>
      </c>
      <c r="E751" t="s">
        <v>89</v>
      </c>
      <c r="F751" t="s">
        <v>28</v>
      </c>
      <c r="G751" t="s">
        <v>29</v>
      </c>
      <c r="H751" t="s">
        <v>61</v>
      </c>
      <c r="I751">
        <v>8</v>
      </c>
      <c r="J751" t="s">
        <v>1580</v>
      </c>
      <c r="K751">
        <v>65</v>
      </c>
      <c r="L751" t="s">
        <v>80</v>
      </c>
      <c r="M751">
        <v>2</v>
      </c>
      <c r="N751" t="s">
        <v>48</v>
      </c>
      <c r="O751" t="s">
        <v>69</v>
      </c>
      <c r="P751" t="s">
        <v>35</v>
      </c>
      <c r="Q751" s="2">
        <v>20652.25</v>
      </c>
      <c r="R751" s="2">
        <v>637.22</v>
      </c>
      <c r="S751" t="s">
        <v>94</v>
      </c>
      <c r="T751" t="s">
        <v>37</v>
      </c>
      <c r="U751" t="s">
        <v>75</v>
      </c>
      <c r="V751">
        <v>2.7</v>
      </c>
      <c r="W751" t="s">
        <v>76</v>
      </c>
      <c r="X751" t="s">
        <v>106</v>
      </c>
      <c r="Y751" t="s">
        <v>72</v>
      </c>
    </row>
    <row r="752" spans="1:25" x14ac:dyDescent="0.3">
      <c r="A752" t="s">
        <v>1581</v>
      </c>
      <c r="B752" s="1">
        <v>45676</v>
      </c>
      <c r="C752" t="s">
        <v>57</v>
      </c>
      <c r="D752" t="s">
        <v>44</v>
      </c>
      <c r="E752" t="s">
        <v>4084</v>
      </c>
      <c r="F752" t="s">
        <v>60</v>
      </c>
      <c r="G752" t="s">
        <v>29</v>
      </c>
      <c r="H752" t="s">
        <v>30</v>
      </c>
      <c r="I752">
        <v>11</v>
      </c>
      <c r="J752" t="s">
        <v>1582</v>
      </c>
      <c r="K752">
        <v>20</v>
      </c>
      <c r="L752" t="s">
        <v>32</v>
      </c>
      <c r="M752">
        <v>4</v>
      </c>
      <c r="N752" t="s">
        <v>64</v>
      </c>
      <c r="O752" t="s">
        <v>81</v>
      </c>
      <c r="P752" t="s">
        <v>35</v>
      </c>
      <c r="Q752" s="2">
        <v>6541.46</v>
      </c>
      <c r="R752" s="2">
        <v>2321.66</v>
      </c>
      <c r="S752" t="s">
        <v>94</v>
      </c>
      <c r="T752" t="s">
        <v>71</v>
      </c>
      <c r="U752" t="s">
        <v>38</v>
      </c>
      <c r="V752">
        <v>4.8</v>
      </c>
      <c r="W752" t="s">
        <v>103</v>
      </c>
      <c r="X752" t="s">
        <v>40</v>
      </c>
      <c r="Y752" t="s">
        <v>72</v>
      </c>
    </row>
    <row r="753" spans="1:25" x14ac:dyDescent="0.3">
      <c r="A753" t="s">
        <v>1583</v>
      </c>
      <c r="B753" s="1">
        <v>45677</v>
      </c>
      <c r="C753" t="s">
        <v>26</v>
      </c>
      <c r="D753" t="s">
        <v>26</v>
      </c>
      <c r="E753" t="s">
        <v>4084</v>
      </c>
      <c r="F753" t="s">
        <v>60</v>
      </c>
      <c r="G753" t="s">
        <v>29</v>
      </c>
      <c r="H753" t="s">
        <v>27</v>
      </c>
      <c r="I753">
        <v>14</v>
      </c>
      <c r="J753" t="s">
        <v>1584</v>
      </c>
      <c r="K753">
        <v>63</v>
      </c>
      <c r="L753" t="s">
        <v>32</v>
      </c>
      <c r="M753">
        <v>2</v>
      </c>
      <c r="N753" t="s">
        <v>91</v>
      </c>
      <c r="O753" t="s">
        <v>81</v>
      </c>
      <c r="P753" t="s">
        <v>35</v>
      </c>
      <c r="Q753" s="2">
        <v>17342.62</v>
      </c>
      <c r="R753" s="2">
        <v>822</v>
      </c>
      <c r="S753" t="s">
        <v>94</v>
      </c>
      <c r="T753" t="s">
        <v>71</v>
      </c>
      <c r="U753" t="s">
        <v>53</v>
      </c>
      <c r="V753">
        <v>2.5</v>
      </c>
      <c r="W753" t="s">
        <v>76</v>
      </c>
      <c r="X753" t="s">
        <v>106</v>
      </c>
      <c r="Y753" t="s">
        <v>41</v>
      </c>
    </row>
    <row r="754" spans="1:25" x14ac:dyDescent="0.3">
      <c r="A754" t="s">
        <v>1585</v>
      </c>
      <c r="B754" s="1">
        <v>45678</v>
      </c>
      <c r="C754" t="s">
        <v>26</v>
      </c>
      <c r="D754" t="s">
        <v>26</v>
      </c>
      <c r="E754" t="s">
        <v>4085</v>
      </c>
      <c r="F754" t="s">
        <v>60</v>
      </c>
      <c r="G754" t="s">
        <v>29</v>
      </c>
      <c r="H754" t="s">
        <v>59</v>
      </c>
      <c r="I754">
        <v>7</v>
      </c>
      <c r="J754" t="s">
        <v>1586</v>
      </c>
      <c r="K754">
        <v>50</v>
      </c>
      <c r="L754" t="s">
        <v>32</v>
      </c>
      <c r="M754">
        <v>5</v>
      </c>
      <c r="N754" t="s">
        <v>48</v>
      </c>
      <c r="O754" t="s">
        <v>69</v>
      </c>
      <c r="P754" t="s">
        <v>35</v>
      </c>
      <c r="Q754" s="2">
        <v>49547.55</v>
      </c>
      <c r="R754" s="2">
        <v>3653.32</v>
      </c>
      <c r="S754" t="s">
        <v>51</v>
      </c>
      <c r="T754" t="s">
        <v>71</v>
      </c>
      <c r="U754" t="s">
        <v>75</v>
      </c>
      <c r="V754">
        <v>3.4</v>
      </c>
      <c r="W754" t="s">
        <v>76</v>
      </c>
      <c r="X754" t="s">
        <v>65</v>
      </c>
      <c r="Y754" t="s">
        <v>41</v>
      </c>
    </row>
    <row r="755" spans="1:25" x14ac:dyDescent="0.3">
      <c r="A755" t="s">
        <v>1587</v>
      </c>
      <c r="B755" s="1">
        <v>45679</v>
      </c>
      <c r="C755" t="s">
        <v>117</v>
      </c>
      <c r="D755" t="s">
        <v>4083</v>
      </c>
      <c r="E755" t="s">
        <v>4085</v>
      </c>
      <c r="F755" t="s">
        <v>60</v>
      </c>
      <c r="G755" t="s">
        <v>29</v>
      </c>
      <c r="H755" t="s">
        <v>59</v>
      </c>
      <c r="I755">
        <v>6</v>
      </c>
      <c r="J755" t="s">
        <v>1588</v>
      </c>
      <c r="K755">
        <v>27</v>
      </c>
      <c r="L755" t="s">
        <v>32</v>
      </c>
      <c r="M755">
        <v>7</v>
      </c>
      <c r="N755" t="s">
        <v>33</v>
      </c>
      <c r="O755" t="s">
        <v>49</v>
      </c>
      <c r="P755" t="s">
        <v>70</v>
      </c>
      <c r="Q755" s="2">
        <v>35450.089999999997</v>
      </c>
      <c r="R755" s="2">
        <v>4868.24</v>
      </c>
      <c r="S755" t="s">
        <v>51</v>
      </c>
      <c r="T755" t="s">
        <v>71</v>
      </c>
      <c r="U755" t="s">
        <v>53</v>
      </c>
      <c r="V755">
        <v>2.8</v>
      </c>
      <c r="W755" t="s">
        <v>76</v>
      </c>
      <c r="X755" t="s">
        <v>40</v>
      </c>
      <c r="Y755" t="s">
        <v>41</v>
      </c>
    </row>
    <row r="756" spans="1:25" x14ac:dyDescent="0.3">
      <c r="A756" t="s">
        <v>1589</v>
      </c>
      <c r="B756" s="1">
        <v>45680</v>
      </c>
      <c r="C756" t="s">
        <v>57</v>
      </c>
      <c r="D756" t="s">
        <v>44</v>
      </c>
      <c r="E756" t="s">
        <v>120</v>
      </c>
      <c r="F756" t="s">
        <v>28</v>
      </c>
      <c r="G756" t="s">
        <v>29</v>
      </c>
      <c r="H756" t="s">
        <v>86</v>
      </c>
      <c r="I756">
        <v>5</v>
      </c>
      <c r="J756" t="s">
        <v>1590</v>
      </c>
      <c r="K756">
        <v>48</v>
      </c>
      <c r="L756" t="s">
        <v>80</v>
      </c>
      <c r="M756">
        <v>5</v>
      </c>
      <c r="N756" t="s">
        <v>64</v>
      </c>
      <c r="O756" t="s">
        <v>34</v>
      </c>
      <c r="P756" t="s">
        <v>50</v>
      </c>
      <c r="Q756" s="2">
        <v>45538.47</v>
      </c>
      <c r="R756" s="2">
        <v>2347.89</v>
      </c>
      <c r="S756" t="s">
        <v>51</v>
      </c>
      <c r="T756" t="s">
        <v>71</v>
      </c>
      <c r="U756" t="s">
        <v>38</v>
      </c>
      <c r="V756">
        <v>3.7</v>
      </c>
      <c r="W756" t="s">
        <v>54</v>
      </c>
      <c r="X756" t="s">
        <v>55</v>
      </c>
      <c r="Y756" t="s">
        <v>41</v>
      </c>
    </row>
    <row r="757" spans="1:25" x14ac:dyDescent="0.3">
      <c r="A757" t="s">
        <v>1591</v>
      </c>
      <c r="B757" s="1">
        <v>45681</v>
      </c>
      <c r="C757" t="s">
        <v>57</v>
      </c>
      <c r="D757" t="s">
        <v>44</v>
      </c>
      <c r="E757" t="s">
        <v>89</v>
      </c>
      <c r="F757" t="s">
        <v>28</v>
      </c>
      <c r="G757" t="s">
        <v>29</v>
      </c>
      <c r="H757" t="s">
        <v>61</v>
      </c>
      <c r="I757">
        <v>12</v>
      </c>
      <c r="J757" t="s">
        <v>1592</v>
      </c>
      <c r="K757">
        <v>32</v>
      </c>
      <c r="L757" t="s">
        <v>32</v>
      </c>
      <c r="M757">
        <v>5</v>
      </c>
      <c r="N757" t="s">
        <v>91</v>
      </c>
      <c r="O757" t="s">
        <v>69</v>
      </c>
      <c r="P757" t="s">
        <v>35</v>
      </c>
      <c r="Q757" s="2">
        <v>39868.94</v>
      </c>
      <c r="R757" s="2">
        <v>3161.84</v>
      </c>
      <c r="S757" t="s">
        <v>51</v>
      </c>
      <c r="T757" t="s">
        <v>37</v>
      </c>
      <c r="U757" t="s">
        <v>83</v>
      </c>
      <c r="V757">
        <v>1.7</v>
      </c>
      <c r="W757" t="s">
        <v>124</v>
      </c>
      <c r="X757" t="s">
        <v>84</v>
      </c>
      <c r="Y757" t="s">
        <v>72</v>
      </c>
    </row>
    <row r="758" spans="1:25" x14ac:dyDescent="0.3">
      <c r="A758" t="s">
        <v>1593</v>
      </c>
      <c r="B758" s="1">
        <v>45682</v>
      </c>
      <c r="C758" t="s">
        <v>57</v>
      </c>
      <c r="D758" t="s">
        <v>44</v>
      </c>
      <c r="E758" t="s">
        <v>120</v>
      </c>
      <c r="F758" t="s">
        <v>28</v>
      </c>
      <c r="G758" t="s">
        <v>29</v>
      </c>
      <c r="H758" t="s">
        <v>86</v>
      </c>
      <c r="I758">
        <v>3</v>
      </c>
      <c r="J758" t="s">
        <v>1594</v>
      </c>
      <c r="K758">
        <v>24</v>
      </c>
      <c r="L758" t="s">
        <v>63</v>
      </c>
      <c r="M758">
        <v>3</v>
      </c>
      <c r="N758" t="s">
        <v>48</v>
      </c>
      <c r="O758" t="s">
        <v>49</v>
      </c>
      <c r="P758" t="s">
        <v>35</v>
      </c>
      <c r="Q758" s="2">
        <v>29286.75</v>
      </c>
      <c r="R758" s="2">
        <v>2154.88</v>
      </c>
      <c r="S758" t="s">
        <v>36</v>
      </c>
      <c r="T758" t="s">
        <v>52</v>
      </c>
      <c r="U758" t="s">
        <v>75</v>
      </c>
      <c r="V758">
        <v>2.6</v>
      </c>
      <c r="W758" t="s">
        <v>76</v>
      </c>
      <c r="X758" t="s">
        <v>106</v>
      </c>
      <c r="Y758" t="s">
        <v>72</v>
      </c>
    </row>
    <row r="759" spans="1:25" x14ac:dyDescent="0.3">
      <c r="A759" t="s">
        <v>1595</v>
      </c>
      <c r="B759" s="1">
        <v>45683</v>
      </c>
      <c r="C759" t="s">
        <v>43</v>
      </c>
      <c r="D759" t="s">
        <v>58</v>
      </c>
      <c r="E759" t="s">
        <v>4084</v>
      </c>
      <c r="F759" t="s">
        <v>60</v>
      </c>
      <c r="G759" t="s">
        <v>29</v>
      </c>
      <c r="H759" t="s">
        <v>27</v>
      </c>
      <c r="I759">
        <v>5</v>
      </c>
      <c r="J759" t="s">
        <v>1596</v>
      </c>
      <c r="K759">
        <v>53</v>
      </c>
      <c r="L759" t="s">
        <v>80</v>
      </c>
      <c r="M759">
        <v>7</v>
      </c>
      <c r="N759" t="s">
        <v>91</v>
      </c>
      <c r="O759" t="s">
        <v>81</v>
      </c>
      <c r="P759" t="s">
        <v>35</v>
      </c>
      <c r="Q759" s="2">
        <v>11691</v>
      </c>
      <c r="R759" s="2">
        <v>692.27</v>
      </c>
      <c r="S759" t="s">
        <v>115</v>
      </c>
      <c r="T759" t="s">
        <v>71</v>
      </c>
      <c r="U759" t="s">
        <v>53</v>
      </c>
      <c r="V759">
        <v>1.3</v>
      </c>
      <c r="W759" t="s">
        <v>124</v>
      </c>
      <c r="X759" t="s">
        <v>40</v>
      </c>
      <c r="Y759" t="s">
        <v>72</v>
      </c>
    </row>
    <row r="760" spans="1:25" x14ac:dyDescent="0.3">
      <c r="A760" t="s">
        <v>1597</v>
      </c>
      <c r="B760" s="1">
        <v>45684</v>
      </c>
      <c r="C760" t="s">
        <v>78</v>
      </c>
      <c r="D760" t="s">
        <v>58</v>
      </c>
      <c r="E760" t="s">
        <v>45</v>
      </c>
      <c r="F760" t="s">
        <v>28</v>
      </c>
      <c r="G760" t="s">
        <v>29</v>
      </c>
      <c r="H760" t="s">
        <v>67</v>
      </c>
      <c r="I760">
        <v>5</v>
      </c>
      <c r="J760" t="s">
        <v>1598</v>
      </c>
      <c r="K760">
        <v>31</v>
      </c>
      <c r="L760" t="s">
        <v>32</v>
      </c>
      <c r="M760">
        <v>3</v>
      </c>
      <c r="N760" t="s">
        <v>91</v>
      </c>
      <c r="O760" t="s">
        <v>69</v>
      </c>
      <c r="P760" t="s">
        <v>35</v>
      </c>
      <c r="Q760" s="2">
        <v>20689</v>
      </c>
      <c r="R760" s="2">
        <v>4852.78</v>
      </c>
      <c r="S760" t="s">
        <v>51</v>
      </c>
      <c r="T760" t="s">
        <v>37</v>
      </c>
      <c r="U760" t="s">
        <v>75</v>
      </c>
      <c r="V760">
        <v>3.4</v>
      </c>
      <c r="W760" t="s">
        <v>76</v>
      </c>
      <c r="X760" t="s">
        <v>40</v>
      </c>
      <c r="Y760" t="s">
        <v>72</v>
      </c>
    </row>
    <row r="761" spans="1:25" x14ac:dyDescent="0.3">
      <c r="A761" t="s">
        <v>1599</v>
      </c>
      <c r="B761" s="1">
        <v>45685</v>
      </c>
      <c r="C761" t="s">
        <v>43</v>
      </c>
      <c r="D761" t="s">
        <v>58</v>
      </c>
      <c r="E761" t="s">
        <v>45</v>
      </c>
      <c r="F761" t="s">
        <v>28</v>
      </c>
      <c r="G761" t="s">
        <v>29</v>
      </c>
      <c r="H761" t="s">
        <v>67</v>
      </c>
      <c r="I761">
        <v>9</v>
      </c>
      <c r="J761" t="s">
        <v>1600</v>
      </c>
      <c r="K761">
        <v>65</v>
      </c>
      <c r="L761" t="s">
        <v>80</v>
      </c>
      <c r="M761">
        <v>2</v>
      </c>
      <c r="N761" t="s">
        <v>33</v>
      </c>
      <c r="O761" t="s">
        <v>81</v>
      </c>
      <c r="P761" t="s">
        <v>82</v>
      </c>
      <c r="Q761" s="2">
        <v>31268.31</v>
      </c>
      <c r="R761" s="2">
        <v>647.89</v>
      </c>
      <c r="S761" t="s">
        <v>115</v>
      </c>
      <c r="T761" t="s">
        <v>52</v>
      </c>
      <c r="U761" t="s">
        <v>83</v>
      </c>
      <c r="V761">
        <v>4.9000000000000004</v>
      </c>
      <c r="W761" t="s">
        <v>103</v>
      </c>
      <c r="X761" t="s">
        <v>106</v>
      </c>
      <c r="Y761" t="s">
        <v>41</v>
      </c>
    </row>
    <row r="762" spans="1:25" x14ac:dyDescent="0.3">
      <c r="A762" t="s">
        <v>1601</v>
      </c>
      <c r="B762" s="1">
        <v>45686</v>
      </c>
      <c r="C762" t="s">
        <v>78</v>
      </c>
      <c r="D762" t="s">
        <v>58</v>
      </c>
      <c r="E762" t="s">
        <v>4085</v>
      </c>
      <c r="F762" t="s">
        <v>60</v>
      </c>
      <c r="G762" t="s">
        <v>29</v>
      </c>
      <c r="H762" t="s">
        <v>46</v>
      </c>
      <c r="I762">
        <v>9</v>
      </c>
      <c r="J762" t="s">
        <v>1602</v>
      </c>
      <c r="K762">
        <v>31</v>
      </c>
      <c r="L762" t="s">
        <v>32</v>
      </c>
      <c r="M762">
        <v>1</v>
      </c>
      <c r="N762" t="s">
        <v>48</v>
      </c>
      <c r="O762" t="s">
        <v>34</v>
      </c>
      <c r="P762" t="s">
        <v>35</v>
      </c>
      <c r="Q762" s="2">
        <v>44178.46</v>
      </c>
      <c r="R762" s="2">
        <v>558.13</v>
      </c>
      <c r="S762" t="s">
        <v>94</v>
      </c>
      <c r="T762" t="s">
        <v>52</v>
      </c>
      <c r="U762" t="s">
        <v>75</v>
      </c>
      <c r="V762">
        <v>1.2</v>
      </c>
      <c r="W762" t="s">
        <v>124</v>
      </c>
      <c r="X762" t="s">
        <v>55</v>
      </c>
      <c r="Y762" t="s">
        <v>72</v>
      </c>
    </row>
    <row r="763" spans="1:25" x14ac:dyDescent="0.3">
      <c r="A763" t="s">
        <v>1603</v>
      </c>
      <c r="B763" s="1">
        <v>45687</v>
      </c>
      <c r="C763" t="s">
        <v>57</v>
      </c>
      <c r="D763" t="s">
        <v>44</v>
      </c>
      <c r="E763" t="s">
        <v>45</v>
      </c>
      <c r="F763" t="s">
        <v>28</v>
      </c>
      <c r="G763" t="s">
        <v>29</v>
      </c>
      <c r="H763" t="s">
        <v>67</v>
      </c>
      <c r="I763">
        <v>14</v>
      </c>
      <c r="J763" t="s">
        <v>1604</v>
      </c>
      <c r="K763">
        <v>20</v>
      </c>
      <c r="L763" t="s">
        <v>80</v>
      </c>
      <c r="M763">
        <v>6</v>
      </c>
      <c r="N763" t="s">
        <v>33</v>
      </c>
      <c r="O763" t="s">
        <v>81</v>
      </c>
      <c r="P763" t="s">
        <v>35</v>
      </c>
      <c r="Q763" s="2">
        <v>17090.38</v>
      </c>
      <c r="R763" s="2">
        <v>2295.86</v>
      </c>
      <c r="S763" t="s">
        <v>36</v>
      </c>
      <c r="T763" t="s">
        <v>71</v>
      </c>
      <c r="U763" t="s">
        <v>75</v>
      </c>
      <c r="V763">
        <v>3.6</v>
      </c>
      <c r="W763" t="s">
        <v>54</v>
      </c>
      <c r="X763" t="s">
        <v>40</v>
      </c>
      <c r="Y763" t="s">
        <v>72</v>
      </c>
    </row>
    <row r="764" spans="1:25" x14ac:dyDescent="0.3">
      <c r="A764" t="s">
        <v>1605</v>
      </c>
      <c r="B764" s="1">
        <v>45688</v>
      </c>
      <c r="C764" t="s">
        <v>57</v>
      </c>
      <c r="D764" t="s">
        <v>44</v>
      </c>
      <c r="E764" t="s">
        <v>45</v>
      </c>
      <c r="F764" t="s">
        <v>28</v>
      </c>
      <c r="G764" t="s">
        <v>29</v>
      </c>
      <c r="H764" t="s">
        <v>67</v>
      </c>
      <c r="I764">
        <v>3</v>
      </c>
      <c r="J764" t="s">
        <v>1606</v>
      </c>
      <c r="K764">
        <v>66</v>
      </c>
      <c r="L764" t="s">
        <v>32</v>
      </c>
      <c r="M764">
        <v>3</v>
      </c>
      <c r="N764" t="s">
        <v>64</v>
      </c>
      <c r="O764" t="s">
        <v>34</v>
      </c>
      <c r="P764" t="s">
        <v>35</v>
      </c>
      <c r="Q764" s="2">
        <v>10455.209999999999</v>
      </c>
      <c r="R764" s="2">
        <v>3294.44</v>
      </c>
      <c r="S764" t="s">
        <v>36</v>
      </c>
      <c r="T764" t="s">
        <v>37</v>
      </c>
      <c r="U764" t="s">
        <v>53</v>
      </c>
      <c r="V764">
        <v>4.0999999999999996</v>
      </c>
      <c r="W764" t="s">
        <v>54</v>
      </c>
      <c r="X764" t="s">
        <v>65</v>
      </c>
      <c r="Y764" t="s">
        <v>72</v>
      </c>
    </row>
    <row r="765" spans="1:25" x14ac:dyDescent="0.3">
      <c r="A765" t="s">
        <v>1607</v>
      </c>
      <c r="B765" s="1">
        <v>45689</v>
      </c>
      <c r="C765" t="s">
        <v>43</v>
      </c>
      <c r="D765" t="s">
        <v>58</v>
      </c>
      <c r="E765" t="s">
        <v>45</v>
      </c>
      <c r="F765" t="s">
        <v>28</v>
      </c>
      <c r="G765" t="s">
        <v>29</v>
      </c>
      <c r="H765" t="s">
        <v>67</v>
      </c>
      <c r="I765">
        <v>5</v>
      </c>
      <c r="J765" t="s">
        <v>1608</v>
      </c>
      <c r="K765">
        <v>63</v>
      </c>
      <c r="L765" t="s">
        <v>63</v>
      </c>
      <c r="M765">
        <v>2</v>
      </c>
      <c r="N765" t="s">
        <v>91</v>
      </c>
      <c r="O765" t="s">
        <v>81</v>
      </c>
      <c r="P765" t="s">
        <v>82</v>
      </c>
      <c r="Q765" s="2">
        <v>30147.45</v>
      </c>
      <c r="R765" s="2">
        <v>1774.62</v>
      </c>
      <c r="S765" t="s">
        <v>115</v>
      </c>
      <c r="T765" t="s">
        <v>37</v>
      </c>
      <c r="U765" t="s">
        <v>83</v>
      </c>
      <c r="V765">
        <v>1.9</v>
      </c>
      <c r="W765" t="s">
        <v>124</v>
      </c>
      <c r="X765" t="s">
        <v>84</v>
      </c>
      <c r="Y765" t="s">
        <v>41</v>
      </c>
    </row>
    <row r="766" spans="1:25" x14ac:dyDescent="0.3">
      <c r="A766" t="s">
        <v>1609</v>
      </c>
      <c r="B766" s="1">
        <v>45690</v>
      </c>
      <c r="C766" t="s">
        <v>43</v>
      </c>
      <c r="D766" t="s">
        <v>58</v>
      </c>
      <c r="E766" t="s">
        <v>4084</v>
      </c>
      <c r="F766" t="s">
        <v>60</v>
      </c>
      <c r="G766" t="s">
        <v>29</v>
      </c>
      <c r="H766" t="s">
        <v>30</v>
      </c>
      <c r="I766">
        <v>10</v>
      </c>
      <c r="J766" t="s">
        <v>1610</v>
      </c>
      <c r="K766">
        <v>67</v>
      </c>
      <c r="L766" t="s">
        <v>32</v>
      </c>
      <c r="M766">
        <v>7</v>
      </c>
      <c r="N766" t="s">
        <v>33</v>
      </c>
      <c r="O766" t="s">
        <v>81</v>
      </c>
      <c r="P766" t="s">
        <v>70</v>
      </c>
      <c r="Q766" s="2">
        <v>12942.56</v>
      </c>
      <c r="R766" s="2">
        <v>962.59</v>
      </c>
      <c r="S766" t="s">
        <v>115</v>
      </c>
      <c r="T766" t="s">
        <v>37</v>
      </c>
      <c r="U766" t="s">
        <v>38</v>
      </c>
      <c r="V766">
        <v>2.1</v>
      </c>
      <c r="W766" t="s">
        <v>76</v>
      </c>
      <c r="X766" t="s">
        <v>106</v>
      </c>
      <c r="Y766" t="s">
        <v>41</v>
      </c>
    </row>
    <row r="767" spans="1:25" x14ac:dyDescent="0.3">
      <c r="A767" t="s">
        <v>1611</v>
      </c>
      <c r="B767" s="1">
        <v>45691</v>
      </c>
      <c r="C767" t="s">
        <v>78</v>
      </c>
      <c r="D767" t="s">
        <v>58</v>
      </c>
      <c r="E767" t="s">
        <v>45</v>
      </c>
      <c r="F767" t="s">
        <v>28</v>
      </c>
      <c r="G767" t="s">
        <v>29</v>
      </c>
      <c r="H767" t="s">
        <v>67</v>
      </c>
      <c r="I767">
        <v>11</v>
      </c>
      <c r="J767" t="s">
        <v>1612</v>
      </c>
      <c r="K767">
        <v>20</v>
      </c>
      <c r="L767" t="s">
        <v>80</v>
      </c>
      <c r="M767">
        <v>4</v>
      </c>
      <c r="N767" t="s">
        <v>33</v>
      </c>
      <c r="O767" t="s">
        <v>34</v>
      </c>
      <c r="P767" t="s">
        <v>82</v>
      </c>
      <c r="Q767" s="2">
        <v>32466.28</v>
      </c>
      <c r="R767" s="2">
        <v>4094.82</v>
      </c>
      <c r="S767" t="s">
        <v>115</v>
      </c>
      <c r="T767" t="s">
        <v>37</v>
      </c>
      <c r="U767" t="s">
        <v>83</v>
      </c>
      <c r="V767">
        <v>1.8</v>
      </c>
      <c r="W767" t="s">
        <v>124</v>
      </c>
      <c r="X767" t="s">
        <v>40</v>
      </c>
      <c r="Y767" t="s">
        <v>41</v>
      </c>
    </row>
    <row r="768" spans="1:25" x14ac:dyDescent="0.3">
      <c r="A768" t="s">
        <v>1613</v>
      </c>
      <c r="B768" s="1">
        <v>45692</v>
      </c>
      <c r="C768" t="s">
        <v>26</v>
      </c>
      <c r="D768" t="s">
        <v>26</v>
      </c>
      <c r="E768" t="s">
        <v>45</v>
      </c>
      <c r="F768" t="s">
        <v>28</v>
      </c>
      <c r="G768" t="s">
        <v>29</v>
      </c>
      <c r="H768" t="s">
        <v>67</v>
      </c>
      <c r="I768">
        <v>9</v>
      </c>
      <c r="J768" t="s">
        <v>1614</v>
      </c>
      <c r="K768">
        <v>39</v>
      </c>
      <c r="L768" t="s">
        <v>80</v>
      </c>
      <c r="M768">
        <v>7</v>
      </c>
      <c r="N768" t="s">
        <v>64</v>
      </c>
      <c r="O768" t="s">
        <v>81</v>
      </c>
      <c r="P768" t="s">
        <v>35</v>
      </c>
      <c r="Q768" s="2">
        <v>16858.46</v>
      </c>
      <c r="R768" s="2">
        <v>1815.52</v>
      </c>
      <c r="S768" t="s">
        <v>36</v>
      </c>
      <c r="T768" t="s">
        <v>37</v>
      </c>
      <c r="U768" t="s">
        <v>83</v>
      </c>
      <c r="V768">
        <v>2.2000000000000002</v>
      </c>
      <c r="W768" t="s">
        <v>76</v>
      </c>
      <c r="X768" t="s">
        <v>84</v>
      </c>
      <c r="Y768" t="s">
        <v>72</v>
      </c>
    </row>
    <row r="769" spans="1:25" x14ac:dyDescent="0.3">
      <c r="A769" t="s">
        <v>1615</v>
      </c>
      <c r="B769" s="1">
        <v>45693</v>
      </c>
      <c r="C769" t="s">
        <v>78</v>
      </c>
      <c r="D769" t="s">
        <v>58</v>
      </c>
      <c r="E769" t="s">
        <v>45</v>
      </c>
      <c r="F769" t="s">
        <v>28</v>
      </c>
      <c r="G769" t="s">
        <v>29</v>
      </c>
      <c r="H769" t="s">
        <v>67</v>
      </c>
      <c r="I769">
        <v>9</v>
      </c>
      <c r="J769" t="s">
        <v>1616</v>
      </c>
      <c r="K769">
        <v>36</v>
      </c>
      <c r="L769" t="s">
        <v>63</v>
      </c>
      <c r="M769">
        <v>5</v>
      </c>
      <c r="N769" t="s">
        <v>48</v>
      </c>
      <c r="O769" t="s">
        <v>49</v>
      </c>
      <c r="P769" t="s">
        <v>70</v>
      </c>
      <c r="Q769" s="2">
        <v>15393.34</v>
      </c>
      <c r="R769" s="2">
        <v>971.6</v>
      </c>
      <c r="S769" t="s">
        <v>51</v>
      </c>
      <c r="T769" t="s">
        <v>52</v>
      </c>
      <c r="U769" t="s">
        <v>38</v>
      </c>
      <c r="V769">
        <v>1.4</v>
      </c>
      <c r="W769" t="s">
        <v>124</v>
      </c>
      <c r="X769" t="s">
        <v>106</v>
      </c>
      <c r="Y769" t="s">
        <v>41</v>
      </c>
    </row>
    <row r="770" spans="1:25" x14ac:dyDescent="0.3">
      <c r="A770" t="s">
        <v>1617</v>
      </c>
      <c r="B770" s="1">
        <v>45694</v>
      </c>
      <c r="C770" t="s">
        <v>43</v>
      </c>
      <c r="D770" t="s">
        <v>58</v>
      </c>
      <c r="E770" t="s">
        <v>120</v>
      </c>
      <c r="F770" t="s">
        <v>28</v>
      </c>
      <c r="G770" t="s">
        <v>29</v>
      </c>
      <c r="H770" t="s">
        <v>86</v>
      </c>
      <c r="I770">
        <v>14</v>
      </c>
      <c r="J770" t="s">
        <v>1618</v>
      </c>
      <c r="K770">
        <v>52</v>
      </c>
      <c r="L770" t="s">
        <v>80</v>
      </c>
      <c r="M770">
        <v>5</v>
      </c>
      <c r="N770" t="s">
        <v>33</v>
      </c>
      <c r="O770" t="s">
        <v>81</v>
      </c>
      <c r="P770" t="s">
        <v>35</v>
      </c>
      <c r="Q770" s="2">
        <v>22963.13</v>
      </c>
      <c r="R770" s="2">
        <v>1825.42</v>
      </c>
      <c r="S770" t="s">
        <v>36</v>
      </c>
      <c r="T770" t="s">
        <v>52</v>
      </c>
      <c r="U770" t="s">
        <v>75</v>
      </c>
      <c r="V770">
        <v>2.5</v>
      </c>
      <c r="W770" t="s">
        <v>76</v>
      </c>
      <c r="X770" t="s">
        <v>106</v>
      </c>
      <c r="Y770" t="s">
        <v>41</v>
      </c>
    </row>
    <row r="771" spans="1:25" x14ac:dyDescent="0.3">
      <c r="A771" t="s">
        <v>1619</v>
      </c>
      <c r="B771" s="1">
        <v>45695</v>
      </c>
      <c r="C771" t="s">
        <v>43</v>
      </c>
      <c r="D771" t="s">
        <v>58</v>
      </c>
      <c r="E771" t="s">
        <v>4084</v>
      </c>
      <c r="F771" t="s">
        <v>60</v>
      </c>
      <c r="G771" t="s">
        <v>29</v>
      </c>
      <c r="H771" t="s">
        <v>30</v>
      </c>
      <c r="I771">
        <v>13</v>
      </c>
      <c r="J771" t="s">
        <v>1620</v>
      </c>
      <c r="K771">
        <v>29</v>
      </c>
      <c r="L771" t="s">
        <v>63</v>
      </c>
      <c r="M771">
        <v>5</v>
      </c>
      <c r="N771" t="s">
        <v>91</v>
      </c>
      <c r="O771" t="s">
        <v>69</v>
      </c>
      <c r="P771" t="s">
        <v>70</v>
      </c>
      <c r="Q771" s="2">
        <v>31693.63</v>
      </c>
      <c r="R771" s="2">
        <v>1072.77</v>
      </c>
      <c r="S771" t="s">
        <v>51</v>
      </c>
      <c r="T771" t="s">
        <v>52</v>
      </c>
      <c r="U771" t="s">
        <v>53</v>
      </c>
      <c r="V771">
        <v>2.5</v>
      </c>
      <c r="W771" t="s">
        <v>76</v>
      </c>
      <c r="X771" t="s">
        <v>106</v>
      </c>
      <c r="Y771" t="s">
        <v>72</v>
      </c>
    </row>
    <row r="772" spans="1:25" x14ac:dyDescent="0.3">
      <c r="A772" t="s">
        <v>1621</v>
      </c>
      <c r="B772" s="1">
        <v>45696</v>
      </c>
      <c r="C772" t="s">
        <v>117</v>
      </c>
      <c r="D772" t="s">
        <v>4083</v>
      </c>
      <c r="E772" t="s">
        <v>4085</v>
      </c>
      <c r="F772" t="s">
        <v>60</v>
      </c>
      <c r="G772" t="s">
        <v>29</v>
      </c>
      <c r="H772" t="s">
        <v>46</v>
      </c>
      <c r="I772">
        <v>10</v>
      </c>
      <c r="J772" t="s">
        <v>1622</v>
      </c>
      <c r="K772">
        <v>22</v>
      </c>
      <c r="L772" t="s">
        <v>80</v>
      </c>
      <c r="M772">
        <v>2</v>
      </c>
      <c r="N772" t="s">
        <v>91</v>
      </c>
      <c r="O772" t="s">
        <v>81</v>
      </c>
      <c r="P772" t="s">
        <v>35</v>
      </c>
      <c r="Q772" s="2">
        <v>29539.3</v>
      </c>
      <c r="R772" s="2">
        <v>2597.2399999999998</v>
      </c>
      <c r="S772" t="s">
        <v>94</v>
      </c>
      <c r="T772" t="s">
        <v>37</v>
      </c>
      <c r="U772" t="s">
        <v>75</v>
      </c>
      <c r="V772">
        <v>4.2</v>
      </c>
      <c r="W772" t="s">
        <v>39</v>
      </c>
      <c r="X772" t="s">
        <v>55</v>
      </c>
      <c r="Y772" t="s">
        <v>41</v>
      </c>
    </row>
    <row r="773" spans="1:25" x14ac:dyDescent="0.3">
      <c r="A773" t="s">
        <v>1623</v>
      </c>
      <c r="B773" s="1">
        <v>45697</v>
      </c>
      <c r="C773" t="s">
        <v>43</v>
      </c>
      <c r="D773" t="s">
        <v>58</v>
      </c>
      <c r="E773" t="s">
        <v>120</v>
      </c>
      <c r="F773" t="s">
        <v>28</v>
      </c>
      <c r="G773" t="s">
        <v>29</v>
      </c>
      <c r="H773" t="s">
        <v>86</v>
      </c>
      <c r="I773">
        <v>8</v>
      </c>
      <c r="J773" t="s">
        <v>1624</v>
      </c>
      <c r="K773">
        <v>27</v>
      </c>
      <c r="L773" t="s">
        <v>80</v>
      </c>
      <c r="M773">
        <v>5</v>
      </c>
      <c r="N773" t="s">
        <v>91</v>
      </c>
      <c r="O773" t="s">
        <v>49</v>
      </c>
      <c r="P773" t="s">
        <v>35</v>
      </c>
      <c r="Q773" s="2">
        <v>16013.05</v>
      </c>
      <c r="R773" s="2">
        <v>3341.45</v>
      </c>
      <c r="S773" t="s">
        <v>51</v>
      </c>
      <c r="T773" t="s">
        <v>52</v>
      </c>
      <c r="U773" t="s">
        <v>75</v>
      </c>
      <c r="V773">
        <v>4.2</v>
      </c>
      <c r="W773" t="s">
        <v>54</v>
      </c>
      <c r="X773" t="s">
        <v>65</v>
      </c>
      <c r="Y773" t="s">
        <v>72</v>
      </c>
    </row>
    <row r="774" spans="1:25" x14ac:dyDescent="0.3">
      <c r="A774" t="s">
        <v>1625</v>
      </c>
      <c r="B774" s="1">
        <v>45698</v>
      </c>
      <c r="C774" t="s">
        <v>117</v>
      </c>
      <c r="D774" t="s">
        <v>4083</v>
      </c>
      <c r="E774" t="s">
        <v>89</v>
      </c>
      <c r="F774" t="s">
        <v>28</v>
      </c>
      <c r="G774" t="s">
        <v>29</v>
      </c>
      <c r="H774" t="s">
        <v>61</v>
      </c>
      <c r="I774">
        <v>13</v>
      </c>
      <c r="J774" t="s">
        <v>1626</v>
      </c>
      <c r="K774">
        <v>58</v>
      </c>
      <c r="L774" t="s">
        <v>63</v>
      </c>
      <c r="M774">
        <v>3</v>
      </c>
      <c r="N774" t="s">
        <v>91</v>
      </c>
      <c r="O774" t="s">
        <v>69</v>
      </c>
      <c r="P774" t="s">
        <v>70</v>
      </c>
      <c r="Q774" s="2">
        <v>45100.25</v>
      </c>
      <c r="R774" s="2">
        <v>3997.79</v>
      </c>
      <c r="S774" t="s">
        <v>115</v>
      </c>
      <c r="T774" t="s">
        <v>52</v>
      </c>
      <c r="U774" t="s">
        <v>38</v>
      </c>
      <c r="V774">
        <v>4.2</v>
      </c>
      <c r="W774" t="s">
        <v>54</v>
      </c>
      <c r="X774" t="s">
        <v>106</v>
      </c>
      <c r="Y774" t="s">
        <v>72</v>
      </c>
    </row>
    <row r="775" spans="1:25" x14ac:dyDescent="0.3">
      <c r="A775" t="s">
        <v>1627</v>
      </c>
      <c r="B775" s="1">
        <v>45699</v>
      </c>
      <c r="C775" t="s">
        <v>26</v>
      </c>
      <c r="D775" t="s">
        <v>26</v>
      </c>
      <c r="E775" t="s">
        <v>4084</v>
      </c>
      <c r="F775" t="s">
        <v>60</v>
      </c>
      <c r="G775" t="s">
        <v>29</v>
      </c>
      <c r="H775" t="s">
        <v>27</v>
      </c>
      <c r="I775">
        <v>5</v>
      </c>
      <c r="J775" t="s">
        <v>1628</v>
      </c>
      <c r="K775">
        <v>50</v>
      </c>
      <c r="L775" t="s">
        <v>80</v>
      </c>
      <c r="M775">
        <v>4</v>
      </c>
      <c r="N775" t="s">
        <v>33</v>
      </c>
      <c r="O775" t="s">
        <v>49</v>
      </c>
      <c r="P775" t="s">
        <v>70</v>
      </c>
      <c r="Q775" s="2">
        <v>9944.69</v>
      </c>
      <c r="R775" s="2">
        <v>1137.81</v>
      </c>
      <c r="S775" t="s">
        <v>51</v>
      </c>
      <c r="T775" t="s">
        <v>71</v>
      </c>
      <c r="U775" t="s">
        <v>38</v>
      </c>
      <c r="V775">
        <v>3.3</v>
      </c>
      <c r="W775" t="s">
        <v>76</v>
      </c>
      <c r="X775" t="s">
        <v>55</v>
      </c>
      <c r="Y775" t="s">
        <v>41</v>
      </c>
    </row>
    <row r="776" spans="1:25" x14ac:dyDescent="0.3">
      <c r="A776" t="s">
        <v>1629</v>
      </c>
      <c r="B776" s="1">
        <v>45700</v>
      </c>
      <c r="C776" t="s">
        <v>78</v>
      </c>
      <c r="D776" t="s">
        <v>58</v>
      </c>
      <c r="E776" t="s">
        <v>4084</v>
      </c>
      <c r="F776" t="s">
        <v>60</v>
      </c>
      <c r="G776" t="s">
        <v>29</v>
      </c>
      <c r="H776" t="s">
        <v>27</v>
      </c>
      <c r="I776">
        <v>3</v>
      </c>
      <c r="J776" t="s">
        <v>1630</v>
      </c>
      <c r="K776">
        <v>30</v>
      </c>
      <c r="L776" t="s">
        <v>80</v>
      </c>
      <c r="M776">
        <v>5</v>
      </c>
      <c r="N776" t="s">
        <v>91</v>
      </c>
      <c r="O776" t="s">
        <v>69</v>
      </c>
      <c r="P776" t="s">
        <v>35</v>
      </c>
      <c r="Q776" s="2">
        <v>6776.04</v>
      </c>
      <c r="R776" s="2">
        <v>834.77</v>
      </c>
      <c r="S776" t="s">
        <v>51</v>
      </c>
      <c r="T776" t="s">
        <v>52</v>
      </c>
      <c r="U776" t="s">
        <v>75</v>
      </c>
      <c r="V776">
        <v>2.2999999999999998</v>
      </c>
      <c r="W776" t="s">
        <v>76</v>
      </c>
      <c r="X776" t="s">
        <v>106</v>
      </c>
      <c r="Y776" t="s">
        <v>72</v>
      </c>
    </row>
    <row r="777" spans="1:25" x14ac:dyDescent="0.3">
      <c r="A777" t="s">
        <v>1631</v>
      </c>
      <c r="B777" s="1">
        <v>45701</v>
      </c>
      <c r="C777" t="s">
        <v>78</v>
      </c>
      <c r="D777" t="s">
        <v>58</v>
      </c>
      <c r="E777" t="s">
        <v>89</v>
      </c>
      <c r="F777" t="s">
        <v>28</v>
      </c>
      <c r="G777" t="s">
        <v>29</v>
      </c>
      <c r="H777" t="s">
        <v>61</v>
      </c>
      <c r="I777">
        <v>9</v>
      </c>
      <c r="J777" t="s">
        <v>1632</v>
      </c>
      <c r="K777">
        <v>52</v>
      </c>
      <c r="L777" t="s">
        <v>63</v>
      </c>
      <c r="M777">
        <v>2</v>
      </c>
      <c r="N777" t="s">
        <v>33</v>
      </c>
      <c r="O777" t="s">
        <v>81</v>
      </c>
      <c r="P777" t="s">
        <v>82</v>
      </c>
      <c r="Q777" s="2">
        <v>32121.78</v>
      </c>
      <c r="R777" s="2">
        <v>98.02</v>
      </c>
      <c r="S777" t="s">
        <v>36</v>
      </c>
      <c r="T777" t="s">
        <v>71</v>
      </c>
      <c r="U777" t="s">
        <v>83</v>
      </c>
      <c r="V777">
        <v>2.6</v>
      </c>
      <c r="W777" t="s">
        <v>76</v>
      </c>
      <c r="X777" t="s">
        <v>106</v>
      </c>
      <c r="Y777" t="s">
        <v>72</v>
      </c>
    </row>
    <row r="778" spans="1:25" x14ac:dyDescent="0.3">
      <c r="A778" t="s">
        <v>1633</v>
      </c>
      <c r="B778" s="1">
        <v>45702</v>
      </c>
      <c r="C778" t="s">
        <v>117</v>
      </c>
      <c r="D778" t="s">
        <v>4083</v>
      </c>
      <c r="E778" t="s">
        <v>89</v>
      </c>
      <c r="F778" t="s">
        <v>28</v>
      </c>
      <c r="G778" t="s">
        <v>29</v>
      </c>
      <c r="H778" t="s">
        <v>61</v>
      </c>
      <c r="I778">
        <v>3</v>
      </c>
      <c r="J778" t="s">
        <v>1634</v>
      </c>
      <c r="K778">
        <v>68</v>
      </c>
      <c r="L778" t="s">
        <v>32</v>
      </c>
      <c r="M778">
        <v>4</v>
      </c>
      <c r="N778" t="s">
        <v>48</v>
      </c>
      <c r="O778" t="s">
        <v>49</v>
      </c>
      <c r="P778" t="s">
        <v>82</v>
      </c>
      <c r="Q778" s="2">
        <v>10553.32</v>
      </c>
      <c r="R778" s="2">
        <v>1140.44</v>
      </c>
      <c r="S778" t="s">
        <v>115</v>
      </c>
      <c r="T778" t="s">
        <v>37</v>
      </c>
      <c r="U778" t="s">
        <v>53</v>
      </c>
      <c r="V778">
        <v>2.2999999999999998</v>
      </c>
      <c r="W778" t="s">
        <v>76</v>
      </c>
      <c r="X778" t="s">
        <v>55</v>
      </c>
      <c r="Y778" t="s">
        <v>72</v>
      </c>
    </row>
    <row r="779" spans="1:25" x14ac:dyDescent="0.3">
      <c r="A779" t="s">
        <v>1635</v>
      </c>
      <c r="B779" s="1">
        <v>45703</v>
      </c>
      <c r="C779" t="s">
        <v>78</v>
      </c>
      <c r="D779" t="s">
        <v>58</v>
      </c>
      <c r="E779" t="s">
        <v>89</v>
      </c>
      <c r="F779" t="s">
        <v>28</v>
      </c>
      <c r="G779" t="s">
        <v>29</v>
      </c>
      <c r="H779" t="s">
        <v>61</v>
      </c>
      <c r="I779">
        <v>3</v>
      </c>
      <c r="J779" t="s">
        <v>1636</v>
      </c>
      <c r="K779">
        <v>49</v>
      </c>
      <c r="L779" t="s">
        <v>63</v>
      </c>
      <c r="M779">
        <v>5</v>
      </c>
      <c r="N779" t="s">
        <v>91</v>
      </c>
      <c r="O779" t="s">
        <v>81</v>
      </c>
      <c r="P779" t="s">
        <v>82</v>
      </c>
      <c r="Q779" s="2">
        <v>27720.09</v>
      </c>
      <c r="R779" s="2">
        <v>119.53</v>
      </c>
      <c r="S779" t="s">
        <v>94</v>
      </c>
      <c r="T779" t="s">
        <v>37</v>
      </c>
      <c r="U779" t="s">
        <v>83</v>
      </c>
      <c r="V779">
        <v>3.3</v>
      </c>
      <c r="W779" t="s">
        <v>76</v>
      </c>
      <c r="X779" t="s">
        <v>65</v>
      </c>
      <c r="Y779" t="s">
        <v>72</v>
      </c>
    </row>
    <row r="780" spans="1:25" x14ac:dyDescent="0.3">
      <c r="A780" t="s">
        <v>1637</v>
      </c>
      <c r="B780" s="1">
        <v>45704</v>
      </c>
      <c r="C780" t="s">
        <v>43</v>
      </c>
      <c r="D780" t="s">
        <v>58</v>
      </c>
      <c r="E780" t="s">
        <v>4085</v>
      </c>
      <c r="F780" t="s">
        <v>60</v>
      </c>
      <c r="G780" t="s">
        <v>29</v>
      </c>
      <c r="H780" t="s">
        <v>46</v>
      </c>
      <c r="I780">
        <v>11</v>
      </c>
      <c r="J780" t="s">
        <v>1638</v>
      </c>
      <c r="K780">
        <v>28</v>
      </c>
      <c r="L780" t="s">
        <v>80</v>
      </c>
      <c r="M780">
        <v>1</v>
      </c>
      <c r="N780" t="s">
        <v>48</v>
      </c>
      <c r="O780" t="s">
        <v>69</v>
      </c>
      <c r="P780" t="s">
        <v>82</v>
      </c>
      <c r="Q780" s="2">
        <v>47829.8</v>
      </c>
      <c r="R780" s="2">
        <v>1727.37</v>
      </c>
      <c r="S780" t="s">
        <v>51</v>
      </c>
      <c r="T780" t="s">
        <v>37</v>
      </c>
      <c r="U780" t="s">
        <v>75</v>
      </c>
      <c r="V780">
        <v>4.8</v>
      </c>
      <c r="W780" t="s">
        <v>103</v>
      </c>
      <c r="X780" t="s">
        <v>84</v>
      </c>
      <c r="Y780" t="s">
        <v>41</v>
      </c>
    </row>
    <row r="781" spans="1:25" x14ac:dyDescent="0.3">
      <c r="A781" t="s">
        <v>1639</v>
      </c>
      <c r="B781" s="1">
        <v>45705</v>
      </c>
      <c r="C781" t="s">
        <v>57</v>
      </c>
      <c r="D781" t="s">
        <v>44</v>
      </c>
      <c r="E781" t="s">
        <v>45</v>
      </c>
      <c r="F781" t="s">
        <v>28</v>
      </c>
      <c r="G781" t="s">
        <v>29</v>
      </c>
      <c r="H781" t="s">
        <v>67</v>
      </c>
      <c r="I781">
        <v>12</v>
      </c>
      <c r="J781" t="s">
        <v>1640</v>
      </c>
      <c r="K781">
        <v>65</v>
      </c>
      <c r="L781" t="s">
        <v>32</v>
      </c>
      <c r="M781">
        <v>5</v>
      </c>
      <c r="N781" t="s">
        <v>33</v>
      </c>
      <c r="O781" t="s">
        <v>49</v>
      </c>
      <c r="P781" t="s">
        <v>70</v>
      </c>
      <c r="Q781" s="2">
        <v>36436.11</v>
      </c>
      <c r="R781" s="2">
        <v>728.47</v>
      </c>
      <c r="S781" t="s">
        <v>94</v>
      </c>
      <c r="T781" t="s">
        <v>37</v>
      </c>
      <c r="U781" t="s">
        <v>75</v>
      </c>
      <c r="V781">
        <v>2.1</v>
      </c>
      <c r="W781" t="s">
        <v>76</v>
      </c>
      <c r="X781" t="s">
        <v>40</v>
      </c>
      <c r="Y781" t="s">
        <v>72</v>
      </c>
    </row>
    <row r="782" spans="1:25" x14ac:dyDescent="0.3">
      <c r="A782" t="s">
        <v>1641</v>
      </c>
      <c r="B782" s="1">
        <v>45706</v>
      </c>
      <c r="C782" t="s">
        <v>117</v>
      </c>
      <c r="D782" t="s">
        <v>4083</v>
      </c>
      <c r="E782" t="s">
        <v>4084</v>
      </c>
      <c r="F782" t="s">
        <v>60</v>
      </c>
      <c r="G782" t="s">
        <v>29</v>
      </c>
      <c r="H782" t="s">
        <v>27</v>
      </c>
      <c r="I782">
        <v>9</v>
      </c>
      <c r="J782" t="s">
        <v>1642</v>
      </c>
      <c r="K782">
        <v>55</v>
      </c>
      <c r="L782" t="s">
        <v>32</v>
      </c>
      <c r="M782">
        <v>6</v>
      </c>
      <c r="N782" t="s">
        <v>64</v>
      </c>
      <c r="O782" t="s">
        <v>34</v>
      </c>
      <c r="P782" t="s">
        <v>70</v>
      </c>
      <c r="Q782" s="2">
        <v>32785.550000000003</v>
      </c>
      <c r="R782" s="2">
        <v>2899.48</v>
      </c>
      <c r="S782" t="s">
        <v>115</v>
      </c>
      <c r="T782" t="s">
        <v>52</v>
      </c>
      <c r="U782" t="s">
        <v>53</v>
      </c>
      <c r="V782">
        <v>2.8</v>
      </c>
      <c r="W782" t="s">
        <v>76</v>
      </c>
      <c r="X782" t="s">
        <v>106</v>
      </c>
      <c r="Y782" t="s">
        <v>41</v>
      </c>
    </row>
    <row r="783" spans="1:25" x14ac:dyDescent="0.3">
      <c r="A783" t="s">
        <v>1643</v>
      </c>
      <c r="B783" s="1">
        <v>45707</v>
      </c>
      <c r="C783" t="s">
        <v>78</v>
      </c>
      <c r="D783" t="s">
        <v>58</v>
      </c>
      <c r="E783" t="s">
        <v>45</v>
      </c>
      <c r="F783" t="s">
        <v>28</v>
      </c>
      <c r="G783" t="s">
        <v>29</v>
      </c>
      <c r="H783" t="s">
        <v>67</v>
      </c>
      <c r="I783">
        <v>13</v>
      </c>
      <c r="J783" t="s">
        <v>1644</v>
      </c>
      <c r="K783">
        <v>41</v>
      </c>
      <c r="L783" t="s">
        <v>32</v>
      </c>
      <c r="M783">
        <v>7</v>
      </c>
      <c r="N783" t="s">
        <v>48</v>
      </c>
      <c r="O783" t="s">
        <v>49</v>
      </c>
      <c r="P783" t="s">
        <v>82</v>
      </c>
      <c r="Q783" s="2">
        <v>30866.240000000002</v>
      </c>
      <c r="R783" s="2">
        <v>1918.63</v>
      </c>
      <c r="S783" t="s">
        <v>51</v>
      </c>
      <c r="T783" t="s">
        <v>71</v>
      </c>
      <c r="U783" t="s">
        <v>83</v>
      </c>
      <c r="V783">
        <v>3.6</v>
      </c>
      <c r="W783" t="s">
        <v>54</v>
      </c>
      <c r="X783" t="s">
        <v>65</v>
      </c>
      <c r="Y783" t="s">
        <v>72</v>
      </c>
    </row>
    <row r="784" spans="1:25" x14ac:dyDescent="0.3">
      <c r="A784" t="s">
        <v>1645</v>
      </c>
      <c r="B784" s="1">
        <v>45708</v>
      </c>
      <c r="C784" t="s">
        <v>117</v>
      </c>
      <c r="D784" t="s">
        <v>4083</v>
      </c>
      <c r="E784" t="s">
        <v>45</v>
      </c>
      <c r="F784" t="s">
        <v>28</v>
      </c>
      <c r="G784" t="s">
        <v>29</v>
      </c>
      <c r="H784" t="s">
        <v>67</v>
      </c>
      <c r="I784">
        <v>6</v>
      </c>
      <c r="J784" t="s">
        <v>1646</v>
      </c>
      <c r="K784">
        <v>52</v>
      </c>
      <c r="L784" t="s">
        <v>63</v>
      </c>
      <c r="M784">
        <v>3</v>
      </c>
      <c r="N784" t="s">
        <v>91</v>
      </c>
      <c r="O784" t="s">
        <v>81</v>
      </c>
      <c r="P784" t="s">
        <v>50</v>
      </c>
      <c r="Q784" s="2">
        <v>13079.27</v>
      </c>
      <c r="R784" s="2">
        <v>467.93</v>
      </c>
      <c r="S784" t="s">
        <v>36</v>
      </c>
      <c r="T784" t="s">
        <v>37</v>
      </c>
      <c r="U784" t="s">
        <v>75</v>
      </c>
      <c r="V784">
        <v>4.4000000000000004</v>
      </c>
      <c r="W784" t="s">
        <v>54</v>
      </c>
      <c r="X784" t="s">
        <v>40</v>
      </c>
      <c r="Y784" t="s">
        <v>72</v>
      </c>
    </row>
    <row r="785" spans="1:25" x14ac:dyDescent="0.3">
      <c r="A785" t="s">
        <v>1647</v>
      </c>
      <c r="B785" s="1">
        <v>45709</v>
      </c>
      <c r="C785" t="s">
        <v>117</v>
      </c>
      <c r="D785" t="s">
        <v>4083</v>
      </c>
      <c r="E785" t="s">
        <v>89</v>
      </c>
      <c r="F785" t="s">
        <v>28</v>
      </c>
      <c r="G785" t="s">
        <v>29</v>
      </c>
      <c r="H785" t="s">
        <v>61</v>
      </c>
      <c r="I785">
        <v>8</v>
      </c>
      <c r="J785" t="s">
        <v>1648</v>
      </c>
      <c r="K785">
        <v>36</v>
      </c>
      <c r="L785" t="s">
        <v>32</v>
      </c>
      <c r="M785">
        <v>4</v>
      </c>
      <c r="N785" t="s">
        <v>64</v>
      </c>
      <c r="O785" t="s">
        <v>34</v>
      </c>
      <c r="P785" t="s">
        <v>50</v>
      </c>
      <c r="Q785" s="2">
        <v>24469.15</v>
      </c>
      <c r="R785" s="2">
        <v>1999.33</v>
      </c>
      <c r="S785" t="s">
        <v>94</v>
      </c>
      <c r="T785" t="s">
        <v>37</v>
      </c>
      <c r="U785" t="s">
        <v>75</v>
      </c>
      <c r="V785">
        <v>2</v>
      </c>
      <c r="W785" t="s">
        <v>76</v>
      </c>
      <c r="X785" t="s">
        <v>106</v>
      </c>
      <c r="Y785" t="s">
        <v>72</v>
      </c>
    </row>
    <row r="786" spans="1:25" x14ac:dyDescent="0.3">
      <c r="A786" t="s">
        <v>1649</v>
      </c>
      <c r="B786" s="1">
        <v>45710</v>
      </c>
      <c r="C786" t="s">
        <v>57</v>
      </c>
      <c r="D786" t="s">
        <v>44</v>
      </c>
      <c r="E786" t="s">
        <v>4085</v>
      </c>
      <c r="F786" t="s">
        <v>60</v>
      </c>
      <c r="G786" t="s">
        <v>29</v>
      </c>
      <c r="H786" t="s">
        <v>46</v>
      </c>
      <c r="I786">
        <v>3</v>
      </c>
      <c r="J786" t="s">
        <v>1650</v>
      </c>
      <c r="K786">
        <v>23</v>
      </c>
      <c r="L786" t="s">
        <v>32</v>
      </c>
      <c r="M786">
        <v>3</v>
      </c>
      <c r="N786" t="s">
        <v>48</v>
      </c>
      <c r="O786" t="s">
        <v>34</v>
      </c>
      <c r="P786" t="s">
        <v>50</v>
      </c>
      <c r="Q786" s="2">
        <v>20413.560000000001</v>
      </c>
      <c r="R786" s="2">
        <v>1046.74</v>
      </c>
      <c r="S786" t="s">
        <v>36</v>
      </c>
      <c r="T786" t="s">
        <v>71</v>
      </c>
      <c r="U786" t="s">
        <v>38</v>
      </c>
      <c r="V786">
        <v>2.1</v>
      </c>
      <c r="W786" t="s">
        <v>76</v>
      </c>
      <c r="X786" t="s">
        <v>40</v>
      </c>
      <c r="Y786" t="s">
        <v>72</v>
      </c>
    </row>
    <row r="787" spans="1:25" x14ac:dyDescent="0.3">
      <c r="A787" t="s">
        <v>1651</v>
      </c>
      <c r="B787" s="1">
        <v>45711</v>
      </c>
      <c r="C787" t="s">
        <v>43</v>
      </c>
      <c r="D787" t="s">
        <v>58</v>
      </c>
      <c r="E787" t="s">
        <v>120</v>
      </c>
      <c r="F787" t="s">
        <v>28</v>
      </c>
      <c r="G787" t="s">
        <v>29</v>
      </c>
      <c r="H787" t="s">
        <v>86</v>
      </c>
      <c r="I787">
        <v>9</v>
      </c>
      <c r="J787" t="s">
        <v>1652</v>
      </c>
      <c r="K787">
        <v>57</v>
      </c>
      <c r="L787" t="s">
        <v>32</v>
      </c>
      <c r="M787">
        <v>1</v>
      </c>
      <c r="N787" t="s">
        <v>33</v>
      </c>
      <c r="O787" t="s">
        <v>69</v>
      </c>
      <c r="P787" t="s">
        <v>35</v>
      </c>
      <c r="Q787" s="2">
        <v>47888.34</v>
      </c>
      <c r="R787" s="2">
        <v>3400.89</v>
      </c>
      <c r="S787" t="s">
        <v>94</v>
      </c>
      <c r="T787" t="s">
        <v>71</v>
      </c>
      <c r="U787" t="s">
        <v>53</v>
      </c>
      <c r="V787">
        <v>4.5</v>
      </c>
      <c r="W787" t="s">
        <v>103</v>
      </c>
      <c r="X787" t="s">
        <v>55</v>
      </c>
      <c r="Y787" t="s">
        <v>72</v>
      </c>
    </row>
    <row r="788" spans="1:25" x14ac:dyDescent="0.3">
      <c r="A788" t="s">
        <v>1653</v>
      </c>
      <c r="B788" s="1">
        <v>45712</v>
      </c>
      <c r="C788" t="s">
        <v>117</v>
      </c>
      <c r="D788" t="s">
        <v>4083</v>
      </c>
      <c r="E788" t="s">
        <v>4085</v>
      </c>
      <c r="F788" t="s">
        <v>60</v>
      </c>
      <c r="G788" t="s">
        <v>29</v>
      </c>
      <c r="H788" t="s">
        <v>46</v>
      </c>
      <c r="I788">
        <v>14</v>
      </c>
      <c r="J788" t="s">
        <v>1654</v>
      </c>
      <c r="K788">
        <v>62</v>
      </c>
      <c r="L788" t="s">
        <v>80</v>
      </c>
      <c r="M788">
        <v>1</v>
      </c>
      <c r="N788" t="s">
        <v>33</v>
      </c>
      <c r="O788" t="s">
        <v>34</v>
      </c>
      <c r="P788" t="s">
        <v>82</v>
      </c>
      <c r="Q788" s="2">
        <v>15904.41</v>
      </c>
      <c r="R788" s="2">
        <v>1822.18</v>
      </c>
      <c r="S788" t="s">
        <v>115</v>
      </c>
      <c r="T788" t="s">
        <v>71</v>
      </c>
      <c r="U788" t="s">
        <v>38</v>
      </c>
      <c r="V788">
        <v>1.3</v>
      </c>
      <c r="W788" t="s">
        <v>124</v>
      </c>
      <c r="X788" t="s">
        <v>65</v>
      </c>
      <c r="Y788" t="s">
        <v>72</v>
      </c>
    </row>
    <row r="789" spans="1:25" x14ac:dyDescent="0.3">
      <c r="A789" t="s">
        <v>1655</v>
      </c>
      <c r="B789" s="1">
        <v>45713</v>
      </c>
      <c r="C789" t="s">
        <v>78</v>
      </c>
      <c r="D789" t="s">
        <v>58</v>
      </c>
      <c r="E789" t="s">
        <v>45</v>
      </c>
      <c r="F789" t="s">
        <v>28</v>
      </c>
      <c r="G789" t="s">
        <v>29</v>
      </c>
      <c r="H789" t="s">
        <v>67</v>
      </c>
      <c r="I789">
        <v>8</v>
      </c>
      <c r="J789" t="s">
        <v>1656</v>
      </c>
      <c r="K789">
        <v>61</v>
      </c>
      <c r="L789" t="s">
        <v>63</v>
      </c>
      <c r="M789">
        <v>6</v>
      </c>
      <c r="N789" t="s">
        <v>33</v>
      </c>
      <c r="O789" t="s">
        <v>34</v>
      </c>
      <c r="P789" t="s">
        <v>35</v>
      </c>
      <c r="Q789" s="2">
        <v>26218.240000000002</v>
      </c>
      <c r="R789" s="2">
        <v>735.15</v>
      </c>
      <c r="S789" t="s">
        <v>51</v>
      </c>
      <c r="T789" t="s">
        <v>71</v>
      </c>
      <c r="U789" t="s">
        <v>38</v>
      </c>
      <c r="V789">
        <v>3.4</v>
      </c>
      <c r="W789" t="s">
        <v>76</v>
      </c>
      <c r="X789" t="s">
        <v>65</v>
      </c>
      <c r="Y789" t="s">
        <v>72</v>
      </c>
    </row>
    <row r="790" spans="1:25" x14ac:dyDescent="0.3">
      <c r="A790" t="s">
        <v>1657</v>
      </c>
      <c r="B790" s="1">
        <v>45714</v>
      </c>
      <c r="C790" t="s">
        <v>26</v>
      </c>
      <c r="D790" t="s">
        <v>26</v>
      </c>
      <c r="E790" t="s">
        <v>4085</v>
      </c>
      <c r="F790" t="s">
        <v>60</v>
      </c>
      <c r="G790" t="s">
        <v>29</v>
      </c>
      <c r="H790" t="s">
        <v>46</v>
      </c>
      <c r="I790">
        <v>6</v>
      </c>
      <c r="J790" t="s">
        <v>1658</v>
      </c>
      <c r="K790">
        <v>59</v>
      </c>
      <c r="L790" t="s">
        <v>63</v>
      </c>
      <c r="M790">
        <v>3</v>
      </c>
      <c r="N790" t="s">
        <v>48</v>
      </c>
      <c r="O790" t="s">
        <v>69</v>
      </c>
      <c r="P790" t="s">
        <v>70</v>
      </c>
      <c r="Q790" s="2">
        <v>47213.57</v>
      </c>
      <c r="R790" s="2">
        <v>1748.01</v>
      </c>
      <c r="S790" t="s">
        <v>94</v>
      </c>
      <c r="T790" t="s">
        <v>71</v>
      </c>
      <c r="U790" t="s">
        <v>38</v>
      </c>
      <c r="V790">
        <v>4.4000000000000004</v>
      </c>
      <c r="W790" t="s">
        <v>39</v>
      </c>
      <c r="X790" t="s">
        <v>84</v>
      </c>
      <c r="Y790" t="s">
        <v>41</v>
      </c>
    </row>
    <row r="791" spans="1:25" x14ac:dyDescent="0.3">
      <c r="A791" t="s">
        <v>1659</v>
      </c>
      <c r="B791" s="1">
        <v>45715</v>
      </c>
      <c r="C791" t="s">
        <v>117</v>
      </c>
      <c r="D791" t="s">
        <v>4083</v>
      </c>
      <c r="E791" t="s">
        <v>89</v>
      </c>
      <c r="F791" t="s">
        <v>28</v>
      </c>
      <c r="G791" t="s">
        <v>29</v>
      </c>
      <c r="H791" t="s">
        <v>61</v>
      </c>
      <c r="I791">
        <v>9</v>
      </c>
      <c r="J791" t="s">
        <v>1660</v>
      </c>
      <c r="K791">
        <v>52</v>
      </c>
      <c r="L791" t="s">
        <v>80</v>
      </c>
      <c r="M791">
        <v>4</v>
      </c>
      <c r="N791" t="s">
        <v>33</v>
      </c>
      <c r="O791" t="s">
        <v>49</v>
      </c>
      <c r="P791" t="s">
        <v>70</v>
      </c>
      <c r="Q791" s="2">
        <v>40513.129999999997</v>
      </c>
      <c r="R791" s="2">
        <v>1121.8900000000001</v>
      </c>
      <c r="S791" t="s">
        <v>36</v>
      </c>
      <c r="T791" t="s">
        <v>52</v>
      </c>
      <c r="U791" t="s">
        <v>75</v>
      </c>
      <c r="V791">
        <v>4.7</v>
      </c>
      <c r="W791" t="s">
        <v>103</v>
      </c>
      <c r="X791" t="s">
        <v>84</v>
      </c>
      <c r="Y791" t="s">
        <v>41</v>
      </c>
    </row>
    <row r="792" spans="1:25" x14ac:dyDescent="0.3">
      <c r="A792" t="s">
        <v>1661</v>
      </c>
      <c r="B792" s="1">
        <v>45716</v>
      </c>
      <c r="C792" t="s">
        <v>117</v>
      </c>
      <c r="D792" t="s">
        <v>4083</v>
      </c>
      <c r="E792" t="s">
        <v>120</v>
      </c>
      <c r="F792" t="s">
        <v>28</v>
      </c>
      <c r="G792" t="s">
        <v>29</v>
      </c>
      <c r="H792" t="s">
        <v>86</v>
      </c>
      <c r="I792">
        <v>5</v>
      </c>
      <c r="J792" t="s">
        <v>1662</v>
      </c>
      <c r="K792">
        <v>21</v>
      </c>
      <c r="L792" t="s">
        <v>32</v>
      </c>
      <c r="M792">
        <v>1</v>
      </c>
      <c r="N792" t="s">
        <v>48</v>
      </c>
      <c r="O792" t="s">
        <v>81</v>
      </c>
      <c r="P792" t="s">
        <v>50</v>
      </c>
      <c r="Q792" s="2">
        <v>48403.19</v>
      </c>
      <c r="R792" s="2">
        <v>3978.9</v>
      </c>
      <c r="S792" t="s">
        <v>94</v>
      </c>
      <c r="T792" t="s">
        <v>71</v>
      </c>
      <c r="U792" t="s">
        <v>83</v>
      </c>
      <c r="V792">
        <v>1.1000000000000001</v>
      </c>
      <c r="W792" t="s">
        <v>124</v>
      </c>
      <c r="X792" t="s">
        <v>40</v>
      </c>
      <c r="Y792" t="s">
        <v>41</v>
      </c>
    </row>
    <row r="793" spans="1:25" x14ac:dyDescent="0.3">
      <c r="A793" t="s">
        <v>1663</v>
      </c>
      <c r="B793" s="1">
        <v>45717</v>
      </c>
      <c r="C793" t="s">
        <v>57</v>
      </c>
      <c r="D793" t="s">
        <v>44</v>
      </c>
      <c r="E793" t="s">
        <v>89</v>
      </c>
      <c r="F793" t="s">
        <v>28</v>
      </c>
      <c r="G793" t="s">
        <v>29</v>
      </c>
      <c r="H793" t="s">
        <v>61</v>
      </c>
      <c r="I793">
        <v>3</v>
      </c>
      <c r="J793" t="s">
        <v>1664</v>
      </c>
      <c r="K793">
        <v>50</v>
      </c>
      <c r="L793" t="s">
        <v>80</v>
      </c>
      <c r="M793">
        <v>1</v>
      </c>
      <c r="N793" t="s">
        <v>91</v>
      </c>
      <c r="O793" t="s">
        <v>49</v>
      </c>
      <c r="P793" t="s">
        <v>50</v>
      </c>
      <c r="Q793" s="2">
        <v>32374.86</v>
      </c>
      <c r="R793" s="2">
        <v>4916.84</v>
      </c>
      <c r="S793" t="s">
        <v>94</v>
      </c>
      <c r="T793" t="s">
        <v>52</v>
      </c>
      <c r="U793" t="s">
        <v>38</v>
      </c>
      <c r="V793">
        <v>2.5</v>
      </c>
      <c r="W793" t="s">
        <v>76</v>
      </c>
      <c r="X793" t="s">
        <v>55</v>
      </c>
      <c r="Y793" t="s">
        <v>72</v>
      </c>
    </row>
    <row r="794" spans="1:25" x14ac:dyDescent="0.3">
      <c r="A794" t="s">
        <v>1665</v>
      </c>
      <c r="B794" s="1">
        <v>45718</v>
      </c>
      <c r="C794" t="s">
        <v>43</v>
      </c>
      <c r="D794" t="s">
        <v>58</v>
      </c>
      <c r="E794" t="s">
        <v>120</v>
      </c>
      <c r="F794" t="s">
        <v>28</v>
      </c>
      <c r="G794" t="s">
        <v>29</v>
      </c>
      <c r="H794" t="s">
        <v>86</v>
      </c>
      <c r="I794">
        <v>6</v>
      </c>
      <c r="J794" t="s">
        <v>1666</v>
      </c>
      <c r="K794">
        <v>30</v>
      </c>
      <c r="L794" t="s">
        <v>80</v>
      </c>
      <c r="M794">
        <v>5</v>
      </c>
      <c r="N794" t="s">
        <v>91</v>
      </c>
      <c r="O794" t="s">
        <v>34</v>
      </c>
      <c r="P794" t="s">
        <v>70</v>
      </c>
      <c r="Q794" s="2">
        <v>20020.41</v>
      </c>
      <c r="R794" s="2">
        <v>127.46</v>
      </c>
      <c r="S794" t="s">
        <v>94</v>
      </c>
      <c r="T794" t="s">
        <v>71</v>
      </c>
      <c r="U794" t="s">
        <v>83</v>
      </c>
      <c r="V794">
        <v>2</v>
      </c>
      <c r="W794" t="s">
        <v>76</v>
      </c>
      <c r="X794" t="s">
        <v>40</v>
      </c>
      <c r="Y794" t="s">
        <v>41</v>
      </c>
    </row>
    <row r="795" spans="1:25" x14ac:dyDescent="0.3">
      <c r="A795" t="s">
        <v>1667</v>
      </c>
      <c r="B795" s="1">
        <v>45719</v>
      </c>
      <c r="C795" t="s">
        <v>26</v>
      </c>
      <c r="D795" t="s">
        <v>26</v>
      </c>
      <c r="E795" t="s">
        <v>45</v>
      </c>
      <c r="F795" t="s">
        <v>28</v>
      </c>
      <c r="G795" t="s">
        <v>29</v>
      </c>
      <c r="H795" t="s">
        <v>67</v>
      </c>
      <c r="I795">
        <v>5</v>
      </c>
      <c r="J795" t="s">
        <v>1668</v>
      </c>
      <c r="K795">
        <v>53</v>
      </c>
      <c r="L795" t="s">
        <v>32</v>
      </c>
      <c r="M795">
        <v>6</v>
      </c>
      <c r="N795" t="s">
        <v>48</v>
      </c>
      <c r="O795" t="s">
        <v>81</v>
      </c>
      <c r="P795" t="s">
        <v>50</v>
      </c>
      <c r="Q795" s="2">
        <v>42199.24</v>
      </c>
      <c r="R795" s="2">
        <v>3450.1</v>
      </c>
      <c r="S795" t="s">
        <v>94</v>
      </c>
      <c r="T795" t="s">
        <v>71</v>
      </c>
      <c r="U795" t="s">
        <v>75</v>
      </c>
      <c r="V795">
        <v>3.3</v>
      </c>
      <c r="W795" t="s">
        <v>76</v>
      </c>
      <c r="X795" t="s">
        <v>106</v>
      </c>
      <c r="Y795" t="s">
        <v>72</v>
      </c>
    </row>
    <row r="796" spans="1:25" x14ac:dyDescent="0.3">
      <c r="A796" t="s">
        <v>1669</v>
      </c>
      <c r="B796" s="1">
        <v>45720</v>
      </c>
      <c r="C796" t="s">
        <v>78</v>
      </c>
      <c r="D796" t="s">
        <v>58</v>
      </c>
      <c r="E796" t="s">
        <v>120</v>
      </c>
      <c r="F796" t="s">
        <v>28</v>
      </c>
      <c r="G796" t="s">
        <v>29</v>
      </c>
      <c r="H796" t="s">
        <v>86</v>
      </c>
      <c r="I796">
        <v>3</v>
      </c>
      <c r="J796" t="s">
        <v>1670</v>
      </c>
      <c r="K796">
        <v>60</v>
      </c>
      <c r="L796" t="s">
        <v>32</v>
      </c>
      <c r="M796">
        <v>7</v>
      </c>
      <c r="N796" t="s">
        <v>48</v>
      </c>
      <c r="O796" t="s">
        <v>49</v>
      </c>
      <c r="P796" t="s">
        <v>50</v>
      </c>
      <c r="Q796" s="2">
        <v>18115.53</v>
      </c>
      <c r="R796" s="2">
        <v>1319.79</v>
      </c>
      <c r="S796" t="s">
        <v>94</v>
      </c>
      <c r="T796" t="s">
        <v>37</v>
      </c>
      <c r="U796" t="s">
        <v>38</v>
      </c>
      <c r="V796">
        <v>3.5</v>
      </c>
      <c r="W796" t="s">
        <v>39</v>
      </c>
      <c r="X796" t="s">
        <v>65</v>
      </c>
      <c r="Y796" t="s">
        <v>41</v>
      </c>
    </row>
    <row r="797" spans="1:25" x14ac:dyDescent="0.3">
      <c r="A797" t="s">
        <v>1671</v>
      </c>
      <c r="B797" s="1">
        <v>45721</v>
      </c>
      <c r="C797" t="s">
        <v>26</v>
      </c>
      <c r="D797" t="s">
        <v>26</v>
      </c>
      <c r="E797" t="s">
        <v>120</v>
      </c>
      <c r="F797" t="s">
        <v>28</v>
      </c>
      <c r="G797" t="s">
        <v>29</v>
      </c>
      <c r="H797" t="s">
        <v>86</v>
      </c>
      <c r="I797">
        <v>4</v>
      </c>
      <c r="J797" t="s">
        <v>1672</v>
      </c>
      <c r="K797">
        <v>36</v>
      </c>
      <c r="L797" t="s">
        <v>63</v>
      </c>
      <c r="M797">
        <v>2</v>
      </c>
      <c r="N797" t="s">
        <v>64</v>
      </c>
      <c r="O797" t="s">
        <v>81</v>
      </c>
      <c r="P797" t="s">
        <v>70</v>
      </c>
      <c r="Q797" s="2">
        <v>12414.78</v>
      </c>
      <c r="R797" s="2">
        <v>332.04</v>
      </c>
      <c r="S797" t="s">
        <v>94</v>
      </c>
      <c r="T797" t="s">
        <v>37</v>
      </c>
      <c r="U797" t="s">
        <v>75</v>
      </c>
      <c r="V797">
        <v>5</v>
      </c>
      <c r="W797" t="s">
        <v>103</v>
      </c>
      <c r="X797" t="s">
        <v>40</v>
      </c>
      <c r="Y797" t="s">
        <v>41</v>
      </c>
    </row>
    <row r="798" spans="1:25" x14ac:dyDescent="0.3">
      <c r="A798" t="s">
        <v>1673</v>
      </c>
      <c r="B798" s="1">
        <v>45722</v>
      </c>
      <c r="C798" t="s">
        <v>78</v>
      </c>
      <c r="D798" t="s">
        <v>58</v>
      </c>
      <c r="E798" t="s">
        <v>120</v>
      </c>
      <c r="F798" t="s">
        <v>28</v>
      </c>
      <c r="G798" t="s">
        <v>29</v>
      </c>
      <c r="H798" t="s">
        <v>86</v>
      </c>
      <c r="I798">
        <v>13</v>
      </c>
      <c r="J798" t="s">
        <v>1674</v>
      </c>
      <c r="K798">
        <v>60</v>
      </c>
      <c r="L798" t="s">
        <v>32</v>
      </c>
      <c r="M798">
        <v>7</v>
      </c>
      <c r="N798" t="s">
        <v>33</v>
      </c>
      <c r="O798" t="s">
        <v>34</v>
      </c>
      <c r="P798" t="s">
        <v>35</v>
      </c>
      <c r="Q798" s="2">
        <v>36783</v>
      </c>
      <c r="R798" s="2">
        <v>71.760000000000005</v>
      </c>
      <c r="S798" t="s">
        <v>36</v>
      </c>
      <c r="T798" t="s">
        <v>37</v>
      </c>
      <c r="U798" t="s">
        <v>38</v>
      </c>
      <c r="V798">
        <v>3.1</v>
      </c>
      <c r="W798" t="s">
        <v>39</v>
      </c>
      <c r="X798" t="s">
        <v>40</v>
      </c>
      <c r="Y798" t="s">
        <v>72</v>
      </c>
    </row>
    <row r="799" spans="1:25" x14ac:dyDescent="0.3">
      <c r="A799" t="s">
        <v>1675</v>
      </c>
      <c r="B799" s="1">
        <v>45723</v>
      </c>
      <c r="C799" t="s">
        <v>43</v>
      </c>
      <c r="D799" t="s">
        <v>58</v>
      </c>
      <c r="E799" t="s">
        <v>4085</v>
      </c>
      <c r="F799" t="s">
        <v>60</v>
      </c>
      <c r="G799" t="s">
        <v>29</v>
      </c>
      <c r="H799" t="s">
        <v>46</v>
      </c>
      <c r="I799">
        <v>7</v>
      </c>
      <c r="J799" t="s">
        <v>1676</v>
      </c>
      <c r="K799">
        <v>29</v>
      </c>
      <c r="L799" t="s">
        <v>80</v>
      </c>
      <c r="M799">
        <v>7</v>
      </c>
      <c r="N799" t="s">
        <v>91</v>
      </c>
      <c r="O799" t="s">
        <v>49</v>
      </c>
      <c r="P799" t="s">
        <v>50</v>
      </c>
      <c r="Q799" s="2">
        <v>33753</v>
      </c>
      <c r="R799" s="2">
        <v>4405.05</v>
      </c>
      <c r="S799" t="s">
        <v>94</v>
      </c>
      <c r="T799" t="s">
        <v>37</v>
      </c>
      <c r="U799" t="s">
        <v>38</v>
      </c>
      <c r="V799">
        <v>3.2</v>
      </c>
      <c r="W799" t="s">
        <v>76</v>
      </c>
      <c r="X799" t="s">
        <v>65</v>
      </c>
      <c r="Y799" t="s">
        <v>72</v>
      </c>
    </row>
    <row r="800" spans="1:25" x14ac:dyDescent="0.3">
      <c r="A800" t="s">
        <v>1677</v>
      </c>
      <c r="B800" s="1">
        <v>45724</v>
      </c>
      <c r="C800" t="s">
        <v>78</v>
      </c>
      <c r="D800" t="s">
        <v>58</v>
      </c>
      <c r="E800" t="s">
        <v>4085</v>
      </c>
      <c r="F800" t="s">
        <v>60</v>
      </c>
      <c r="G800" t="s">
        <v>29</v>
      </c>
      <c r="H800" t="s">
        <v>59</v>
      </c>
      <c r="I800">
        <v>10</v>
      </c>
      <c r="J800" t="s">
        <v>1678</v>
      </c>
      <c r="K800">
        <v>28</v>
      </c>
      <c r="L800" t="s">
        <v>80</v>
      </c>
      <c r="M800">
        <v>1</v>
      </c>
      <c r="N800" t="s">
        <v>91</v>
      </c>
      <c r="O800" t="s">
        <v>81</v>
      </c>
      <c r="P800" t="s">
        <v>35</v>
      </c>
      <c r="Q800" s="2">
        <v>44552.7</v>
      </c>
      <c r="R800" s="2">
        <v>1768.03</v>
      </c>
      <c r="S800" t="s">
        <v>94</v>
      </c>
      <c r="T800" t="s">
        <v>37</v>
      </c>
      <c r="U800" t="s">
        <v>75</v>
      </c>
      <c r="V800">
        <v>2.7</v>
      </c>
      <c r="W800" t="s">
        <v>76</v>
      </c>
      <c r="X800" t="s">
        <v>65</v>
      </c>
      <c r="Y800" t="s">
        <v>72</v>
      </c>
    </row>
    <row r="801" spans="1:25" x14ac:dyDescent="0.3">
      <c r="A801" t="s">
        <v>1679</v>
      </c>
      <c r="B801" s="1">
        <v>45725</v>
      </c>
      <c r="C801" t="s">
        <v>57</v>
      </c>
      <c r="D801" t="s">
        <v>44</v>
      </c>
      <c r="E801" t="s">
        <v>45</v>
      </c>
      <c r="F801" t="s">
        <v>28</v>
      </c>
      <c r="G801" t="s">
        <v>29</v>
      </c>
      <c r="H801" t="s">
        <v>67</v>
      </c>
      <c r="I801">
        <v>3</v>
      </c>
      <c r="J801" t="s">
        <v>1680</v>
      </c>
      <c r="K801">
        <v>23</v>
      </c>
      <c r="L801" t="s">
        <v>32</v>
      </c>
      <c r="M801">
        <v>4</v>
      </c>
      <c r="N801" t="s">
        <v>64</v>
      </c>
      <c r="O801" t="s">
        <v>81</v>
      </c>
      <c r="P801" t="s">
        <v>50</v>
      </c>
      <c r="Q801" s="2">
        <v>48286.61</v>
      </c>
      <c r="R801" s="2">
        <v>4972.72</v>
      </c>
      <c r="S801" t="s">
        <v>94</v>
      </c>
      <c r="T801" t="s">
        <v>37</v>
      </c>
      <c r="U801" t="s">
        <v>53</v>
      </c>
      <c r="V801">
        <v>1.6</v>
      </c>
      <c r="W801" t="s">
        <v>124</v>
      </c>
      <c r="X801" t="s">
        <v>84</v>
      </c>
      <c r="Y801" t="s">
        <v>72</v>
      </c>
    </row>
    <row r="802" spans="1:25" x14ac:dyDescent="0.3">
      <c r="A802" t="s">
        <v>1681</v>
      </c>
      <c r="B802" s="1">
        <v>45726</v>
      </c>
      <c r="C802" t="s">
        <v>57</v>
      </c>
      <c r="D802" t="s">
        <v>44</v>
      </c>
      <c r="E802" t="s">
        <v>120</v>
      </c>
      <c r="F802" t="s">
        <v>28</v>
      </c>
      <c r="G802" t="s">
        <v>29</v>
      </c>
      <c r="H802" t="s">
        <v>86</v>
      </c>
      <c r="I802">
        <v>6</v>
      </c>
      <c r="J802" t="s">
        <v>1682</v>
      </c>
      <c r="K802">
        <v>29</v>
      </c>
      <c r="L802" t="s">
        <v>63</v>
      </c>
      <c r="M802">
        <v>4</v>
      </c>
      <c r="N802" t="s">
        <v>48</v>
      </c>
      <c r="O802" t="s">
        <v>49</v>
      </c>
      <c r="P802" t="s">
        <v>82</v>
      </c>
      <c r="Q802" s="2">
        <v>43573.89</v>
      </c>
      <c r="R802" s="2">
        <v>2211.89</v>
      </c>
      <c r="S802" t="s">
        <v>51</v>
      </c>
      <c r="T802" t="s">
        <v>71</v>
      </c>
      <c r="U802" t="s">
        <v>53</v>
      </c>
      <c r="V802">
        <v>2.2000000000000002</v>
      </c>
      <c r="W802" t="s">
        <v>76</v>
      </c>
      <c r="X802" t="s">
        <v>84</v>
      </c>
      <c r="Y802" t="s">
        <v>72</v>
      </c>
    </row>
    <row r="803" spans="1:25" x14ac:dyDescent="0.3">
      <c r="A803" t="s">
        <v>1683</v>
      </c>
      <c r="B803" s="1">
        <v>45727</v>
      </c>
      <c r="C803" t="s">
        <v>57</v>
      </c>
      <c r="D803" t="s">
        <v>44</v>
      </c>
      <c r="E803" t="s">
        <v>4084</v>
      </c>
      <c r="F803" t="s">
        <v>60</v>
      </c>
      <c r="G803" t="s">
        <v>29</v>
      </c>
      <c r="H803" t="s">
        <v>30</v>
      </c>
      <c r="I803">
        <v>6</v>
      </c>
      <c r="J803" t="s">
        <v>1684</v>
      </c>
      <c r="K803">
        <v>44</v>
      </c>
      <c r="L803" t="s">
        <v>80</v>
      </c>
      <c r="M803">
        <v>5</v>
      </c>
      <c r="N803" t="s">
        <v>48</v>
      </c>
      <c r="O803" t="s">
        <v>49</v>
      </c>
      <c r="P803" t="s">
        <v>35</v>
      </c>
      <c r="Q803" s="2">
        <v>7700.98</v>
      </c>
      <c r="R803" s="2">
        <v>937.99</v>
      </c>
      <c r="S803" t="s">
        <v>115</v>
      </c>
      <c r="T803" t="s">
        <v>71</v>
      </c>
      <c r="U803" t="s">
        <v>83</v>
      </c>
      <c r="V803">
        <v>2</v>
      </c>
      <c r="W803" t="s">
        <v>76</v>
      </c>
      <c r="X803" t="s">
        <v>65</v>
      </c>
      <c r="Y803" t="s">
        <v>41</v>
      </c>
    </row>
    <row r="804" spans="1:25" x14ac:dyDescent="0.3">
      <c r="A804" t="s">
        <v>1685</v>
      </c>
      <c r="B804" s="1">
        <v>45728</v>
      </c>
      <c r="C804" t="s">
        <v>57</v>
      </c>
      <c r="D804" t="s">
        <v>44</v>
      </c>
      <c r="E804" t="s">
        <v>45</v>
      </c>
      <c r="F804" t="s">
        <v>28</v>
      </c>
      <c r="G804" t="s">
        <v>29</v>
      </c>
      <c r="H804" t="s">
        <v>67</v>
      </c>
      <c r="I804">
        <v>7</v>
      </c>
      <c r="J804" t="s">
        <v>1686</v>
      </c>
      <c r="K804">
        <v>58</v>
      </c>
      <c r="L804" t="s">
        <v>32</v>
      </c>
      <c r="M804">
        <v>4</v>
      </c>
      <c r="N804" t="s">
        <v>64</v>
      </c>
      <c r="O804" t="s">
        <v>34</v>
      </c>
      <c r="P804" t="s">
        <v>35</v>
      </c>
      <c r="Q804" s="2">
        <v>34903.1</v>
      </c>
      <c r="R804" s="2">
        <v>3885.72</v>
      </c>
      <c r="S804" t="s">
        <v>115</v>
      </c>
      <c r="T804" t="s">
        <v>37</v>
      </c>
      <c r="U804" t="s">
        <v>83</v>
      </c>
      <c r="V804">
        <v>4.2</v>
      </c>
      <c r="W804" t="s">
        <v>39</v>
      </c>
      <c r="X804" t="s">
        <v>40</v>
      </c>
      <c r="Y804" t="s">
        <v>72</v>
      </c>
    </row>
    <row r="805" spans="1:25" x14ac:dyDescent="0.3">
      <c r="A805" t="s">
        <v>1687</v>
      </c>
      <c r="B805" s="1">
        <v>45729</v>
      </c>
      <c r="C805" t="s">
        <v>26</v>
      </c>
      <c r="D805" t="s">
        <v>26</v>
      </c>
      <c r="E805" t="s">
        <v>120</v>
      </c>
      <c r="F805" t="s">
        <v>28</v>
      </c>
      <c r="G805" t="s">
        <v>29</v>
      </c>
      <c r="H805" t="s">
        <v>86</v>
      </c>
      <c r="I805">
        <v>9</v>
      </c>
      <c r="J805" t="s">
        <v>1688</v>
      </c>
      <c r="K805">
        <v>42</v>
      </c>
      <c r="L805" t="s">
        <v>63</v>
      </c>
      <c r="M805">
        <v>5</v>
      </c>
      <c r="N805" t="s">
        <v>33</v>
      </c>
      <c r="O805" t="s">
        <v>69</v>
      </c>
      <c r="P805" t="s">
        <v>50</v>
      </c>
      <c r="Q805" s="2">
        <v>40312.959999999999</v>
      </c>
      <c r="R805" s="2">
        <v>4632.46</v>
      </c>
      <c r="S805" t="s">
        <v>115</v>
      </c>
      <c r="T805" t="s">
        <v>37</v>
      </c>
      <c r="U805" t="s">
        <v>75</v>
      </c>
      <c r="V805">
        <v>3.2</v>
      </c>
      <c r="W805" t="s">
        <v>76</v>
      </c>
      <c r="X805" t="s">
        <v>106</v>
      </c>
      <c r="Y805" t="s">
        <v>72</v>
      </c>
    </row>
    <row r="806" spans="1:25" x14ac:dyDescent="0.3">
      <c r="A806" t="s">
        <v>1689</v>
      </c>
      <c r="B806" s="1">
        <v>45730</v>
      </c>
      <c r="C806" t="s">
        <v>43</v>
      </c>
      <c r="D806" t="s">
        <v>58</v>
      </c>
      <c r="E806" t="s">
        <v>120</v>
      </c>
      <c r="F806" t="s">
        <v>28</v>
      </c>
      <c r="G806" t="s">
        <v>29</v>
      </c>
      <c r="H806" t="s">
        <v>86</v>
      </c>
      <c r="I806">
        <v>14</v>
      </c>
      <c r="J806" t="s">
        <v>1690</v>
      </c>
      <c r="K806">
        <v>59</v>
      </c>
      <c r="L806" t="s">
        <v>63</v>
      </c>
      <c r="M806">
        <v>1</v>
      </c>
      <c r="N806" t="s">
        <v>48</v>
      </c>
      <c r="O806" t="s">
        <v>81</v>
      </c>
      <c r="P806" t="s">
        <v>35</v>
      </c>
      <c r="Q806" s="2">
        <v>49186.79</v>
      </c>
      <c r="R806" s="2">
        <v>4078.11</v>
      </c>
      <c r="S806" t="s">
        <v>36</v>
      </c>
      <c r="T806" t="s">
        <v>37</v>
      </c>
      <c r="U806" t="s">
        <v>75</v>
      </c>
      <c r="V806">
        <v>2.2000000000000002</v>
      </c>
      <c r="W806" t="s">
        <v>76</v>
      </c>
      <c r="X806" t="s">
        <v>40</v>
      </c>
      <c r="Y806" t="s">
        <v>72</v>
      </c>
    </row>
    <row r="807" spans="1:25" x14ac:dyDescent="0.3">
      <c r="A807" t="s">
        <v>1691</v>
      </c>
      <c r="B807" s="1">
        <v>45731</v>
      </c>
      <c r="C807" t="s">
        <v>78</v>
      </c>
      <c r="D807" t="s">
        <v>58</v>
      </c>
      <c r="E807" t="s">
        <v>4085</v>
      </c>
      <c r="F807" t="s">
        <v>60</v>
      </c>
      <c r="G807" t="s">
        <v>29</v>
      </c>
      <c r="H807" t="s">
        <v>46</v>
      </c>
      <c r="I807">
        <v>10</v>
      </c>
      <c r="J807" t="s">
        <v>1692</v>
      </c>
      <c r="K807">
        <v>20</v>
      </c>
      <c r="L807" t="s">
        <v>80</v>
      </c>
      <c r="M807">
        <v>1</v>
      </c>
      <c r="N807" t="s">
        <v>48</v>
      </c>
      <c r="O807" t="s">
        <v>49</v>
      </c>
      <c r="P807" t="s">
        <v>82</v>
      </c>
      <c r="Q807" s="2">
        <v>21859.759999999998</v>
      </c>
      <c r="R807" s="2">
        <v>3726</v>
      </c>
      <c r="S807" t="s">
        <v>36</v>
      </c>
      <c r="T807" t="s">
        <v>71</v>
      </c>
      <c r="U807" t="s">
        <v>75</v>
      </c>
      <c r="V807">
        <v>3</v>
      </c>
      <c r="W807" t="s">
        <v>76</v>
      </c>
      <c r="X807" t="s">
        <v>106</v>
      </c>
      <c r="Y807" t="s">
        <v>41</v>
      </c>
    </row>
    <row r="808" spans="1:25" x14ac:dyDescent="0.3">
      <c r="A808" t="s">
        <v>1693</v>
      </c>
      <c r="B808" s="1">
        <v>45732</v>
      </c>
      <c r="C808" t="s">
        <v>78</v>
      </c>
      <c r="D808" t="s">
        <v>58</v>
      </c>
      <c r="E808" t="s">
        <v>45</v>
      </c>
      <c r="F808" t="s">
        <v>28</v>
      </c>
      <c r="G808" t="s">
        <v>29</v>
      </c>
      <c r="H808" t="s">
        <v>67</v>
      </c>
      <c r="I808">
        <v>8</v>
      </c>
      <c r="J808" t="s">
        <v>1694</v>
      </c>
      <c r="K808">
        <v>20</v>
      </c>
      <c r="L808" t="s">
        <v>80</v>
      </c>
      <c r="M808">
        <v>7</v>
      </c>
      <c r="N808" t="s">
        <v>33</v>
      </c>
      <c r="O808" t="s">
        <v>49</v>
      </c>
      <c r="P808" t="s">
        <v>70</v>
      </c>
      <c r="Q808" s="2">
        <v>12644.67</v>
      </c>
      <c r="R808" s="2">
        <v>1673.5</v>
      </c>
      <c r="S808" t="s">
        <v>36</v>
      </c>
      <c r="T808" t="s">
        <v>37</v>
      </c>
      <c r="U808" t="s">
        <v>53</v>
      </c>
      <c r="V808">
        <v>1.9</v>
      </c>
      <c r="W808" t="s">
        <v>124</v>
      </c>
      <c r="X808" t="s">
        <v>65</v>
      </c>
      <c r="Y808" t="s">
        <v>72</v>
      </c>
    </row>
    <row r="809" spans="1:25" x14ac:dyDescent="0.3">
      <c r="A809" t="s">
        <v>1695</v>
      </c>
      <c r="B809" s="1">
        <v>45733</v>
      </c>
      <c r="C809" t="s">
        <v>57</v>
      </c>
      <c r="D809" t="s">
        <v>44</v>
      </c>
      <c r="E809" t="s">
        <v>120</v>
      </c>
      <c r="F809" t="s">
        <v>28</v>
      </c>
      <c r="G809" t="s">
        <v>29</v>
      </c>
      <c r="H809" t="s">
        <v>86</v>
      </c>
      <c r="I809">
        <v>3</v>
      </c>
      <c r="J809" t="s">
        <v>1696</v>
      </c>
      <c r="K809">
        <v>37</v>
      </c>
      <c r="L809" t="s">
        <v>63</v>
      </c>
      <c r="M809">
        <v>1</v>
      </c>
      <c r="N809" t="s">
        <v>33</v>
      </c>
      <c r="O809" t="s">
        <v>49</v>
      </c>
      <c r="P809" t="s">
        <v>82</v>
      </c>
      <c r="Q809" s="2">
        <v>43381.99</v>
      </c>
      <c r="R809" s="2">
        <v>322.45</v>
      </c>
      <c r="S809" t="s">
        <v>94</v>
      </c>
      <c r="T809" t="s">
        <v>37</v>
      </c>
      <c r="U809" t="s">
        <v>53</v>
      </c>
      <c r="V809">
        <v>1.7</v>
      </c>
      <c r="W809" t="s">
        <v>124</v>
      </c>
      <c r="X809" t="s">
        <v>106</v>
      </c>
      <c r="Y809" t="s">
        <v>41</v>
      </c>
    </row>
    <row r="810" spans="1:25" x14ac:dyDescent="0.3">
      <c r="A810" t="s">
        <v>1697</v>
      </c>
      <c r="B810" s="1">
        <v>45734</v>
      </c>
      <c r="C810" t="s">
        <v>57</v>
      </c>
      <c r="D810" t="s">
        <v>44</v>
      </c>
      <c r="E810" t="s">
        <v>120</v>
      </c>
      <c r="F810" t="s">
        <v>28</v>
      </c>
      <c r="G810" t="s">
        <v>29</v>
      </c>
      <c r="H810" t="s">
        <v>86</v>
      </c>
      <c r="I810">
        <v>9</v>
      </c>
      <c r="J810" t="s">
        <v>1698</v>
      </c>
      <c r="K810">
        <v>45</v>
      </c>
      <c r="L810" t="s">
        <v>63</v>
      </c>
      <c r="M810">
        <v>1</v>
      </c>
      <c r="N810" t="s">
        <v>64</v>
      </c>
      <c r="O810" t="s">
        <v>81</v>
      </c>
      <c r="P810" t="s">
        <v>70</v>
      </c>
      <c r="Q810" s="2">
        <v>19286</v>
      </c>
      <c r="R810" s="2">
        <v>1006.5</v>
      </c>
      <c r="S810" t="s">
        <v>115</v>
      </c>
      <c r="T810" t="s">
        <v>71</v>
      </c>
      <c r="U810" t="s">
        <v>38</v>
      </c>
      <c r="V810">
        <v>4.4000000000000004</v>
      </c>
      <c r="W810" t="s">
        <v>54</v>
      </c>
      <c r="X810" t="s">
        <v>84</v>
      </c>
      <c r="Y810" t="s">
        <v>41</v>
      </c>
    </row>
    <row r="811" spans="1:25" x14ac:dyDescent="0.3">
      <c r="A811" t="s">
        <v>1699</v>
      </c>
      <c r="B811" s="1">
        <v>45735</v>
      </c>
      <c r="C811" t="s">
        <v>117</v>
      </c>
      <c r="D811" t="s">
        <v>4083</v>
      </c>
      <c r="E811" t="s">
        <v>45</v>
      </c>
      <c r="F811" t="s">
        <v>28</v>
      </c>
      <c r="G811" t="s">
        <v>29</v>
      </c>
      <c r="H811" t="s">
        <v>67</v>
      </c>
      <c r="I811">
        <v>5</v>
      </c>
      <c r="J811" t="s">
        <v>1700</v>
      </c>
      <c r="K811">
        <v>40</v>
      </c>
      <c r="L811" t="s">
        <v>63</v>
      </c>
      <c r="M811">
        <v>2</v>
      </c>
      <c r="N811" t="s">
        <v>64</v>
      </c>
      <c r="O811" t="s">
        <v>34</v>
      </c>
      <c r="P811" t="s">
        <v>82</v>
      </c>
      <c r="Q811" s="2">
        <v>31919.09</v>
      </c>
      <c r="R811" s="2">
        <v>2234.0500000000002</v>
      </c>
      <c r="S811" t="s">
        <v>94</v>
      </c>
      <c r="T811" t="s">
        <v>71</v>
      </c>
      <c r="U811" t="s">
        <v>38</v>
      </c>
      <c r="V811">
        <v>4.8</v>
      </c>
      <c r="W811" t="s">
        <v>103</v>
      </c>
      <c r="X811" t="s">
        <v>65</v>
      </c>
      <c r="Y811" t="s">
        <v>41</v>
      </c>
    </row>
    <row r="812" spans="1:25" x14ac:dyDescent="0.3">
      <c r="A812" t="s">
        <v>1701</v>
      </c>
      <c r="B812" s="1">
        <v>45736</v>
      </c>
      <c r="C812" t="s">
        <v>43</v>
      </c>
      <c r="D812" t="s">
        <v>58</v>
      </c>
      <c r="E812" t="s">
        <v>4084</v>
      </c>
      <c r="F812" t="s">
        <v>60</v>
      </c>
      <c r="G812" t="s">
        <v>29</v>
      </c>
      <c r="H812" t="s">
        <v>30</v>
      </c>
      <c r="I812">
        <v>8</v>
      </c>
      <c r="J812" t="s">
        <v>1702</v>
      </c>
      <c r="K812">
        <v>65</v>
      </c>
      <c r="L812" t="s">
        <v>32</v>
      </c>
      <c r="M812">
        <v>6</v>
      </c>
      <c r="N812" t="s">
        <v>64</v>
      </c>
      <c r="O812" t="s">
        <v>69</v>
      </c>
      <c r="P812" t="s">
        <v>82</v>
      </c>
      <c r="Q812" s="2">
        <v>22545.26</v>
      </c>
      <c r="R812" s="2">
        <v>4781</v>
      </c>
      <c r="S812" t="s">
        <v>51</v>
      </c>
      <c r="T812" t="s">
        <v>52</v>
      </c>
      <c r="U812" t="s">
        <v>75</v>
      </c>
      <c r="V812">
        <v>1.3</v>
      </c>
      <c r="W812" t="s">
        <v>124</v>
      </c>
      <c r="X812" t="s">
        <v>55</v>
      </c>
      <c r="Y812" t="s">
        <v>41</v>
      </c>
    </row>
    <row r="813" spans="1:25" x14ac:dyDescent="0.3">
      <c r="A813" t="s">
        <v>1703</v>
      </c>
      <c r="B813" s="1">
        <v>45737</v>
      </c>
      <c r="C813" t="s">
        <v>26</v>
      </c>
      <c r="D813" t="s">
        <v>26</v>
      </c>
      <c r="E813" t="s">
        <v>45</v>
      </c>
      <c r="F813" t="s">
        <v>28</v>
      </c>
      <c r="G813" t="s">
        <v>29</v>
      </c>
      <c r="H813" t="s">
        <v>67</v>
      </c>
      <c r="I813">
        <v>10</v>
      </c>
      <c r="J813" t="s">
        <v>1704</v>
      </c>
      <c r="K813">
        <v>20</v>
      </c>
      <c r="L813" t="s">
        <v>80</v>
      </c>
      <c r="M813">
        <v>7</v>
      </c>
      <c r="N813" t="s">
        <v>48</v>
      </c>
      <c r="O813" t="s">
        <v>81</v>
      </c>
      <c r="P813" t="s">
        <v>35</v>
      </c>
      <c r="Q813" s="2">
        <v>23104.68</v>
      </c>
      <c r="R813" s="2">
        <v>3614.27</v>
      </c>
      <c r="S813" t="s">
        <v>115</v>
      </c>
      <c r="T813" t="s">
        <v>37</v>
      </c>
      <c r="U813" t="s">
        <v>75</v>
      </c>
      <c r="V813">
        <v>4.0999999999999996</v>
      </c>
      <c r="W813" t="s">
        <v>54</v>
      </c>
      <c r="X813" t="s">
        <v>106</v>
      </c>
      <c r="Y813" t="s">
        <v>72</v>
      </c>
    </row>
    <row r="814" spans="1:25" x14ac:dyDescent="0.3">
      <c r="A814" t="s">
        <v>1705</v>
      </c>
      <c r="B814" s="1">
        <v>45738</v>
      </c>
      <c r="C814" t="s">
        <v>78</v>
      </c>
      <c r="D814" t="s">
        <v>58</v>
      </c>
      <c r="E814" t="s">
        <v>45</v>
      </c>
      <c r="F814" t="s">
        <v>28</v>
      </c>
      <c r="G814" t="s">
        <v>29</v>
      </c>
      <c r="H814" t="s">
        <v>67</v>
      </c>
      <c r="I814">
        <v>9</v>
      </c>
      <c r="J814" t="s">
        <v>1706</v>
      </c>
      <c r="K814">
        <v>59</v>
      </c>
      <c r="L814" t="s">
        <v>63</v>
      </c>
      <c r="M814">
        <v>7</v>
      </c>
      <c r="N814" t="s">
        <v>64</v>
      </c>
      <c r="O814" t="s">
        <v>34</v>
      </c>
      <c r="P814" t="s">
        <v>82</v>
      </c>
      <c r="Q814" s="2">
        <v>37960.9</v>
      </c>
      <c r="R814" s="2">
        <v>4141.42</v>
      </c>
      <c r="S814" t="s">
        <v>51</v>
      </c>
      <c r="T814" t="s">
        <v>71</v>
      </c>
      <c r="U814" t="s">
        <v>83</v>
      </c>
      <c r="V814">
        <v>2.8</v>
      </c>
      <c r="W814" t="s">
        <v>76</v>
      </c>
      <c r="X814" t="s">
        <v>106</v>
      </c>
      <c r="Y814" t="s">
        <v>72</v>
      </c>
    </row>
    <row r="815" spans="1:25" x14ac:dyDescent="0.3">
      <c r="A815" t="s">
        <v>1707</v>
      </c>
      <c r="B815" s="1">
        <v>45739</v>
      </c>
      <c r="C815" t="s">
        <v>117</v>
      </c>
      <c r="D815" t="s">
        <v>4083</v>
      </c>
      <c r="E815" t="s">
        <v>4084</v>
      </c>
      <c r="F815" t="s">
        <v>60</v>
      </c>
      <c r="G815" t="s">
        <v>29</v>
      </c>
      <c r="H815" t="s">
        <v>30</v>
      </c>
      <c r="I815">
        <v>12</v>
      </c>
      <c r="J815" t="s">
        <v>1708</v>
      </c>
      <c r="K815">
        <v>41</v>
      </c>
      <c r="L815" t="s">
        <v>80</v>
      </c>
      <c r="M815">
        <v>6</v>
      </c>
      <c r="N815" t="s">
        <v>48</v>
      </c>
      <c r="O815" t="s">
        <v>81</v>
      </c>
      <c r="P815" t="s">
        <v>50</v>
      </c>
      <c r="Q815" s="2">
        <v>21266.38</v>
      </c>
      <c r="R815" s="2">
        <v>1386.47</v>
      </c>
      <c r="S815" t="s">
        <v>51</v>
      </c>
      <c r="T815" t="s">
        <v>52</v>
      </c>
      <c r="U815" t="s">
        <v>53</v>
      </c>
      <c r="V815">
        <v>2.6</v>
      </c>
      <c r="W815" t="s">
        <v>76</v>
      </c>
      <c r="X815" t="s">
        <v>55</v>
      </c>
      <c r="Y815" t="s">
        <v>72</v>
      </c>
    </row>
    <row r="816" spans="1:25" x14ac:dyDescent="0.3">
      <c r="A816" t="s">
        <v>1709</v>
      </c>
      <c r="B816" s="1">
        <v>45740</v>
      </c>
      <c r="C816" t="s">
        <v>117</v>
      </c>
      <c r="D816" t="s">
        <v>4083</v>
      </c>
      <c r="E816" t="s">
        <v>45</v>
      </c>
      <c r="F816" t="s">
        <v>28</v>
      </c>
      <c r="G816" t="s">
        <v>29</v>
      </c>
      <c r="H816" t="s">
        <v>67</v>
      </c>
      <c r="I816">
        <v>8</v>
      </c>
      <c r="J816" t="s">
        <v>1710</v>
      </c>
      <c r="K816">
        <v>60</v>
      </c>
      <c r="L816" t="s">
        <v>80</v>
      </c>
      <c r="M816">
        <v>2</v>
      </c>
      <c r="N816" t="s">
        <v>91</v>
      </c>
      <c r="O816" t="s">
        <v>81</v>
      </c>
      <c r="P816" t="s">
        <v>50</v>
      </c>
      <c r="Q816" s="2">
        <v>36188.379999999997</v>
      </c>
      <c r="R816" s="2">
        <v>3419.12</v>
      </c>
      <c r="S816" t="s">
        <v>94</v>
      </c>
      <c r="T816" t="s">
        <v>71</v>
      </c>
      <c r="U816" t="s">
        <v>75</v>
      </c>
      <c r="V816">
        <v>3.8</v>
      </c>
      <c r="W816" t="s">
        <v>39</v>
      </c>
      <c r="X816" t="s">
        <v>55</v>
      </c>
      <c r="Y816" t="s">
        <v>72</v>
      </c>
    </row>
    <row r="817" spans="1:25" x14ac:dyDescent="0.3">
      <c r="A817" t="s">
        <v>1711</v>
      </c>
      <c r="B817" s="1">
        <v>45741</v>
      </c>
      <c r="C817" t="s">
        <v>78</v>
      </c>
      <c r="D817" t="s">
        <v>58</v>
      </c>
      <c r="E817" t="s">
        <v>120</v>
      </c>
      <c r="F817" t="s">
        <v>28</v>
      </c>
      <c r="G817" t="s">
        <v>29</v>
      </c>
      <c r="H817" t="s">
        <v>86</v>
      </c>
      <c r="I817">
        <v>11</v>
      </c>
      <c r="J817" t="s">
        <v>1712</v>
      </c>
      <c r="K817">
        <v>57</v>
      </c>
      <c r="L817" t="s">
        <v>80</v>
      </c>
      <c r="M817">
        <v>1</v>
      </c>
      <c r="N817" t="s">
        <v>33</v>
      </c>
      <c r="O817" t="s">
        <v>49</v>
      </c>
      <c r="P817" t="s">
        <v>50</v>
      </c>
      <c r="Q817" s="2">
        <v>5644.78</v>
      </c>
      <c r="R817" s="2">
        <v>4312.1899999999996</v>
      </c>
      <c r="S817" t="s">
        <v>115</v>
      </c>
      <c r="T817" t="s">
        <v>52</v>
      </c>
      <c r="U817" t="s">
        <v>53</v>
      </c>
      <c r="V817">
        <v>2.1</v>
      </c>
      <c r="W817" t="s">
        <v>76</v>
      </c>
      <c r="X817" t="s">
        <v>65</v>
      </c>
      <c r="Y817" t="s">
        <v>41</v>
      </c>
    </row>
    <row r="818" spans="1:25" x14ac:dyDescent="0.3">
      <c r="A818" t="s">
        <v>1713</v>
      </c>
      <c r="B818" s="1">
        <v>45742</v>
      </c>
      <c r="C818" t="s">
        <v>26</v>
      </c>
      <c r="D818" t="s">
        <v>26</v>
      </c>
      <c r="E818" t="s">
        <v>45</v>
      </c>
      <c r="F818" t="s">
        <v>28</v>
      </c>
      <c r="G818" t="s">
        <v>29</v>
      </c>
      <c r="H818" t="s">
        <v>67</v>
      </c>
      <c r="I818">
        <v>11</v>
      </c>
      <c r="J818" t="s">
        <v>1714</v>
      </c>
      <c r="K818">
        <v>23</v>
      </c>
      <c r="L818" t="s">
        <v>63</v>
      </c>
      <c r="M818">
        <v>4</v>
      </c>
      <c r="N818" t="s">
        <v>33</v>
      </c>
      <c r="O818" t="s">
        <v>34</v>
      </c>
      <c r="P818" t="s">
        <v>50</v>
      </c>
      <c r="Q818" s="2">
        <v>19609.13</v>
      </c>
      <c r="R818" s="2">
        <v>2397.06</v>
      </c>
      <c r="S818" t="s">
        <v>51</v>
      </c>
      <c r="T818" t="s">
        <v>52</v>
      </c>
      <c r="U818" t="s">
        <v>75</v>
      </c>
      <c r="V818">
        <v>1.1000000000000001</v>
      </c>
      <c r="W818" t="s">
        <v>124</v>
      </c>
      <c r="X818" t="s">
        <v>40</v>
      </c>
      <c r="Y818" t="s">
        <v>41</v>
      </c>
    </row>
    <row r="819" spans="1:25" x14ac:dyDescent="0.3">
      <c r="A819" t="s">
        <v>1715</v>
      </c>
      <c r="B819" s="1">
        <v>45743</v>
      </c>
      <c r="C819" t="s">
        <v>117</v>
      </c>
      <c r="D819" t="s">
        <v>4083</v>
      </c>
      <c r="E819" t="s">
        <v>4084</v>
      </c>
      <c r="F819" t="s">
        <v>60</v>
      </c>
      <c r="G819" t="s">
        <v>29</v>
      </c>
      <c r="H819" t="s">
        <v>27</v>
      </c>
      <c r="I819">
        <v>3</v>
      </c>
      <c r="J819" t="s">
        <v>1716</v>
      </c>
      <c r="K819">
        <v>37</v>
      </c>
      <c r="L819" t="s">
        <v>32</v>
      </c>
      <c r="M819">
        <v>5</v>
      </c>
      <c r="N819" t="s">
        <v>91</v>
      </c>
      <c r="O819" t="s">
        <v>49</v>
      </c>
      <c r="P819" t="s">
        <v>35</v>
      </c>
      <c r="Q819" s="2">
        <v>19356.98</v>
      </c>
      <c r="R819" s="2">
        <v>2149.46</v>
      </c>
      <c r="S819" t="s">
        <v>115</v>
      </c>
      <c r="T819" t="s">
        <v>37</v>
      </c>
      <c r="U819" t="s">
        <v>38</v>
      </c>
      <c r="V819">
        <v>1.9</v>
      </c>
      <c r="W819" t="s">
        <v>124</v>
      </c>
      <c r="X819" t="s">
        <v>55</v>
      </c>
      <c r="Y819" t="s">
        <v>72</v>
      </c>
    </row>
    <row r="820" spans="1:25" x14ac:dyDescent="0.3">
      <c r="A820" t="s">
        <v>1717</v>
      </c>
      <c r="B820" s="1">
        <v>45744</v>
      </c>
      <c r="C820" t="s">
        <v>117</v>
      </c>
      <c r="D820" t="s">
        <v>4083</v>
      </c>
      <c r="E820" t="s">
        <v>89</v>
      </c>
      <c r="F820" t="s">
        <v>28</v>
      </c>
      <c r="G820" t="s">
        <v>29</v>
      </c>
      <c r="H820" t="s">
        <v>61</v>
      </c>
      <c r="I820">
        <v>3</v>
      </c>
      <c r="J820" t="s">
        <v>1718</v>
      </c>
      <c r="K820">
        <v>28</v>
      </c>
      <c r="L820" t="s">
        <v>63</v>
      </c>
      <c r="M820">
        <v>7</v>
      </c>
      <c r="N820" t="s">
        <v>64</v>
      </c>
      <c r="O820" t="s">
        <v>49</v>
      </c>
      <c r="P820" t="s">
        <v>50</v>
      </c>
      <c r="Q820" s="2">
        <v>38697.589999999997</v>
      </c>
      <c r="R820" s="2">
        <v>3597.02</v>
      </c>
      <c r="S820" t="s">
        <v>51</v>
      </c>
      <c r="T820" t="s">
        <v>37</v>
      </c>
      <c r="U820" t="s">
        <v>75</v>
      </c>
      <c r="V820">
        <v>1.7</v>
      </c>
      <c r="W820" t="s">
        <v>124</v>
      </c>
      <c r="X820" t="s">
        <v>106</v>
      </c>
      <c r="Y820" t="s">
        <v>72</v>
      </c>
    </row>
    <row r="821" spans="1:25" x14ac:dyDescent="0.3">
      <c r="A821" t="s">
        <v>1719</v>
      </c>
      <c r="B821" s="1">
        <v>45745</v>
      </c>
      <c r="C821" t="s">
        <v>43</v>
      </c>
      <c r="D821" t="s">
        <v>58</v>
      </c>
      <c r="E821" t="s">
        <v>45</v>
      </c>
      <c r="F821" t="s">
        <v>28</v>
      </c>
      <c r="G821" t="s">
        <v>29</v>
      </c>
      <c r="H821" t="s">
        <v>67</v>
      </c>
      <c r="I821">
        <v>3</v>
      </c>
      <c r="J821" t="s">
        <v>1720</v>
      </c>
      <c r="K821">
        <v>49</v>
      </c>
      <c r="L821" t="s">
        <v>80</v>
      </c>
      <c r="M821">
        <v>6</v>
      </c>
      <c r="N821" t="s">
        <v>48</v>
      </c>
      <c r="O821" t="s">
        <v>34</v>
      </c>
      <c r="P821" t="s">
        <v>82</v>
      </c>
      <c r="Q821" s="2">
        <v>19155.07</v>
      </c>
      <c r="R821" s="2">
        <v>2799.56</v>
      </c>
      <c r="S821" t="s">
        <v>51</v>
      </c>
      <c r="T821" t="s">
        <v>52</v>
      </c>
      <c r="U821" t="s">
        <v>38</v>
      </c>
      <c r="V821">
        <v>1.1000000000000001</v>
      </c>
      <c r="W821" t="s">
        <v>124</v>
      </c>
      <c r="X821" t="s">
        <v>55</v>
      </c>
      <c r="Y821" t="s">
        <v>72</v>
      </c>
    </row>
    <row r="822" spans="1:25" x14ac:dyDescent="0.3">
      <c r="A822" t="s">
        <v>1721</v>
      </c>
      <c r="B822" s="1">
        <v>45746</v>
      </c>
      <c r="C822" t="s">
        <v>26</v>
      </c>
      <c r="D822" t="s">
        <v>26</v>
      </c>
      <c r="E822" t="s">
        <v>4085</v>
      </c>
      <c r="F822" t="s">
        <v>60</v>
      </c>
      <c r="G822" t="s">
        <v>29</v>
      </c>
      <c r="H822" t="s">
        <v>46</v>
      </c>
      <c r="I822">
        <v>10</v>
      </c>
      <c r="J822" t="s">
        <v>1722</v>
      </c>
      <c r="K822">
        <v>44</v>
      </c>
      <c r="L822" t="s">
        <v>63</v>
      </c>
      <c r="M822">
        <v>3</v>
      </c>
      <c r="N822" t="s">
        <v>48</v>
      </c>
      <c r="O822" t="s">
        <v>49</v>
      </c>
      <c r="P822" t="s">
        <v>50</v>
      </c>
      <c r="Q822" s="2">
        <v>33499.72</v>
      </c>
      <c r="R822" s="2">
        <v>4965.8599999999997</v>
      </c>
      <c r="S822" t="s">
        <v>94</v>
      </c>
      <c r="T822" t="s">
        <v>37</v>
      </c>
      <c r="U822" t="s">
        <v>83</v>
      </c>
      <c r="V822">
        <v>2.2999999999999998</v>
      </c>
      <c r="W822" t="s">
        <v>76</v>
      </c>
      <c r="X822" t="s">
        <v>65</v>
      </c>
      <c r="Y822" t="s">
        <v>41</v>
      </c>
    </row>
    <row r="823" spans="1:25" x14ac:dyDescent="0.3">
      <c r="A823" t="s">
        <v>1723</v>
      </c>
      <c r="B823" s="1">
        <v>45747</v>
      </c>
      <c r="C823" t="s">
        <v>117</v>
      </c>
      <c r="D823" t="s">
        <v>4083</v>
      </c>
      <c r="E823" t="s">
        <v>120</v>
      </c>
      <c r="F823" t="s">
        <v>28</v>
      </c>
      <c r="G823" t="s">
        <v>29</v>
      </c>
      <c r="H823" t="s">
        <v>86</v>
      </c>
      <c r="I823">
        <v>14</v>
      </c>
      <c r="J823" t="s">
        <v>1724</v>
      </c>
      <c r="K823">
        <v>38</v>
      </c>
      <c r="L823" t="s">
        <v>63</v>
      </c>
      <c r="M823">
        <v>5</v>
      </c>
      <c r="N823" t="s">
        <v>48</v>
      </c>
      <c r="O823" t="s">
        <v>49</v>
      </c>
      <c r="P823" t="s">
        <v>35</v>
      </c>
      <c r="Q823" s="2">
        <v>35983.599999999999</v>
      </c>
      <c r="R823" s="2">
        <v>2125.5100000000002</v>
      </c>
      <c r="S823" t="s">
        <v>115</v>
      </c>
      <c r="T823" t="s">
        <v>71</v>
      </c>
      <c r="U823" t="s">
        <v>83</v>
      </c>
      <c r="V823">
        <v>2.9</v>
      </c>
      <c r="W823" t="s">
        <v>76</v>
      </c>
      <c r="X823" t="s">
        <v>65</v>
      </c>
      <c r="Y823" t="s">
        <v>41</v>
      </c>
    </row>
    <row r="824" spans="1:25" x14ac:dyDescent="0.3">
      <c r="A824" t="s">
        <v>1725</v>
      </c>
      <c r="B824" s="1">
        <v>45748</v>
      </c>
      <c r="C824" t="s">
        <v>26</v>
      </c>
      <c r="D824" t="s">
        <v>26</v>
      </c>
      <c r="E824" t="s">
        <v>120</v>
      </c>
      <c r="F824" t="s">
        <v>28</v>
      </c>
      <c r="G824" t="s">
        <v>29</v>
      </c>
      <c r="H824" t="s">
        <v>86</v>
      </c>
      <c r="I824">
        <v>14</v>
      </c>
      <c r="J824" t="s">
        <v>1726</v>
      </c>
      <c r="K824">
        <v>61</v>
      </c>
      <c r="L824" t="s">
        <v>80</v>
      </c>
      <c r="M824">
        <v>3</v>
      </c>
      <c r="N824" t="s">
        <v>33</v>
      </c>
      <c r="O824" t="s">
        <v>69</v>
      </c>
      <c r="P824" t="s">
        <v>70</v>
      </c>
      <c r="Q824" s="2">
        <v>34629.15</v>
      </c>
      <c r="R824" s="2">
        <v>879.72</v>
      </c>
      <c r="S824" t="s">
        <v>94</v>
      </c>
      <c r="T824" t="s">
        <v>71</v>
      </c>
      <c r="U824" t="s">
        <v>83</v>
      </c>
      <c r="V824">
        <v>3.9</v>
      </c>
      <c r="W824" t="s">
        <v>39</v>
      </c>
      <c r="X824" t="s">
        <v>106</v>
      </c>
      <c r="Y824" t="s">
        <v>41</v>
      </c>
    </row>
    <row r="825" spans="1:25" x14ac:dyDescent="0.3">
      <c r="A825" t="s">
        <v>1727</v>
      </c>
      <c r="B825" s="1">
        <v>45749</v>
      </c>
      <c r="C825" t="s">
        <v>78</v>
      </c>
      <c r="D825" t="s">
        <v>58</v>
      </c>
      <c r="E825" t="s">
        <v>4085</v>
      </c>
      <c r="F825" t="s">
        <v>60</v>
      </c>
      <c r="G825" t="s">
        <v>29</v>
      </c>
      <c r="H825" t="s">
        <v>59</v>
      </c>
      <c r="I825">
        <v>12</v>
      </c>
      <c r="J825" t="s">
        <v>1728</v>
      </c>
      <c r="K825">
        <v>65</v>
      </c>
      <c r="L825" t="s">
        <v>80</v>
      </c>
      <c r="M825">
        <v>3</v>
      </c>
      <c r="N825" t="s">
        <v>64</v>
      </c>
      <c r="O825" t="s">
        <v>34</v>
      </c>
      <c r="P825" t="s">
        <v>82</v>
      </c>
      <c r="Q825" s="2">
        <v>32148.22</v>
      </c>
      <c r="R825" s="2">
        <v>2359.6799999999998</v>
      </c>
      <c r="S825" t="s">
        <v>94</v>
      </c>
      <c r="T825" t="s">
        <v>52</v>
      </c>
      <c r="U825" t="s">
        <v>75</v>
      </c>
      <c r="V825">
        <v>2.2999999999999998</v>
      </c>
      <c r="W825" t="s">
        <v>76</v>
      </c>
      <c r="X825" t="s">
        <v>106</v>
      </c>
      <c r="Y825" t="s">
        <v>72</v>
      </c>
    </row>
    <row r="826" spans="1:25" x14ac:dyDescent="0.3">
      <c r="A826" t="s">
        <v>1729</v>
      </c>
      <c r="B826" s="1">
        <v>45750</v>
      </c>
      <c r="C826" t="s">
        <v>57</v>
      </c>
      <c r="D826" t="s">
        <v>44</v>
      </c>
      <c r="E826" t="s">
        <v>4085</v>
      </c>
      <c r="F826" t="s">
        <v>60</v>
      </c>
      <c r="G826" t="s">
        <v>29</v>
      </c>
      <c r="H826" t="s">
        <v>59</v>
      </c>
      <c r="I826">
        <v>9</v>
      </c>
      <c r="J826" t="s">
        <v>1730</v>
      </c>
      <c r="K826">
        <v>67</v>
      </c>
      <c r="L826" t="s">
        <v>63</v>
      </c>
      <c r="M826">
        <v>7</v>
      </c>
      <c r="N826" t="s">
        <v>48</v>
      </c>
      <c r="O826" t="s">
        <v>34</v>
      </c>
      <c r="P826" t="s">
        <v>82</v>
      </c>
      <c r="Q826" s="2">
        <v>23612.76</v>
      </c>
      <c r="R826" s="2">
        <v>1176.02</v>
      </c>
      <c r="S826" t="s">
        <v>94</v>
      </c>
      <c r="T826" t="s">
        <v>52</v>
      </c>
      <c r="U826" t="s">
        <v>83</v>
      </c>
      <c r="V826">
        <v>1.8</v>
      </c>
      <c r="W826" t="s">
        <v>124</v>
      </c>
      <c r="X826" t="s">
        <v>106</v>
      </c>
      <c r="Y826" t="s">
        <v>41</v>
      </c>
    </row>
    <row r="827" spans="1:25" x14ac:dyDescent="0.3">
      <c r="A827" t="s">
        <v>1731</v>
      </c>
      <c r="B827" s="1">
        <v>45751</v>
      </c>
      <c r="C827" t="s">
        <v>117</v>
      </c>
      <c r="D827" t="s">
        <v>4083</v>
      </c>
      <c r="E827" t="s">
        <v>45</v>
      </c>
      <c r="F827" t="s">
        <v>28</v>
      </c>
      <c r="G827" t="s">
        <v>29</v>
      </c>
      <c r="H827" t="s">
        <v>67</v>
      </c>
      <c r="I827">
        <v>5</v>
      </c>
      <c r="J827" t="s">
        <v>1732</v>
      </c>
      <c r="K827">
        <v>30</v>
      </c>
      <c r="L827" t="s">
        <v>63</v>
      </c>
      <c r="M827">
        <v>1</v>
      </c>
      <c r="N827" t="s">
        <v>48</v>
      </c>
      <c r="O827" t="s">
        <v>49</v>
      </c>
      <c r="P827" t="s">
        <v>35</v>
      </c>
      <c r="Q827" s="2">
        <v>21798.720000000001</v>
      </c>
      <c r="R827" s="2">
        <v>2806.27</v>
      </c>
      <c r="S827" t="s">
        <v>94</v>
      </c>
      <c r="T827" t="s">
        <v>71</v>
      </c>
      <c r="U827" t="s">
        <v>75</v>
      </c>
      <c r="V827">
        <v>1.9</v>
      </c>
      <c r="W827" t="s">
        <v>124</v>
      </c>
      <c r="X827" t="s">
        <v>40</v>
      </c>
      <c r="Y827" t="s">
        <v>41</v>
      </c>
    </row>
    <row r="828" spans="1:25" x14ac:dyDescent="0.3">
      <c r="A828" t="s">
        <v>1733</v>
      </c>
      <c r="B828" s="1">
        <v>45752</v>
      </c>
      <c r="C828" t="s">
        <v>43</v>
      </c>
      <c r="D828" t="s">
        <v>58</v>
      </c>
      <c r="E828" t="s">
        <v>4085</v>
      </c>
      <c r="F828" t="s">
        <v>60</v>
      </c>
      <c r="G828" t="s">
        <v>29</v>
      </c>
      <c r="H828" t="s">
        <v>46</v>
      </c>
      <c r="I828">
        <v>4</v>
      </c>
      <c r="J828" t="s">
        <v>1734</v>
      </c>
      <c r="K828">
        <v>39</v>
      </c>
      <c r="L828" t="s">
        <v>63</v>
      </c>
      <c r="M828">
        <v>3</v>
      </c>
      <c r="N828" t="s">
        <v>48</v>
      </c>
      <c r="O828" t="s">
        <v>49</v>
      </c>
      <c r="P828" t="s">
        <v>70</v>
      </c>
      <c r="Q828" s="2">
        <v>30406.28</v>
      </c>
      <c r="R828" s="2">
        <v>628.98</v>
      </c>
      <c r="S828" t="s">
        <v>94</v>
      </c>
      <c r="T828" t="s">
        <v>71</v>
      </c>
      <c r="U828" t="s">
        <v>53</v>
      </c>
      <c r="V828">
        <v>4.5999999999999996</v>
      </c>
      <c r="W828" t="s">
        <v>103</v>
      </c>
      <c r="X828" t="s">
        <v>106</v>
      </c>
      <c r="Y828" t="s">
        <v>41</v>
      </c>
    </row>
    <row r="829" spans="1:25" x14ac:dyDescent="0.3">
      <c r="A829" t="s">
        <v>1735</v>
      </c>
      <c r="B829" s="1">
        <v>45753</v>
      </c>
      <c r="C829" t="s">
        <v>78</v>
      </c>
      <c r="D829" t="s">
        <v>58</v>
      </c>
      <c r="E829" t="s">
        <v>89</v>
      </c>
      <c r="F829" t="s">
        <v>28</v>
      </c>
      <c r="G829" t="s">
        <v>29</v>
      </c>
      <c r="H829" t="s">
        <v>61</v>
      </c>
      <c r="I829">
        <v>6</v>
      </c>
      <c r="J829" t="s">
        <v>1736</v>
      </c>
      <c r="K829">
        <v>52</v>
      </c>
      <c r="L829" t="s">
        <v>63</v>
      </c>
      <c r="M829">
        <v>1</v>
      </c>
      <c r="N829" t="s">
        <v>91</v>
      </c>
      <c r="O829" t="s">
        <v>34</v>
      </c>
      <c r="P829" t="s">
        <v>50</v>
      </c>
      <c r="Q829" s="2">
        <v>7866.64</v>
      </c>
      <c r="R829" s="2">
        <v>4749.88</v>
      </c>
      <c r="S829" t="s">
        <v>51</v>
      </c>
      <c r="T829" t="s">
        <v>52</v>
      </c>
      <c r="U829" t="s">
        <v>38</v>
      </c>
      <c r="V829">
        <v>1.8</v>
      </c>
      <c r="W829" t="s">
        <v>124</v>
      </c>
      <c r="X829" t="s">
        <v>65</v>
      </c>
      <c r="Y829" t="s">
        <v>72</v>
      </c>
    </row>
    <row r="830" spans="1:25" x14ac:dyDescent="0.3">
      <c r="A830" t="s">
        <v>1737</v>
      </c>
      <c r="B830" s="1">
        <v>45754</v>
      </c>
      <c r="C830" t="s">
        <v>26</v>
      </c>
      <c r="D830" t="s">
        <v>26</v>
      </c>
      <c r="E830" t="s">
        <v>4084</v>
      </c>
      <c r="F830" t="s">
        <v>60</v>
      </c>
      <c r="G830" t="s">
        <v>29</v>
      </c>
      <c r="H830" t="s">
        <v>27</v>
      </c>
      <c r="I830">
        <v>5</v>
      </c>
      <c r="J830" t="s">
        <v>1738</v>
      </c>
      <c r="K830">
        <v>64</v>
      </c>
      <c r="L830" t="s">
        <v>32</v>
      </c>
      <c r="M830">
        <v>2</v>
      </c>
      <c r="N830" t="s">
        <v>48</v>
      </c>
      <c r="O830" t="s">
        <v>34</v>
      </c>
      <c r="P830" t="s">
        <v>70</v>
      </c>
      <c r="Q830" s="2">
        <v>44411.89</v>
      </c>
      <c r="R830" s="2">
        <v>4299.1099999999997</v>
      </c>
      <c r="S830" t="s">
        <v>115</v>
      </c>
      <c r="T830" t="s">
        <v>71</v>
      </c>
      <c r="U830" t="s">
        <v>53</v>
      </c>
      <c r="V830">
        <v>4.5</v>
      </c>
      <c r="W830" t="s">
        <v>103</v>
      </c>
      <c r="X830" t="s">
        <v>65</v>
      </c>
      <c r="Y830" t="s">
        <v>41</v>
      </c>
    </row>
    <row r="831" spans="1:25" x14ac:dyDescent="0.3">
      <c r="A831" t="s">
        <v>1739</v>
      </c>
      <c r="B831" s="1">
        <v>45755</v>
      </c>
      <c r="C831" t="s">
        <v>78</v>
      </c>
      <c r="D831" t="s">
        <v>58</v>
      </c>
      <c r="E831" t="s">
        <v>4085</v>
      </c>
      <c r="F831" t="s">
        <v>60</v>
      </c>
      <c r="G831" t="s">
        <v>29</v>
      </c>
      <c r="H831" t="s">
        <v>59</v>
      </c>
      <c r="I831">
        <v>9</v>
      </c>
      <c r="J831" t="s">
        <v>1740</v>
      </c>
      <c r="K831">
        <v>39</v>
      </c>
      <c r="L831" t="s">
        <v>63</v>
      </c>
      <c r="M831">
        <v>4</v>
      </c>
      <c r="N831" t="s">
        <v>91</v>
      </c>
      <c r="O831" t="s">
        <v>81</v>
      </c>
      <c r="P831" t="s">
        <v>82</v>
      </c>
      <c r="Q831" s="2">
        <v>42139.18</v>
      </c>
      <c r="R831" s="2">
        <v>777.83</v>
      </c>
      <c r="S831" t="s">
        <v>115</v>
      </c>
      <c r="T831" t="s">
        <v>71</v>
      </c>
      <c r="U831" t="s">
        <v>75</v>
      </c>
      <c r="V831">
        <v>2.8</v>
      </c>
      <c r="W831" t="s">
        <v>76</v>
      </c>
      <c r="X831" t="s">
        <v>55</v>
      </c>
      <c r="Y831" t="s">
        <v>72</v>
      </c>
    </row>
    <row r="832" spans="1:25" x14ac:dyDescent="0.3">
      <c r="A832" t="s">
        <v>1741</v>
      </c>
      <c r="B832" s="1">
        <v>45756</v>
      </c>
      <c r="C832" t="s">
        <v>117</v>
      </c>
      <c r="D832" t="s">
        <v>4083</v>
      </c>
      <c r="E832" t="s">
        <v>4085</v>
      </c>
      <c r="F832" t="s">
        <v>60</v>
      </c>
      <c r="G832" t="s">
        <v>29</v>
      </c>
      <c r="H832" t="s">
        <v>59</v>
      </c>
      <c r="I832">
        <v>12</v>
      </c>
      <c r="J832" t="s">
        <v>1742</v>
      </c>
      <c r="K832">
        <v>45</v>
      </c>
      <c r="L832" t="s">
        <v>32</v>
      </c>
      <c r="M832">
        <v>3</v>
      </c>
      <c r="N832" t="s">
        <v>48</v>
      </c>
      <c r="O832" t="s">
        <v>34</v>
      </c>
      <c r="P832" t="s">
        <v>82</v>
      </c>
      <c r="Q832" s="2">
        <v>20587.310000000001</v>
      </c>
      <c r="R832" s="2">
        <v>861.96</v>
      </c>
      <c r="S832" t="s">
        <v>94</v>
      </c>
      <c r="T832" t="s">
        <v>52</v>
      </c>
      <c r="U832" t="s">
        <v>83</v>
      </c>
      <c r="V832">
        <v>4.7</v>
      </c>
      <c r="W832" t="s">
        <v>103</v>
      </c>
      <c r="X832" t="s">
        <v>106</v>
      </c>
      <c r="Y832" t="s">
        <v>72</v>
      </c>
    </row>
    <row r="833" spans="1:25" x14ac:dyDescent="0.3">
      <c r="A833" t="s">
        <v>1743</v>
      </c>
      <c r="B833" s="1">
        <v>45757</v>
      </c>
      <c r="C833" t="s">
        <v>26</v>
      </c>
      <c r="D833" t="s">
        <v>26</v>
      </c>
      <c r="E833" t="s">
        <v>89</v>
      </c>
      <c r="F833" t="s">
        <v>28</v>
      </c>
      <c r="G833" t="s">
        <v>29</v>
      </c>
      <c r="H833" t="s">
        <v>61</v>
      </c>
      <c r="I833">
        <v>10</v>
      </c>
      <c r="J833" t="s">
        <v>1744</v>
      </c>
      <c r="K833">
        <v>38</v>
      </c>
      <c r="L833" t="s">
        <v>80</v>
      </c>
      <c r="M833">
        <v>7</v>
      </c>
      <c r="N833" t="s">
        <v>48</v>
      </c>
      <c r="O833" t="s">
        <v>81</v>
      </c>
      <c r="P833" t="s">
        <v>82</v>
      </c>
      <c r="Q833" s="2">
        <v>30506.86</v>
      </c>
      <c r="R833" s="2">
        <v>2562.19</v>
      </c>
      <c r="S833" t="s">
        <v>115</v>
      </c>
      <c r="T833" t="s">
        <v>37</v>
      </c>
      <c r="U833" t="s">
        <v>38</v>
      </c>
      <c r="V833">
        <v>2.6</v>
      </c>
      <c r="W833" t="s">
        <v>76</v>
      </c>
      <c r="X833" t="s">
        <v>40</v>
      </c>
      <c r="Y833" t="s">
        <v>72</v>
      </c>
    </row>
    <row r="834" spans="1:25" x14ac:dyDescent="0.3">
      <c r="A834" t="s">
        <v>1745</v>
      </c>
      <c r="B834" s="1">
        <v>45758</v>
      </c>
      <c r="C834" t="s">
        <v>57</v>
      </c>
      <c r="D834" t="s">
        <v>44</v>
      </c>
      <c r="E834" t="s">
        <v>120</v>
      </c>
      <c r="F834" t="s">
        <v>28</v>
      </c>
      <c r="G834" t="s">
        <v>29</v>
      </c>
      <c r="H834" t="s">
        <v>86</v>
      </c>
      <c r="I834">
        <v>8</v>
      </c>
      <c r="J834" t="s">
        <v>1746</v>
      </c>
      <c r="K834">
        <v>63</v>
      </c>
      <c r="L834" t="s">
        <v>32</v>
      </c>
      <c r="M834">
        <v>4</v>
      </c>
      <c r="N834" t="s">
        <v>48</v>
      </c>
      <c r="O834" t="s">
        <v>49</v>
      </c>
      <c r="P834" t="s">
        <v>70</v>
      </c>
      <c r="Q834" s="2">
        <v>46950.25</v>
      </c>
      <c r="R834" s="2">
        <v>3864.41</v>
      </c>
      <c r="S834" t="s">
        <v>51</v>
      </c>
      <c r="T834" t="s">
        <v>71</v>
      </c>
      <c r="U834" t="s">
        <v>83</v>
      </c>
      <c r="V834">
        <v>1.7</v>
      </c>
      <c r="W834" t="s">
        <v>124</v>
      </c>
      <c r="X834" t="s">
        <v>84</v>
      </c>
      <c r="Y834" t="s">
        <v>41</v>
      </c>
    </row>
    <row r="835" spans="1:25" x14ac:dyDescent="0.3">
      <c r="A835" t="s">
        <v>1747</v>
      </c>
      <c r="B835" s="1">
        <v>45759</v>
      </c>
      <c r="C835" t="s">
        <v>78</v>
      </c>
      <c r="D835" t="s">
        <v>58</v>
      </c>
      <c r="E835" t="s">
        <v>120</v>
      </c>
      <c r="F835" t="s">
        <v>28</v>
      </c>
      <c r="G835" t="s">
        <v>29</v>
      </c>
      <c r="H835" t="s">
        <v>86</v>
      </c>
      <c r="I835">
        <v>5</v>
      </c>
      <c r="J835" t="s">
        <v>1748</v>
      </c>
      <c r="K835">
        <v>35</v>
      </c>
      <c r="L835" t="s">
        <v>80</v>
      </c>
      <c r="M835">
        <v>1</v>
      </c>
      <c r="N835" t="s">
        <v>91</v>
      </c>
      <c r="O835" t="s">
        <v>69</v>
      </c>
      <c r="P835" t="s">
        <v>50</v>
      </c>
      <c r="Q835" s="2">
        <v>17223.66</v>
      </c>
      <c r="R835" s="2">
        <v>1095.4000000000001</v>
      </c>
      <c r="S835" t="s">
        <v>94</v>
      </c>
      <c r="T835" t="s">
        <v>37</v>
      </c>
      <c r="U835" t="s">
        <v>53</v>
      </c>
      <c r="V835">
        <v>3.2</v>
      </c>
      <c r="W835" t="s">
        <v>76</v>
      </c>
      <c r="X835" t="s">
        <v>55</v>
      </c>
      <c r="Y835" t="s">
        <v>72</v>
      </c>
    </row>
    <row r="836" spans="1:25" x14ac:dyDescent="0.3">
      <c r="A836" t="s">
        <v>1749</v>
      </c>
      <c r="B836" s="1">
        <v>45760</v>
      </c>
      <c r="C836" t="s">
        <v>117</v>
      </c>
      <c r="D836" t="s">
        <v>4083</v>
      </c>
      <c r="E836" t="s">
        <v>45</v>
      </c>
      <c r="F836" t="s">
        <v>28</v>
      </c>
      <c r="G836" t="s">
        <v>29</v>
      </c>
      <c r="H836" t="s">
        <v>67</v>
      </c>
      <c r="I836">
        <v>8</v>
      </c>
      <c r="J836" t="s">
        <v>1750</v>
      </c>
      <c r="K836">
        <v>48</v>
      </c>
      <c r="L836" t="s">
        <v>32</v>
      </c>
      <c r="M836">
        <v>3</v>
      </c>
      <c r="N836" t="s">
        <v>48</v>
      </c>
      <c r="O836" t="s">
        <v>69</v>
      </c>
      <c r="P836" t="s">
        <v>82</v>
      </c>
      <c r="Q836" s="2">
        <v>38410.49</v>
      </c>
      <c r="R836" s="2">
        <v>304.86</v>
      </c>
      <c r="S836" t="s">
        <v>36</v>
      </c>
      <c r="T836" t="s">
        <v>37</v>
      </c>
      <c r="U836" t="s">
        <v>75</v>
      </c>
      <c r="V836">
        <v>3.4</v>
      </c>
      <c r="W836" t="s">
        <v>76</v>
      </c>
      <c r="X836" t="s">
        <v>40</v>
      </c>
      <c r="Y836" t="s">
        <v>41</v>
      </c>
    </row>
    <row r="837" spans="1:25" x14ac:dyDescent="0.3">
      <c r="A837" t="s">
        <v>1751</v>
      </c>
      <c r="B837" s="1">
        <v>45761</v>
      </c>
      <c r="C837" t="s">
        <v>43</v>
      </c>
      <c r="D837" t="s">
        <v>58</v>
      </c>
      <c r="E837" t="s">
        <v>89</v>
      </c>
      <c r="F837" t="s">
        <v>28</v>
      </c>
      <c r="G837" t="s">
        <v>29</v>
      </c>
      <c r="H837" t="s">
        <v>61</v>
      </c>
      <c r="I837">
        <v>4</v>
      </c>
      <c r="J837" t="s">
        <v>1752</v>
      </c>
      <c r="K837">
        <v>63</v>
      </c>
      <c r="L837" t="s">
        <v>80</v>
      </c>
      <c r="M837">
        <v>5</v>
      </c>
      <c r="N837" t="s">
        <v>64</v>
      </c>
      <c r="O837" t="s">
        <v>81</v>
      </c>
      <c r="P837" t="s">
        <v>35</v>
      </c>
      <c r="Q837" s="2">
        <v>8722.93</v>
      </c>
      <c r="R837" s="2">
        <v>2727.67</v>
      </c>
      <c r="S837" t="s">
        <v>36</v>
      </c>
      <c r="T837" t="s">
        <v>71</v>
      </c>
      <c r="U837" t="s">
        <v>38</v>
      </c>
      <c r="V837">
        <v>3.5</v>
      </c>
      <c r="W837" t="s">
        <v>54</v>
      </c>
      <c r="X837" t="s">
        <v>106</v>
      </c>
      <c r="Y837" t="s">
        <v>41</v>
      </c>
    </row>
    <row r="838" spans="1:25" x14ac:dyDescent="0.3">
      <c r="A838" t="s">
        <v>1753</v>
      </c>
      <c r="B838" s="1">
        <v>45762</v>
      </c>
      <c r="C838" t="s">
        <v>26</v>
      </c>
      <c r="D838" t="s">
        <v>26</v>
      </c>
      <c r="E838" t="s">
        <v>4084</v>
      </c>
      <c r="F838" t="s">
        <v>60</v>
      </c>
      <c r="G838" t="s">
        <v>29</v>
      </c>
      <c r="H838" t="s">
        <v>30</v>
      </c>
      <c r="I838">
        <v>14</v>
      </c>
      <c r="J838" t="s">
        <v>1754</v>
      </c>
      <c r="K838">
        <v>54</v>
      </c>
      <c r="L838" t="s">
        <v>63</v>
      </c>
      <c r="M838">
        <v>7</v>
      </c>
      <c r="N838" t="s">
        <v>48</v>
      </c>
      <c r="O838" t="s">
        <v>49</v>
      </c>
      <c r="P838" t="s">
        <v>50</v>
      </c>
      <c r="Q838" s="2">
        <v>28551.75</v>
      </c>
      <c r="R838" s="2">
        <v>3457.99</v>
      </c>
      <c r="S838" t="s">
        <v>51</v>
      </c>
      <c r="T838" t="s">
        <v>37</v>
      </c>
      <c r="U838" t="s">
        <v>38</v>
      </c>
      <c r="V838">
        <v>2.6</v>
      </c>
      <c r="W838" t="s">
        <v>76</v>
      </c>
      <c r="X838" t="s">
        <v>40</v>
      </c>
      <c r="Y838" t="s">
        <v>72</v>
      </c>
    </row>
    <row r="839" spans="1:25" x14ac:dyDescent="0.3">
      <c r="A839" t="s">
        <v>1755</v>
      </c>
      <c r="B839" s="1">
        <v>45763</v>
      </c>
      <c r="C839" t="s">
        <v>78</v>
      </c>
      <c r="D839" t="s">
        <v>58</v>
      </c>
      <c r="E839" t="s">
        <v>4084</v>
      </c>
      <c r="F839" t="s">
        <v>60</v>
      </c>
      <c r="G839" t="s">
        <v>29</v>
      </c>
      <c r="H839" t="s">
        <v>27</v>
      </c>
      <c r="I839">
        <v>9</v>
      </c>
      <c r="J839" t="s">
        <v>1756</v>
      </c>
      <c r="K839">
        <v>38</v>
      </c>
      <c r="L839" t="s">
        <v>32</v>
      </c>
      <c r="M839">
        <v>2</v>
      </c>
      <c r="N839" t="s">
        <v>91</v>
      </c>
      <c r="O839" t="s">
        <v>49</v>
      </c>
      <c r="P839" t="s">
        <v>82</v>
      </c>
      <c r="Q839" s="2">
        <v>44778.61</v>
      </c>
      <c r="R839" s="2">
        <v>1221.83</v>
      </c>
      <c r="S839" t="s">
        <v>51</v>
      </c>
      <c r="T839" t="s">
        <v>52</v>
      </c>
      <c r="U839" t="s">
        <v>75</v>
      </c>
      <c r="V839">
        <v>1.2</v>
      </c>
      <c r="W839" t="s">
        <v>124</v>
      </c>
      <c r="X839" t="s">
        <v>84</v>
      </c>
      <c r="Y839" t="s">
        <v>72</v>
      </c>
    </row>
    <row r="840" spans="1:25" x14ac:dyDescent="0.3">
      <c r="A840" t="s">
        <v>1757</v>
      </c>
      <c r="B840" s="1">
        <v>45764</v>
      </c>
      <c r="C840" t="s">
        <v>78</v>
      </c>
      <c r="D840" t="s">
        <v>58</v>
      </c>
      <c r="E840" t="s">
        <v>89</v>
      </c>
      <c r="F840" t="s">
        <v>28</v>
      </c>
      <c r="G840" t="s">
        <v>29</v>
      </c>
      <c r="H840" t="s">
        <v>61</v>
      </c>
      <c r="I840">
        <v>13</v>
      </c>
      <c r="J840" t="s">
        <v>1758</v>
      </c>
      <c r="K840">
        <v>31</v>
      </c>
      <c r="L840" t="s">
        <v>32</v>
      </c>
      <c r="M840">
        <v>6</v>
      </c>
      <c r="N840" t="s">
        <v>91</v>
      </c>
      <c r="O840" t="s">
        <v>49</v>
      </c>
      <c r="P840" t="s">
        <v>50</v>
      </c>
      <c r="Q840" s="2">
        <v>29826.92</v>
      </c>
      <c r="R840" s="2">
        <v>3698.84</v>
      </c>
      <c r="S840" t="s">
        <v>36</v>
      </c>
      <c r="T840" t="s">
        <v>71</v>
      </c>
      <c r="U840" t="s">
        <v>75</v>
      </c>
      <c r="V840">
        <v>3.5</v>
      </c>
      <c r="W840" t="s">
        <v>54</v>
      </c>
      <c r="X840" t="s">
        <v>40</v>
      </c>
      <c r="Y840" t="s">
        <v>72</v>
      </c>
    </row>
    <row r="841" spans="1:25" x14ac:dyDescent="0.3">
      <c r="A841" t="s">
        <v>1759</v>
      </c>
      <c r="B841" s="1">
        <v>45765</v>
      </c>
      <c r="C841" t="s">
        <v>57</v>
      </c>
      <c r="D841" t="s">
        <v>44</v>
      </c>
      <c r="E841" t="s">
        <v>4084</v>
      </c>
      <c r="F841" t="s">
        <v>60</v>
      </c>
      <c r="G841" t="s">
        <v>29</v>
      </c>
      <c r="H841" t="s">
        <v>30</v>
      </c>
      <c r="I841">
        <v>12</v>
      </c>
      <c r="J841" t="s">
        <v>1760</v>
      </c>
      <c r="K841">
        <v>42</v>
      </c>
      <c r="L841" t="s">
        <v>80</v>
      </c>
      <c r="M841">
        <v>2</v>
      </c>
      <c r="N841" t="s">
        <v>64</v>
      </c>
      <c r="O841" t="s">
        <v>34</v>
      </c>
      <c r="P841" t="s">
        <v>35</v>
      </c>
      <c r="Q841" s="2">
        <v>32731.38</v>
      </c>
      <c r="R841" s="2">
        <v>4753.22</v>
      </c>
      <c r="S841" t="s">
        <v>94</v>
      </c>
      <c r="T841" t="s">
        <v>71</v>
      </c>
      <c r="U841" t="s">
        <v>38</v>
      </c>
      <c r="V841">
        <v>4.7</v>
      </c>
      <c r="W841" t="s">
        <v>103</v>
      </c>
      <c r="X841" t="s">
        <v>84</v>
      </c>
      <c r="Y841" t="s">
        <v>41</v>
      </c>
    </row>
    <row r="842" spans="1:25" x14ac:dyDescent="0.3">
      <c r="A842" t="s">
        <v>1761</v>
      </c>
      <c r="B842" s="1">
        <v>45766</v>
      </c>
      <c r="C842" t="s">
        <v>57</v>
      </c>
      <c r="D842" t="s">
        <v>44</v>
      </c>
      <c r="E842" t="s">
        <v>120</v>
      </c>
      <c r="F842" t="s">
        <v>28</v>
      </c>
      <c r="G842" t="s">
        <v>29</v>
      </c>
      <c r="H842" t="s">
        <v>86</v>
      </c>
      <c r="I842">
        <v>9</v>
      </c>
      <c r="J842" t="s">
        <v>1762</v>
      </c>
      <c r="K842">
        <v>44</v>
      </c>
      <c r="L842" t="s">
        <v>80</v>
      </c>
      <c r="M842">
        <v>3</v>
      </c>
      <c r="N842" t="s">
        <v>33</v>
      </c>
      <c r="O842" t="s">
        <v>49</v>
      </c>
      <c r="P842" t="s">
        <v>70</v>
      </c>
      <c r="Q842" s="2">
        <v>45843.77</v>
      </c>
      <c r="R842" s="2">
        <v>685.37</v>
      </c>
      <c r="S842" t="s">
        <v>51</v>
      </c>
      <c r="T842" t="s">
        <v>37</v>
      </c>
      <c r="U842" t="s">
        <v>53</v>
      </c>
      <c r="V842">
        <v>4.8</v>
      </c>
      <c r="W842" t="s">
        <v>103</v>
      </c>
      <c r="X842" t="s">
        <v>84</v>
      </c>
      <c r="Y842" t="s">
        <v>72</v>
      </c>
    </row>
    <row r="843" spans="1:25" x14ac:dyDescent="0.3">
      <c r="A843" t="s">
        <v>1763</v>
      </c>
      <c r="B843" s="1">
        <v>45767</v>
      </c>
      <c r="C843" t="s">
        <v>43</v>
      </c>
      <c r="D843" t="s">
        <v>58</v>
      </c>
      <c r="E843" t="s">
        <v>4084</v>
      </c>
      <c r="F843" t="s">
        <v>60</v>
      </c>
      <c r="G843" t="s">
        <v>29</v>
      </c>
      <c r="H843" t="s">
        <v>27</v>
      </c>
      <c r="I843">
        <v>6</v>
      </c>
      <c r="J843" t="s">
        <v>1764</v>
      </c>
      <c r="K843">
        <v>57</v>
      </c>
      <c r="L843" t="s">
        <v>32</v>
      </c>
      <c r="M843">
        <v>7</v>
      </c>
      <c r="N843" t="s">
        <v>64</v>
      </c>
      <c r="O843" t="s">
        <v>34</v>
      </c>
      <c r="P843" t="s">
        <v>82</v>
      </c>
      <c r="Q843" s="2">
        <v>37191.230000000003</v>
      </c>
      <c r="R843" s="2">
        <v>2555.15</v>
      </c>
      <c r="S843" t="s">
        <v>36</v>
      </c>
      <c r="T843" t="s">
        <v>71</v>
      </c>
      <c r="U843" t="s">
        <v>53</v>
      </c>
      <c r="V843">
        <v>3.4</v>
      </c>
      <c r="W843" t="s">
        <v>76</v>
      </c>
      <c r="X843" t="s">
        <v>84</v>
      </c>
      <c r="Y843" t="s">
        <v>41</v>
      </c>
    </row>
    <row r="844" spans="1:25" x14ac:dyDescent="0.3">
      <c r="A844" t="s">
        <v>1765</v>
      </c>
      <c r="B844" s="1">
        <v>45768</v>
      </c>
      <c r="C844" t="s">
        <v>43</v>
      </c>
      <c r="D844" t="s">
        <v>58</v>
      </c>
      <c r="E844" t="s">
        <v>4084</v>
      </c>
      <c r="F844" t="s">
        <v>60</v>
      </c>
      <c r="G844" t="s">
        <v>29</v>
      </c>
      <c r="H844" t="s">
        <v>30</v>
      </c>
      <c r="I844">
        <v>10</v>
      </c>
      <c r="J844" t="s">
        <v>1766</v>
      </c>
      <c r="K844">
        <v>40</v>
      </c>
      <c r="L844" t="s">
        <v>80</v>
      </c>
      <c r="M844">
        <v>2</v>
      </c>
      <c r="N844" t="s">
        <v>64</v>
      </c>
      <c r="O844" t="s">
        <v>81</v>
      </c>
      <c r="P844" t="s">
        <v>35</v>
      </c>
      <c r="Q844" s="2">
        <v>36314.14</v>
      </c>
      <c r="R844" s="2">
        <v>284.20999999999998</v>
      </c>
      <c r="S844" t="s">
        <v>94</v>
      </c>
      <c r="T844" t="s">
        <v>71</v>
      </c>
      <c r="U844" t="s">
        <v>83</v>
      </c>
      <c r="V844">
        <v>1.1000000000000001</v>
      </c>
      <c r="W844" t="s">
        <v>124</v>
      </c>
      <c r="X844" t="s">
        <v>40</v>
      </c>
      <c r="Y844" t="s">
        <v>72</v>
      </c>
    </row>
    <row r="845" spans="1:25" x14ac:dyDescent="0.3">
      <c r="A845" t="s">
        <v>1767</v>
      </c>
      <c r="B845" s="1">
        <v>45769</v>
      </c>
      <c r="C845" t="s">
        <v>117</v>
      </c>
      <c r="D845" t="s">
        <v>4083</v>
      </c>
      <c r="E845" t="s">
        <v>89</v>
      </c>
      <c r="F845" t="s">
        <v>28</v>
      </c>
      <c r="G845" t="s">
        <v>29</v>
      </c>
      <c r="H845" t="s">
        <v>61</v>
      </c>
      <c r="I845">
        <v>6</v>
      </c>
      <c r="J845" t="s">
        <v>1768</v>
      </c>
      <c r="K845">
        <v>48</v>
      </c>
      <c r="L845" t="s">
        <v>63</v>
      </c>
      <c r="M845">
        <v>6</v>
      </c>
      <c r="N845" t="s">
        <v>91</v>
      </c>
      <c r="O845" t="s">
        <v>69</v>
      </c>
      <c r="P845" t="s">
        <v>82</v>
      </c>
      <c r="Q845" s="2">
        <v>31387.279999999999</v>
      </c>
      <c r="R845" s="2">
        <v>1033.31</v>
      </c>
      <c r="S845" t="s">
        <v>51</v>
      </c>
      <c r="T845" t="s">
        <v>37</v>
      </c>
      <c r="U845" t="s">
        <v>38</v>
      </c>
      <c r="V845">
        <v>1.4</v>
      </c>
      <c r="W845" t="s">
        <v>124</v>
      </c>
      <c r="X845" t="s">
        <v>106</v>
      </c>
      <c r="Y845" t="s">
        <v>41</v>
      </c>
    </row>
    <row r="846" spans="1:25" x14ac:dyDescent="0.3">
      <c r="A846" t="s">
        <v>1769</v>
      </c>
      <c r="B846" s="1">
        <v>45770</v>
      </c>
      <c r="C846" t="s">
        <v>117</v>
      </c>
      <c r="D846" t="s">
        <v>4083</v>
      </c>
      <c r="E846" t="s">
        <v>89</v>
      </c>
      <c r="F846" t="s">
        <v>28</v>
      </c>
      <c r="G846" t="s">
        <v>29</v>
      </c>
      <c r="H846" t="s">
        <v>61</v>
      </c>
      <c r="I846">
        <v>9</v>
      </c>
      <c r="J846" t="s">
        <v>1770</v>
      </c>
      <c r="K846">
        <v>64</v>
      </c>
      <c r="L846" t="s">
        <v>32</v>
      </c>
      <c r="M846">
        <v>5</v>
      </c>
      <c r="N846" t="s">
        <v>48</v>
      </c>
      <c r="O846" t="s">
        <v>81</v>
      </c>
      <c r="P846" t="s">
        <v>82</v>
      </c>
      <c r="Q846" s="2">
        <v>33484.49</v>
      </c>
      <c r="R846" s="2">
        <v>449.1</v>
      </c>
      <c r="S846" t="s">
        <v>115</v>
      </c>
      <c r="T846" t="s">
        <v>37</v>
      </c>
      <c r="U846" t="s">
        <v>75</v>
      </c>
      <c r="V846">
        <v>4.3</v>
      </c>
      <c r="W846" t="s">
        <v>54</v>
      </c>
      <c r="X846" t="s">
        <v>65</v>
      </c>
      <c r="Y846" t="s">
        <v>72</v>
      </c>
    </row>
    <row r="847" spans="1:25" x14ac:dyDescent="0.3">
      <c r="A847" t="s">
        <v>1771</v>
      </c>
      <c r="B847" s="1">
        <v>45771</v>
      </c>
      <c r="C847" t="s">
        <v>43</v>
      </c>
      <c r="D847" t="s">
        <v>58</v>
      </c>
      <c r="E847" t="s">
        <v>4084</v>
      </c>
      <c r="F847" t="s">
        <v>60</v>
      </c>
      <c r="G847" t="s">
        <v>29</v>
      </c>
      <c r="H847" t="s">
        <v>30</v>
      </c>
      <c r="I847">
        <v>6</v>
      </c>
      <c r="J847" t="s">
        <v>1772</v>
      </c>
      <c r="K847">
        <v>46</v>
      </c>
      <c r="L847" t="s">
        <v>63</v>
      </c>
      <c r="M847">
        <v>4</v>
      </c>
      <c r="N847" t="s">
        <v>48</v>
      </c>
      <c r="O847" t="s">
        <v>49</v>
      </c>
      <c r="P847" t="s">
        <v>70</v>
      </c>
      <c r="Q847" s="2">
        <v>41166.74</v>
      </c>
      <c r="R847" s="2">
        <v>2020.03</v>
      </c>
      <c r="S847" t="s">
        <v>115</v>
      </c>
      <c r="T847" t="s">
        <v>71</v>
      </c>
      <c r="U847" t="s">
        <v>75</v>
      </c>
      <c r="V847">
        <v>4.3</v>
      </c>
      <c r="W847" t="s">
        <v>54</v>
      </c>
      <c r="X847" t="s">
        <v>65</v>
      </c>
      <c r="Y847" t="s">
        <v>72</v>
      </c>
    </row>
    <row r="848" spans="1:25" x14ac:dyDescent="0.3">
      <c r="A848" t="s">
        <v>1773</v>
      </c>
      <c r="B848" s="1">
        <v>45772</v>
      </c>
      <c r="C848" t="s">
        <v>43</v>
      </c>
      <c r="D848" t="s">
        <v>58</v>
      </c>
      <c r="E848" t="s">
        <v>4085</v>
      </c>
      <c r="F848" t="s">
        <v>60</v>
      </c>
      <c r="G848" t="s">
        <v>29</v>
      </c>
      <c r="H848" t="s">
        <v>59</v>
      </c>
      <c r="I848">
        <v>14</v>
      </c>
      <c r="J848" t="s">
        <v>1774</v>
      </c>
      <c r="K848">
        <v>64</v>
      </c>
      <c r="L848" t="s">
        <v>32</v>
      </c>
      <c r="M848">
        <v>5</v>
      </c>
      <c r="N848" t="s">
        <v>33</v>
      </c>
      <c r="O848" t="s">
        <v>49</v>
      </c>
      <c r="P848" t="s">
        <v>70</v>
      </c>
      <c r="Q848" s="2">
        <v>49065.49</v>
      </c>
      <c r="R848" s="2">
        <v>4104.16</v>
      </c>
      <c r="S848" t="s">
        <v>115</v>
      </c>
      <c r="T848" t="s">
        <v>71</v>
      </c>
      <c r="U848" t="s">
        <v>75</v>
      </c>
      <c r="V848">
        <v>4.8</v>
      </c>
      <c r="W848" t="s">
        <v>103</v>
      </c>
      <c r="X848" t="s">
        <v>40</v>
      </c>
      <c r="Y848" t="s">
        <v>41</v>
      </c>
    </row>
    <row r="849" spans="1:25" x14ac:dyDescent="0.3">
      <c r="A849" t="s">
        <v>1775</v>
      </c>
      <c r="B849" s="1">
        <v>45773</v>
      </c>
      <c r="C849" t="s">
        <v>26</v>
      </c>
      <c r="D849" t="s">
        <v>26</v>
      </c>
      <c r="E849" t="s">
        <v>89</v>
      </c>
      <c r="F849" t="s">
        <v>28</v>
      </c>
      <c r="G849" t="s">
        <v>29</v>
      </c>
      <c r="H849" t="s">
        <v>61</v>
      </c>
      <c r="I849">
        <v>7</v>
      </c>
      <c r="J849" t="s">
        <v>1776</v>
      </c>
      <c r="K849">
        <v>47</v>
      </c>
      <c r="L849" t="s">
        <v>63</v>
      </c>
      <c r="M849">
        <v>2</v>
      </c>
      <c r="N849" t="s">
        <v>33</v>
      </c>
      <c r="O849" t="s">
        <v>81</v>
      </c>
      <c r="P849" t="s">
        <v>50</v>
      </c>
      <c r="Q849" s="2">
        <v>40789.64</v>
      </c>
      <c r="R849" s="2">
        <v>2885.65</v>
      </c>
      <c r="S849" t="s">
        <v>94</v>
      </c>
      <c r="T849" t="s">
        <v>52</v>
      </c>
      <c r="U849" t="s">
        <v>75</v>
      </c>
      <c r="V849">
        <v>3.3</v>
      </c>
      <c r="W849" t="s">
        <v>76</v>
      </c>
      <c r="X849" t="s">
        <v>106</v>
      </c>
      <c r="Y849" t="s">
        <v>72</v>
      </c>
    </row>
    <row r="850" spans="1:25" x14ac:dyDescent="0.3">
      <c r="A850" t="s">
        <v>1777</v>
      </c>
      <c r="B850" s="1">
        <v>45774</v>
      </c>
      <c r="C850" t="s">
        <v>57</v>
      </c>
      <c r="D850" t="s">
        <v>44</v>
      </c>
      <c r="E850" t="s">
        <v>45</v>
      </c>
      <c r="F850" t="s">
        <v>28</v>
      </c>
      <c r="G850" t="s">
        <v>29</v>
      </c>
      <c r="H850" t="s">
        <v>67</v>
      </c>
      <c r="I850">
        <v>9</v>
      </c>
      <c r="J850" t="s">
        <v>1778</v>
      </c>
      <c r="K850">
        <v>68</v>
      </c>
      <c r="L850" t="s">
        <v>32</v>
      </c>
      <c r="M850">
        <v>6</v>
      </c>
      <c r="N850" t="s">
        <v>33</v>
      </c>
      <c r="O850" t="s">
        <v>34</v>
      </c>
      <c r="P850" t="s">
        <v>35</v>
      </c>
      <c r="Q850" s="2">
        <v>36839.160000000003</v>
      </c>
      <c r="R850" s="2">
        <v>1112.92</v>
      </c>
      <c r="S850" t="s">
        <v>51</v>
      </c>
      <c r="T850" t="s">
        <v>52</v>
      </c>
      <c r="U850" t="s">
        <v>38</v>
      </c>
      <c r="V850">
        <v>4.5</v>
      </c>
      <c r="W850" t="s">
        <v>103</v>
      </c>
      <c r="X850" t="s">
        <v>65</v>
      </c>
      <c r="Y850" t="s">
        <v>72</v>
      </c>
    </row>
    <row r="851" spans="1:25" x14ac:dyDescent="0.3">
      <c r="A851" t="s">
        <v>1779</v>
      </c>
      <c r="B851" s="1">
        <v>45775</v>
      </c>
      <c r="C851" t="s">
        <v>117</v>
      </c>
      <c r="D851" t="s">
        <v>4083</v>
      </c>
      <c r="E851" t="s">
        <v>45</v>
      </c>
      <c r="F851" t="s">
        <v>28</v>
      </c>
      <c r="G851" t="s">
        <v>29</v>
      </c>
      <c r="H851" t="s">
        <v>67</v>
      </c>
      <c r="I851">
        <v>12</v>
      </c>
      <c r="J851" t="s">
        <v>1780</v>
      </c>
      <c r="K851">
        <v>43</v>
      </c>
      <c r="L851" t="s">
        <v>80</v>
      </c>
      <c r="M851">
        <v>4</v>
      </c>
      <c r="N851" t="s">
        <v>33</v>
      </c>
      <c r="O851" t="s">
        <v>34</v>
      </c>
      <c r="P851" t="s">
        <v>35</v>
      </c>
      <c r="Q851" s="2">
        <v>11099.52</v>
      </c>
      <c r="R851" s="2">
        <v>200.55</v>
      </c>
      <c r="S851" t="s">
        <v>36</v>
      </c>
      <c r="T851" t="s">
        <v>71</v>
      </c>
      <c r="U851" t="s">
        <v>53</v>
      </c>
      <c r="V851">
        <v>4.3</v>
      </c>
      <c r="W851" t="s">
        <v>39</v>
      </c>
      <c r="X851" t="s">
        <v>84</v>
      </c>
      <c r="Y851" t="s">
        <v>72</v>
      </c>
    </row>
    <row r="852" spans="1:25" x14ac:dyDescent="0.3">
      <c r="A852" t="s">
        <v>1781</v>
      </c>
      <c r="B852" s="1">
        <v>45776</v>
      </c>
      <c r="C852" t="s">
        <v>57</v>
      </c>
      <c r="D852" t="s">
        <v>44</v>
      </c>
      <c r="E852" t="s">
        <v>120</v>
      </c>
      <c r="F852" t="s">
        <v>28</v>
      </c>
      <c r="G852" t="s">
        <v>29</v>
      </c>
      <c r="H852" t="s">
        <v>86</v>
      </c>
      <c r="I852">
        <v>5</v>
      </c>
      <c r="J852" t="s">
        <v>1782</v>
      </c>
      <c r="K852">
        <v>37</v>
      </c>
      <c r="L852" t="s">
        <v>32</v>
      </c>
      <c r="M852">
        <v>7</v>
      </c>
      <c r="N852" t="s">
        <v>64</v>
      </c>
      <c r="O852" t="s">
        <v>34</v>
      </c>
      <c r="P852" t="s">
        <v>70</v>
      </c>
      <c r="Q852" s="2">
        <v>41768.620000000003</v>
      </c>
      <c r="R852" s="2">
        <v>2766.99</v>
      </c>
      <c r="S852" t="s">
        <v>51</v>
      </c>
      <c r="T852" t="s">
        <v>71</v>
      </c>
      <c r="U852" t="s">
        <v>83</v>
      </c>
      <c r="V852">
        <v>3.4</v>
      </c>
      <c r="W852" t="s">
        <v>76</v>
      </c>
      <c r="X852" t="s">
        <v>40</v>
      </c>
      <c r="Y852" t="s">
        <v>72</v>
      </c>
    </row>
    <row r="853" spans="1:25" x14ac:dyDescent="0.3">
      <c r="A853" t="s">
        <v>1783</v>
      </c>
      <c r="B853" s="1">
        <v>45777</v>
      </c>
      <c r="C853" t="s">
        <v>57</v>
      </c>
      <c r="D853" t="s">
        <v>44</v>
      </c>
      <c r="E853" t="s">
        <v>4084</v>
      </c>
      <c r="F853" t="s">
        <v>60</v>
      </c>
      <c r="G853" t="s">
        <v>29</v>
      </c>
      <c r="H853" t="s">
        <v>27</v>
      </c>
      <c r="I853">
        <v>12</v>
      </c>
      <c r="J853" t="s">
        <v>1784</v>
      </c>
      <c r="K853">
        <v>55</v>
      </c>
      <c r="L853" t="s">
        <v>63</v>
      </c>
      <c r="M853">
        <v>6</v>
      </c>
      <c r="N853" t="s">
        <v>64</v>
      </c>
      <c r="O853" t="s">
        <v>69</v>
      </c>
      <c r="P853" t="s">
        <v>82</v>
      </c>
      <c r="Q853" s="2">
        <v>38119.75</v>
      </c>
      <c r="R853" s="2">
        <v>663.98</v>
      </c>
      <c r="S853" t="s">
        <v>115</v>
      </c>
      <c r="T853" t="s">
        <v>52</v>
      </c>
      <c r="U853" t="s">
        <v>53</v>
      </c>
      <c r="V853">
        <v>4.0999999999999996</v>
      </c>
      <c r="W853" t="s">
        <v>39</v>
      </c>
      <c r="X853" t="s">
        <v>40</v>
      </c>
      <c r="Y853" t="s">
        <v>41</v>
      </c>
    </row>
    <row r="854" spans="1:25" x14ac:dyDescent="0.3">
      <c r="A854" t="s">
        <v>1785</v>
      </c>
      <c r="B854" s="1">
        <v>45778</v>
      </c>
      <c r="C854" t="s">
        <v>43</v>
      </c>
      <c r="D854" t="s">
        <v>58</v>
      </c>
      <c r="E854" t="s">
        <v>4085</v>
      </c>
      <c r="F854" t="s">
        <v>60</v>
      </c>
      <c r="G854" t="s">
        <v>29</v>
      </c>
      <c r="H854" t="s">
        <v>46</v>
      </c>
      <c r="I854">
        <v>7</v>
      </c>
      <c r="J854" t="s">
        <v>1786</v>
      </c>
      <c r="K854">
        <v>36</v>
      </c>
      <c r="L854" t="s">
        <v>32</v>
      </c>
      <c r="M854">
        <v>5</v>
      </c>
      <c r="N854" t="s">
        <v>48</v>
      </c>
      <c r="O854" t="s">
        <v>69</v>
      </c>
      <c r="P854" t="s">
        <v>50</v>
      </c>
      <c r="Q854" s="2">
        <v>39669.449999999997</v>
      </c>
      <c r="R854" s="2">
        <v>1713.67</v>
      </c>
      <c r="S854" t="s">
        <v>115</v>
      </c>
      <c r="T854" t="s">
        <v>37</v>
      </c>
      <c r="U854" t="s">
        <v>83</v>
      </c>
      <c r="V854">
        <v>1.5</v>
      </c>
      <c r="W854" t="s">
        <v>124</v>
      </c>
      <c r="X854" t="s">
        <v>55</v>
      </c>
      <c r="Y854" t="s">
        <v>41</v>
      </c>
    </row>
    <row r="855" spans="1:25" x14ac:dyDescent="0.3">
      <c r="A855" t="s">
        <v>1787</v>
      </c>
      <c r="B855" s="1">
        <v>45779</v>
      </c>
      <c r="C855" t="s">
        <v>26</v>
      </c>
      <c r="D855" t="s">
        <v>26</v>
      </c>
      <c r="E855" t="s">
        <v>120</v>
      </c>
      <c r="F855" t="s">
        <v>28</v>
      </c>
      <c r="G855" t="s">
        <v>29</v>
      </c>
      <c r="H855" t="s">
        <v>86</v>
      </c>
      <c r="I855">
        <v>13</v>
      </c>
      <c r="J855" t="s">
        <v>1788</v>
      </c>
      <c r="K855">
        <v>44</v>
      </c>
      <c r="L855" t="s">
        <v>63</v>
      </c>
      <c r="M855">
        <v>1</v>
      </c>
      <c r="N855" t="s">
        <v>64</v>
      </c>
      <c r="O855" t="s">
        <v>49</v>
      </c>
      <c r="P855" t="s">
        <v>70</v>
      </c>
      <c r="Q855" s="2">
        <v>15399.34</v>
      </c>
      <c r="R855" s="2">
        <v>2550.96</v>
      </c>
      <c r="S855" t="s">
        <v>94</v>
      </c>
      <c r="T855" t="s">
        <v>71</v>
      </c>
      <c r="U855" t="s">
        <v>75</v>
      </c>
      <c r="V855">
        <v>3.6</v>
      </c>
      <c r="W855" t="s">
        <v>54</v>
      </c>
      <c r="X855" t="s">
        <v>55</v>
      </c>
      <c r="Y855" t="s">
        <v>41</v>
      </c>
    </row>
    <row r="856" spans="1:25" x14ac:dyDescent="0.3">
      <c r="A856" t="s">
        <v>1789</v>
      </c>
      <c r="B856" s="1">
        <v>45780</v>
      </c>
      <c r="C856" t="s">
        <v>78</v>
      </c>
      <c r="D856" t="s">
        <v>58</v>
      </c>
      <c r="E856" t="s">
        <v>4084</v>
      </c>
      <c r="F856" t="s">
        <v>60</v>
      </c>
      <c r="G856" t="s">
        <v>29</v>
      </c>
      <c r="H856" t="s">
        <v>30</v>
      </c>
      <c r="I856">
        <v>5</v>
      </c>
      <c r="J856" t="s">
        <v>1790</v>
      </c>
      <c r="K856">
        <v>42</v>
      </c>
      <c r="L856" t="s">
        <v>63</v>
      </c>
      <c r="M856">
        <v>1</v>
      </c>
      <c r="N856" t="s">
        <v>48</v>
      </c>
      <c r="O856" t="s">
        <v>81</v>
      </c>
      <c r="P856" t="s">
        <v>50</v>
      </c>
      <c r="Q856" s="2">
        <v>45654.97</v>
      </c>
      <c r="R856" s="2">
        <v>4518.66</v>
      </c>
      <c r="S856" t="s">
        <v>36</v>
      </c>
      <c r="T856" t="s">
        <v>52</v>
      </c>
      <c r="U856" t="s">
        <v>75</v>
      </c>
      <c r="V856">
        <v>4.8</v>
      </c>
      <c r="W856" t="s">
        <v>103</v>
      </c>
      <c r="X856" t="s">
        <v>55</v>
      </c>
      <c r="Y856" t="s">
        <v>41</v>
      </c>
    </row>
    <row r="857" spans="1:25" x14ac:dyDescent="0.3">
      <c r="A857" t="s">
        <v>1791</v>
      </c>
      <c r="B857" s="1">
        <v>45781</v>
      </c>
      <c r="C857" t="s">
        <v>26</v>
      </c>
      <c r="D857" t="s">
        <v>26</v>
      </c>
      <c r="E857" t="s">
        <v>89</v>
      </c>
      <c r="F857" t="s">
        <v>28</v>
      </c>
      <c r="G857" t="s">
        <v>29</v>
      </c>
      <c r="H857" t="s">
        <v>61</v>
      </c>
      <c r="I857">
        <v>7</v>
      </c>
      <c r="J857" t="s">
        <v>1792</v>
      </c>
      <c r="K857">
        <v>57</v>
      </c>
      <c r="L857" t="s">
        <v>63</v>
      </c>
      <c r="M857">
        <v>4</v>
      </c>
      <c r="N857" t="s">
        <v>48</v>
      </c>
      <c r="O857" t="s">
        <v>81</v>
      </c>
      <c r="P857" t="s">
        <v>50</v>
      </c>
      <c r="Q857" s="2">
        <v>9377.66</v>
      </c>
      <c r="R857" s="2">
        <v>409.12</v>
      </c>
      <c r="S857" t="s">
        <v>94</v>
      </c>
      <c r="T857" t="s">
        <v>52</v>
      </c>
      <c r="U857" t="s">
        <v>38</v>
      </c>
      <c r="V857">
        <v>1.6</v>
      </c>
      <c r="W857" t="s">
        <v>124</v>
      </c>
      <c r="X857" t="s">
        <v>106</v>
      </c>
      <c r="Y857" t="s">
        <v>41</v>
      </c>
    </row>
    <row r="858" spans="1:25" x14ac:dyDescent="0.3">
      <c r="A858" t="s">
        <v>1793</v>
      </c>
      <c r="B858" s="1">
        <v>45782</v>
      </c>
      <c r="C858" t="s">
        <v>26</v>
      </c>
      <c r="D858" t="s">
        <v>26</v>
      </c>
      <c r="E858" t="s">
        <v>45</v>
      </c>
      <c r="F858" t="s">
        <v>28</v>
      </c>
      <c r="G858" t="s">
        <v>29</v>
      </c>
      <c r="H858" t="s">
        <v>67</v>
      </c>
      <c r="I858">
        <v>5</v>
      </c>
      <c r="J858" t="s">
        <v>1794</v>
      </c>
      <c r="K858">
        <v>55</v>
      </c>
      <c r="L858" t="s">
        <v>80</v>
      </c>
      <c r="M858">
        <v>4</v>
      </c>
      <c r="N858" t="s">
        <v>48</v>
      </c>
      <c r="O858" t="s">
        <v>49</v>
      </c>
      <c r="P858" t="s">
        <v>35</v>
      </c>
      <c r="Q858" s="2">
        <v>16412.54</v>
      </c>
      <c r="R858" s="2">
        <v>3343.04</v>
      </c>
      <c r="S858" t="s">
        <v>36</v>
      </c>
      <c r="T858" t="s">
        <v>71</v>
      </c>
      <c r="U858" t="s">
        <v>75</v>
      </c>
      <c r="V858">
        <v>4</v>
      </c>
      <c r="W858" t="s">
        <v>54</v>
      </c>
      <c r="X858" t="s">
        <v>40</v>
      </c>
      <c r="Y858" t="s">
        <v>72</v>
      </c>
    </row>
    <row r="859" spans="1:25" x14ac:dyDescent="0.3">
      <c r="A859" t="s">
        <v>1795</v>
      </c>
      <c r="B859" s="1">
        <v>45783</v>
      </c>
      <c r="C859" t="s">
        <v>57</v>
      </c>
      <c r="D859" t="s">
        <v>44</v>
      </c>
      <c r="E859" t="s">
        <v>4085</v>
      </c>
      <c r="F859" t="s">
        <v>60</v>
      </c>
      <c r="G859" t="s">
        <v>29</v>
      </c>
      <c r="H859" t="s">
        <v>46</v>
      </c>
      <c r="I859">
        <v>13</v>
      </c>
      <c r="J859" t="s">
        <v>1796</v>
      </c>
      <c r="K859">
        <v>69</v>
      </c>
      <c r="L859" t="s">
        <v>32</v>
      </c>
      <c r="M859">
        <v>4</v>
      </c>
      <c r="N859" t="s">
        <v>48</v>
      </c>
      <c r="O859" t="s">
        <v>34</v>
      </c>
      <c r="P859" t="s">
        <v>50</v>
      </c>
      <c r="Q859" s="2">
        <v>34836.050000000003</v>
      </c>
      <c r="R859" s="2">
        <v>70.41</v>
      </c>
      <c r="S859" t="s">
        <v>51</v>
      </c>
      <c r="T859" t="s">
        <v>71</v>
      </c>
      <c r="U859" t="s">
        <v>38</v>
      </c>
      <c r="V859">
        <v>2.2999999999999998</v>
      </c>
      <c r="W859" t="s">
        <v>76</v>
      </c>
      <c r="X859" t="s">
        <v>55</v>
      </c>
      <c r="Y859" t="s">
        <v>41</v>
      </c>
    </row>
    <row r="860" spans="1:25" x14ac:dyDescent="0.3">
      <c r="A860" t="s">
        <v>1797</v>
      </c>
      <c r="B860" s="1">
        <v>45784</v>
      </c>
      <c r="C860" t="s">
        <v>26</v>
      </c>
      <c r="D860" t="s">
        <v>26</v>
      </c>
      <c r="E860" t="s">
        <v>45</v>
      </c>
      <c r="F860" t="s">
        <v>28</v>
      </c>
      <c r="G860" t="s">
        <v>29</v>
      </c>
      <c r="H860" t="s">
        <v>67</v>
      </c>
      <c r="I860">
        <v>12</v>
      </c>
      <c r="J860" t="s">
        <v>1798</v>
      </c>
      <c r="K860">
        <v>40</v>
      </c>
      <c r="L860" t="s">
        <v>63</v>
      </c>
      <c r="M860">
        <v>1</v>
      </c>
      <c r="N860" t="s">
        <v>91</v>
      </c>
      <c r="O860" t="s">
        <v>69</v>
      </c>
      <c r="P860" t="s">
        <v>35</v>
      </c>
      <c r="Q860" s="2">
        <v>35317.15</v>
      </c>
      <c r="R860" s="2">
        <v>3149.54</v>
      </c>
      <c r="S860" t="s">
        <v>94</v>
      </c>
      <c r="T860" t="s">
        <v>52</v>
      </c>
      <c r="U860" t="s">
        <v>38</v>
      </c>
      <c r="V860">
        <v>4.3</v>
      </c>
      <c r="W860" t="s">
        <v>54</v>
      </c>
      <c r="X860" t="s">
        <v>40</v>
      </c>
      <c r="Y860" t="s">
        <v>72</v>
      </c>
    </row>
    <row r="861" spans="1:25" x14ac:dyDescent="0.3">
      <c r="A861" t="s">
        <v>1799</v>
      </c>
      <c r="B861" s="1">
        <v>45785</v>
      </c>
      <c r="C861" t="s">
        <v>117</v>
      </c>
      <c r="D861" t="s">
        <v>4083</v>
      </c>
      <c r="E861" t="s">
        <v>89</v>
      </c>
      <c r="F861" t="s">
        <v>28</v>
      </c>
      <c r="G861" t="s">
        <v>29</v>
      </c>
      <c r="H861" t="s">
        <v>61</v>
      </c>
      <c r="I861">
        <v>13</v>
      </c>
      <c r="J861" t="s">
        <v>1800</v>
      </c>
      <c r="K861">
        <v>46</v>
      </c>
      <c r="L861" t="s">
        <v>80</v>
      </c>
      <c r="M861">
        <v>5</v>
      </c>
      <c r="N861" t="s">
        <v>48</v>
      </c>
      <c r="O861" t="s">
        <v>81</v>
      </c>
      <c r="P861" t="s">
        <v>82</v>
      </c>
      <c r="Q861" s="2">
        <v>19099.61</v>
      </c>
      <c r="R861" s="2">
        <v>2757.66</v>
      </c>
      <c r="S861" t="s">
        <v>94</v>
      </c>
      <c r="T861" t="s">
        <v>71</v>
      </c>
      <c r="U861" t="s">
        <v>38</v>
      </c>
      <c r="V861">
        <v>3.8</v>
      </c>
      <c r="W861" t="s">
        <v>54</v>
      </c>
      <c r="X861" t="s">
        <v>84</v>
      </c>
      <c r="Y861" t="s">
        <v>41</v>
      </c>
    </row>
    <row r="862" spans="1:25" x14ac:dyDescent="0.3">
      <c r="A862" t="s">
        <v>1801</v>
      </c>
      <c r="B862" s="1">
        <v>45786</v>
      </c>
      <c r="C862" t="s">
        <v>57</v>
      </c>
      <c r="D862" t="s">
        <v>44</v>
      </c>
      <c r="E862" t="s">
        <v>4084</v>
      </c>
      <c r="F862" t="s">
        <v>60</v>
      </c>
      <c r="G862" t="s">
        <v>29</v>
      </c>
      <c r="H862" t="s">
        <v>27</v>
      </c>
      <c r="I862">
        <v>9</v>
      </c>
      <c r="J862" t="s">
        <v>1802</v>
      </c>
      <c r="K862">
        <v>32</v>
      </c>
      <c r="L862" t="s">
        <v>63</v>
      </c>
      <c r="M862">
        <v>4</v>
      </c>
      <c r="N862" t="s">
        <v>64</v>
      </c>
      <c r="O862" t="s">
        <v>49</v>
      </c>
      <c r="P862" t="s">
        <v>82</v>
      </c>
      <c r="Q862" s="2">
        <v>36568.39</v>
      </c>
      <c r="R862" s="2">
        <v>4059.33</v>
      </c>
      <c r="S862" t="s">
        <v>94</v>
      </c>
      <c r="T862" t="s">
        <v>37</v>
      </c>
      <c r="U862" t="s">
        <v>75</v>
      </c>
      <c r="V862">
        <v>4.7</v>
      </c>
      <c r="W862" t="s">
        <v>103</v>
      </c>
      <c r="X862" t="s">
        <v>55</v>
      </c>
      <c r="Y862" t="s">
        <v>72</v>
      </c>
    </row>
    <row r="863" spans="1:25" x14ac:dyDescent="0.3">
      <c r="A863" t="s">
        <v>1803</v>
      </c>
      <c r="B863" s="1">
        <v>45787</v>
      </c>
      <c r="C863" t="s">
        <v>117</v>
      </c>
      <c r="D863" t="s">
        <v>4083</v>
      </c>
      <c r="E863" t="s">
        <v>89</v>
      </c>
      <c r="F863" t="s">
        <v>28</v>
      </c>
      <c r="G863" t="s">
        <v>29</v>
      </c>
      <c r="H863" t="s">
        <v>61</v>
      </c>
      <c r="I863">
        <v>3</v>
      </c>
      <c r="J863" t="s">
        <v>1804</v>
      </c>
      <c r="K863">
        <v>20</v>
      </c>
      <c r="L863" t="s">
        <v>32</v>
      </c>
      <c r="M863">
        <v>1</v>
      </c>
      <c r="N863" t="s">
        <v>64</v>
      </c>
      <c r="O863" t="s">
        <v>34</v>
      </c>
      <c r="P863" t="s">
        <v>70</v>
      </c>
      <c r="Q863" s="2">
        <v>22456.87</v>
      </c>
      <c r="R863" s="2">
        <v>2658.31</v>
      </c>
      <c r="S863" t="s">
        <v>115</v>
      </c>
      <c r="T863" t="s">
        <v>71</v>
      </c>
      <c r="U863" t="s">
        <v>75</v>
      </c>
      <c r="V863">
        <v>3.8</v>
      </c>
      <c r="W863" t="s">
        <v>54</v>
      </c>
      <c r="X863" t="s">
        <v>40</v>
      </c>
      <c r="Y863" t="s">
        <v>41</v>
      </c>
    </row>
    <row r="864" spans="1:25" x14ac:dyDescent="0.3">
      <c r="A864" t="s">
        <v>1805</v>
      </c>
      <c r="B864" s="1">
        <v>45788</v>
      </c>
      <c r="C864" t="s">
        <v>78</v>
      </c>
      <c r="D864" t="s">
        <v>58</v>
      </c>
      <c r="E864" t="s">
        <v>89</v>
      </c>
      <c r="F864" t="s">
        <v>28</v>
      </c>
      <c r="G864" t="s">
        <v>29</v>
      </c>
      <c r="H864" t="s">
        <v>61</v>
      </c>
      <c r="I864">
        <v>11</v>
      </c>
      <c r="J864" t="s">
        <v>1806</v>
      </c>
      <c r="K864">
        <v>27</v>
      </c>
      <c r="L864" t="s">
        <v>80</v>
      </c>
      <c r="M864">
        <v>4</v>
      </c>
      <c r="N864" t="s">
        <v>64</v>
      </c>
      <c r="O864" t="s">
        <v>34</v>
      </c>
      <c r="P864" t="s">
        <v>82</v>
      </c>
      <c r="Q864" s="2">
        <v>5007.8999999999996</v>
      </c>
      <c r="R864" s="2">
        <v>1763.08</v>
      </c>
      <c r="S864" t="s">
        <v>115</v>
      </c>
      <c r="T864" t="s">
        <v>52</v>
      </c>
      <c r="U864" t="s">
        <v>53</v>
      </c>
      <c r="V864">
        <v>2.6</v>
      </c>
      <c r="W864" t="s">
        <v>76</v>
      </c>
      <c r="X864" t="s">
        <v>106</v>
      </c>
      <c r="Y864" t="s">
        <v>72</v>
      </c>
    </row>
    <row r="865" spans="1:25" x14ac:dyDescent="0.3">
      <c r="A865" t="s">
        <v>1807</v>
      </c>
      <c r="B865" s="1">
        <v>45789</v>
      </c>
      <c r="C865" t="s">
        <v>57</v>
      </c>
      <c r="D865" t="s">
        <v>44</v>
      </c>
      <c r="E865" t="s">
        <v>45</v>
      </c>
      <c r="F865" t="s">
        <v>28</v>
      </c>
      <c r="G865" t="s">
        <v>29</v>
      </c>
      <c r="H865" t="s">
        <v>67</v>
      </c>
      <c r="I865">
        <v>11</v>
      </c>
      <c r="J865" t="s">
        <v>1808</v>
      </c>
      <c r="K865">
        <v>32</v>
      </c>
      <c r="L865" t="s">
        <v>63</v>
      </c>
      <c r="M865">
        <v>4</v>
      </c>
      <c r="N865" t="s">
        <v>64</v>
      </c>
      <c r="O865" t="s">
        <v>69</v>
      </c>
      <c r="P865" t="s">
        <v>35</v>
      </c>
      <c r="Q865" s="2">
        <v>12317.28</v>
      </c>
      <c r="R865" s="2">
        <v>1213.75</v>
      </c>
      <c r="S865" t="s">
        <v>36</v>
      </c>
      <c r="T865" t="s">
        <v>52</v>
      </c>
      <c r="U865" t="s">
        <v>83</v>
      </c>
      <c r="V865">
        <v>1</v>
      </c>
      <c r="W865" t="s">
        <v>124</v>
      </c>
      <c r="X865" t="s">
        <v>106</v>
      </c>
      <c r="Y865" t="s">
        <v>41</v>
      </c>
    </row>
    <row r="866" spans="1:25" x14ac:dyDescent="0.3">
      <c r="A866" t="s">
        <v>1809</v>
      </c>
      <c r="B866" s="1">
        <v>45790</v>
      </c>
      <c r="C866" t="s">
        <v>78</v>
      </c>
      <c r="D866" t="s">
        <v>58</v>
      </c>
      <c r="E866" t="s">
        <v>4085</v>
      </c>
      <c r="F866" t="s">
        <v>60</v>
      </c>
      <c r="G866" t="s">
        <v>29</v>
      </c>
      <c r="H866" t="s">
        <v>59</v>
      </c>
      <c r="I866">
        <v>7</v>
      </c>
      <c r="J866" t="s">
        <v>1810</v>
      </c>
      <c r="K866">
        <v>33</v>
      </c>
      <c r="L866" t="s">
        <v>63</v>
      </c>
      <c r="M866">
        <v>6</v>
      </c>
      <c r="N866" t="s">
        <v>91</v>
      </c>
      <c r="O866" t="s">
        <v>69</v>
      </c>
      <c r="P866" t="s">
        <v>50</v>
      </c>
      <c r="Q866" s="2">
        <v>44717.82</v>
      </c>
      <c r="R866" s="2">
        <v>426.25</v>
      </c>
      <c r="S866" t="s">
        <v>51</v>
      </c>
      <c r="T866" t="s">
        <v>71</v>
      </c>
      <c r="U866" t="s">
        <v>53</v>
      </c>
      <c r="V866">
        <v>4.2</v>
      </c>
      <c r="W866" t="s">
        <v>54</v>
      </c>
      <c r="X866" t="s">
        <v>106</v>
      </c>
      <c r="Y866" t="s">
        <v>72</v>
      </c>
    </row>
    <row r="867" spans="1:25" x14ac:dyDescent="0.3">
      <c r="A867" t="s">
        <v>1811</v>
      </c>
      <c r="B867" s="1">
        <v>45791</v>
      </c>
      <c r="C867" t="s">
        <v>57</v>
      </c>
      <c r="D867" t="s">
        <v>44</v>
      </c>
      <c r="E867" t="s">
        <v>89</v>
      </c>
      <c r="F867" t="s">
        <v>28</v>
      </c>
      <c r="G867" t="s">
        <v>29</v>
      </c>
      <c r="H867" t="s">
        <v>61</v>
      </c>
      <c r="I867">
        <v>11</v>
      </c>
      <c r="J867" t="s">
        <v>1812</v>
      </c>
      <c r="K867">
        <v>34</v>
      </c>
      <c r="L867" t="s">
        <v>63</v>
      </c>
      <c r="M867">
        <v>4</v>
      </c>
      <c r="N867" t="s">
        <v>33</v>
      </c>
      <c r="O867" t="s">
        <v>49</v>
      </c>
      <c r="P867" t="s">
        <v>50</v>
      </c>
      <c r="Q867" s="2">
        <v>15021.23</v>
      </c>
      <c r="R867" s="2">
        <v>2673.06</v>
      </c>
      <c r="S867" t="s">
        <v>94</v>
      </c>
      <c r="T867" t="s">
        <v>52</v>
      </c>
      <c r="U867" t="s">
        <v>75</v>
      </c>
      <c r="V867">
        <v>2.6</v>
      </c>
      <c r="W867" t="s">
        <v>76</v>
      </c>
      <c r="X867" t="s">
        <v>55</v>
      </c>
      <c r="Y867" t="s">
        <v>72</v>
      </c>
    </row>
    <row r="868" spans="1:25" x14ac:dyDescent="0.3">
      <c r="A868" t="s">
        <v>1813</v>
      </c>
      <c r="B868" s="1">
        <v>45792</v>
      </c>
      <c r="C868" t="s">
        <v>43</v>
      </c>
      <c r="D868" t="s">
        <v>58</v>
      </c>
      <c r="E868" t="s">
        <v>45</v>
      </c>
      <c r="F868" t="s">
        <v>28</v>
      </c>
      <c r="G868" t="s">
        <v>29</v>
      </c>
      <c r="H868" t="s">
        <v>67</v>
      </c>
      <c r="I868">
        <v>12</v>
      </c>
      <c r="J868" t="s">
        <v>1814</v>
      </c>
      <c r="K868">
        <v>36</v>
      </c>
      <c r="L868" t="s">
        <v>32</v>
      </c>
      <c r="M868">
        <v>1</v>
      </c>
      <c r="N868" t="s">
        <v>33</v>
      </c>
      <c r="O868" t="s">
        <v>49</v>
      </c>
      <c r="P868" t="s">
        <v>82</v>
      </c>
      <c r="Q868" s="2">
        <v>10080.969999999999</v>
      </c>
      <c r="R868" s="2">
        <v>4441.6099999999997</v>
      </c>
      <c r="S868" t="s">
        <v>115</v>
      </c>
      <c r="T868" t="s">
        <v>37</v>
      </c>
      <c r="U868" t="s">
        <v>83</v>
      </c>
      <c r="V868">
        <v>3.7</v>
      </c>
      <c r="W868" t="s">
        <v>54</v>
      </c>
      <c r="X868" t="s">
        <v>106</v>
      </c>
      <c r="Y868" t="s">
        <v>72</v>
      </c>
    </row>
    <row r="869" spans="1:25" x14ac:dyDescent="0.3">
      <c r="A869" t="s">
        <v>1815</v>
      </c>
      <c r="B869" s="1">
        <v>45793</v>
      </c>
      <c r="C869" t="s">
        <v>26</v>
      </c>
      <c r="D869" t="s">
        <v>26</v>
      </c>
      <c r="E869" t="s">
        <v>4085</v>
      </c>
      <c r="F869" t="s">
        <v>60</v>
      </c>
      <c r="G869" t="s">
        <v>29</v>
      </c>
      <c r="H869" t="s">
        <v>59</v>
      </c>
      <c r="I869">
        <v>8</v>
      </c>
      <c r="J869" t="s">
        <v>1816</v>
      </c>
      <c r="K869">
        <v>28</v>
      </c>
      <c r="L869" t="s">
        <v>80</v>
      </c>
      <c r="M869">
        <v>5</v>
      </c>
      <c r="N869" t="s">
        <v>48</v>
      </c>
      <c r="O869" t="s">
        <v>34</v>
      </c>
      <c r="P869" t="s">
        <v>35</v>
      </c>
      <c r="Q869" s="2">
        <v>35699.03</v>
      </c>
      <c r="R869" s="2">
        <v>2573.7199999999998</v>
      </c>
      <c r="S869" t="s">
        <v>94</v>
      </c>
      <c r="T869" t="s">
        <v>71</v>
      </c>
      <c r="U869" t="s">
        <v>38</v>
      </c>
      <c r="V869">
        <v>1.4</v>
      </c>
      <c r="W869" t="s">
        <v>124</v>
      </c>
      <c r="X869" t="s">
        <v>65</v>
      </c>
      <c r="Y869" t="s">
        <v>72</v>
      </c>
    </row>
    <row r="870" spans="1:25" x14ac:dyDescent="0.3">
      <c r="A870" t="s">
        <v>1817</v>
      </c>
      <c r="B870" s="1">
        <v>45794</v>
      </c>
      <c r="C870" t="s">
        <v>43</v>
      </c>
      <c r="D870" t="s">
        <v>58</v>
      </c>
      <c r="E870" t="s">
        <v>4084</v>
      </c>
      <c r="F870" t="s">
        <v>60</v>
      </c>
      <c r="G870" t="s">
        <v>29</v>
      </c>
      <c r="H870" t="s">
        <v>30</v>
      </c>
      <c r="I870">
        <v>7</v>
      </c>
      <c r="J870" t="s">
        <v>1818</v>
      </c>
      <c r="K870">
        <v>65</v>
      </c>
      <c r="L870" t="s">
        <v>80</v>
      </c>
      <c r="M870">
        <v>1</v>
      </c>
      <c r="N870" t="s">
        <v>48</v>
      </c>
      <c r="O870" t="s">
        <v>34</v>
      </c>
      <c r="P870" t="s">
        <v>50</v>
      </c>
      <c r="Q870" s="2">
        <v>24831.79</v>
      </c>
      <c r="R870" s="2">
        <v>3695.51</v>
      </c>
      <c r="S870" t="s">
        <v>36</v>
      </c>
      <c r="T870" t="s">
        <v>71</v>
      </c>
      <c r="U870" t="s">
        <v>83</v>
      </c>
      <c r="V870">
        <v>4.5999999999999996</v>
      </c>
      <c r="W870" t="s">
        <v>103</v>
      </c>
      <c r="X870" t="s">
        <v>84</v>
      </c>
      <c r="Y870" t="s">
        <v>72</v>
      </c>
    </row>
    <row r="871" spans="1:25" x14ac:dyDescent="0.3">
      <c r="A871" t="s">
        <v>1819</v>
      </c>
      <c r="B871" s="1">
        <v>45795</v>
      </c>
      <c r="C871" t="s">
        <v>78</v>
      </c>
      <c r="D871" t="s">
        <v>58</v>
      </c>
      <c r="E871" t="s">
        <v>4084</v>
      </c>
      <c r="F871" t="s">
        <v>60</v>
      </c>
      <c r="G871" t="s">
        <v>29</v>
      </c>
      <c r="H871" t="s">
        <v>30</v>
      </c>
      <c r="I871">
        <v>5</v>
      </c>
      <c r="J871" t="s">
        <v>1820</v>
      </c>
      <c r="K871">
        <v>22</v>
      </c>
      <c r="L871" t="s">
        <v>80</v>
      </c>
      <c r="M871">
        <v>1</v>
      </c>
      <c r="N871" t="s">
        <v>64</v>
      </c>
      <c r="O871" t="s">
        <v>81</v>
      </c>
      <c r="P871" t="s">
        <v>82</v>
      </c>
      <c r="Q871" s="2">
        <v>40846.589999999997</v>
      </c>
      <c r="R871" s="2">
        <v>1492.17</v>
      </c>
      <c r="S871" t="s">
        <v>36</v>
      </c>
      <c r="T871" t="s">
        <v>52</v>
      </c>
      <c r="U871" t="s">
        <v>38</v>
      </c>
      <c r="V871">
        <v>2.7</v>
      </c>
      <c r="W871" t="s">
        <v>76</v>
      </c>
      <c r="X871" t="s">
        <v>40</v>
      </c>
      <c r="Y871" t="s">
        <v>41</v>
      </c>
    </row>
    <row r="872" spans="1:25" x14ac:dyDescent="0.3">
      <c r="A872" t="s">
        <v>1821</v>
      </c>
      <c r="B872" s="1">
        <v>45796</v>
      </c>
      <c r="C872" t="s">
        <v>26</v>
      </c>
      <c r="D872" t="s">
        <v>26</v>
      </c>
      <c r="E872" t="s">
        <v>120</v>
      </c>
      <c r="F872" t="s">
        <v>28</v>
      </c>
      <c r="G872" t="s">
        <v>29</v>
      </c>
      <c r="H872" t="s">
        <v>86</v>
      </c>
      <c r="I872">
        <v>13</v>
      </c>
      <c r="J872" t="s">
        <v>1822</v>
      </c>
      <c r="K872">
        <v>22</v>
      </c>
      <c r="L872" t="s">
        <v>63</v>
      </c>
      <c r="M872">
        <v>4</v>
      </c>
      <c r="N872" t="s">
        <v>64</v>
      </c>
      <c r="O872" t="s">
        <v>34</v>
      </c>
      <c r="P872" t="s">
        <v>35</v>
      </c>
      <c r="Q872" s="2">
        <v>43765.02</v>
      </c>
      <c r="R872" s="2">
        <v>2240.65</v>
      </c>
      <c r="S872" t="s">
        <v>51</v>
      </c>
      <c r="T872" t="s">
        <v>37</v>
      </c>
      <c r="U872" t="s">
        <v>75</v>
      </c>
      <c r="V872">
        <v>4.7</v>
      </c>
      <c r="W872" t="s">
        <v>103</v>
      </c>
      <c r="X872" t="s">
        <v>65</v>
      </c>
      <c r="Y872" t="s">
        <v>72</v>
      </c>
    </row>
    <row r="873" spans="1:25" x14ac:dyDescent="0.3">
      <c r="A873" t="s">
        <v>1823</v>
      </c>
      <c r="B873" s="1">
        <v>45797</v>
      </c>
      <c r="C873" t="s">
        <v>57</v>
      </c>
      <c r="D873" t="s">
        <v>44</v>
      </c>
      <c r="E873" t="s">
        <v>45</v>
      </c>
      <c r="F873" t="s">
        <v>28</v>
      </c>
      <c r="G873" t="s">
        <v>29</v>
      </c>
      <c r="H873" t="s">
        <v>67</v>
      </c>
      <c r="I873">
        <v>13</v>
      </c>
      <c r="J873" t="s">
        <v>1824</v>
      </c>
      <c r="K873">
        <v>31</v>
      </c>
      <c r="L873" t="s">
        <v>80</v>
      </c>
      <c r="M873">
        <v>6</v>
      </c>
      <c r="N873" t="s">
        <v>33</v>
      </c>
      <c r="O873" t="s">
        <v>49</v>
      </c>
      <c r="P873" t="s">
        <v>35</v>
      </c>
      <c r="Q873" s="2">
        <v>43069.5</v>
      </c>
      <c r="R873" s="2">
        <v>1623.02</v>
      </c>
      <c r="S873" t="s">
        <v>36</v>
      </c>
      <c r="T873" t="s">
        <v>71</v>
      </c>
      <c r="U873" t="s">
        <v>83</v>
      </c>
      <c r="V873">
        <v>3.8</v>
      </c>
      <c r="W873" t="s">
        <v>39</v>
      </c>
      <c r="X873" t="s">
        <v>55</v>
      </c>
      <c r="Y873" t="s">
        <v>72</v>
      </c>
    </row>
    <row r="874" spans="1:25" x14ac:dyDescent="0.3">
      <c r="A874" t="s">
        <v>1825</v>
      </c>
      <c r="B874" s="1">
        <v>45798</v>
      </c>
      <c r="C874" t="s">
        <v>26</v>
      </c>
      <c r="D874" t="s">
        <v>26</v>
      </c>
      <c r="E874" t="s">
        <v>4085</v>
      </c>
      <c r="F874" t="s">
        <v>60</v>
      </c>
      <c r="G874" t="s">
        <v>29</v>
      </c>
      <c r="H874" t="s">
        <v>59</v>
      </c>
      <c r="I874">
        <v>10</v>
      </c>
      <c r="J874" t="s">
        <v>1826</v>
      </c>
      <c r="K874">
        <v>67</v>
      </c>
      <c r="L874" t="s">
        <v>63</v>
      </c>
      <c r="M874">
        <v>3</v>
      </c>
      <c r="N874" t="s">
        <v>33</v>
      </c>
      <c r="O874" t="s">
        <v>69</v>
      </c>
      <c r="P874" t="s">
        <v>50</v>
      </c>
      <c r="Q874" s="2">
        <v>19085.41</v>
      </c>
      <c r="R874" s="2">
        <v>546.33000000000004</v>
      </c>
      <c r="S874" t="s">
        <v>94</v>
      </c>
      <c r="T874" t="s">
        <v>52</v>
      </c>
      <c r="U874" t="s">
        <v>38</v>
      </c>
      <c r="V874">
        <v>1.5</v>
      </c>
      <c r="W874" t="s">
        <v>124</v>
      </c>
      <c r="X874" t="s">
        <v>40</v>
      </c>
      <c r="Y874" t="s">
        <v>72</v>
      </c>
    </row>
    <row r="875" spans="1:25" x14ac:dyDescent="0.3">
      <c r="A875" t="s">
        <v>1827</v>
      </c>
      <c r="B875" s="1">
        <v>45799</v>
      </c>
      <c r="C875" t="s">
        <v>117</v>
      </c>
      <c r="D875" t="s">
        <v>4083</v>
      </c>
      <c r="E875" t="s">
        <v>89</v>
      </c>
      <c r="F875" t="s">
        <v>28</v>
      </c>
      <c r="G875" t="s">
        <v>29</v>
      </c>
      <c r="H875" t="s">
        <v>61</v>
      </c>
      <c r="I875">
        <v>6</v>
      </c>
      <c r="J875" t="s">
        <v>1828</v>
      </c>
      <c r="K875">
        <v>43</v>
      </c>
      <c r="L875" t="s">
        <v>32</v>
      </c>
      <c r="M875">
        <v>7</v>
      </c>
      <c r="N875" t="s">
        <v>64</v>
      </c>
      <c r="O875" t="s">
        <v>49</v>
      </c>
      <c r="P875" t="s">
        <v>70</v>
      </c>
      <c r="Q875" s="2">
        <v>27749.57</v>
      </c>
      <c r="R875" s="2">
        <v>2084.94</v>
      </c>
      <c r="S875" t="s">
        <v>51</v>
      </c>
      <c r="T875" t="s">
        <v>71</v>
      </c>
      <c r="U875" t="s">
        <v>53</v>
      </c>
      <c r="V875">
        <v>3.3</v>
      </c>
      <c r="W875" t="s">
        <v>76</v>
      </c>
      <c r="X875" t="s">
        <v>40</v>
      </c>
      <c r="Y875" t="s">
        <v>41</v>
      </c>
    </row>
    <row r="876" spans="1:25" x14ac:dyDescent="0.3">
      <c r="A876" t="s">
        <v>1829</v>
      </c>
      <c r="B876" s="1">
        <v>45800</v>
      </c>
      <c r="C876" t="s">
        <v>26</v>
      </c>
      <c r="D876" t="s">
        <v>26</v>
      </c>
      <c r="E876" t="s">
        <v>4084</v>
      </c>
      <c r="F876" t="s">
        <v>60</v>
      </c>
      <c r="G876" t="s">
        <v>29</v>
      </c>
      <c r="H876" t="s">
        <v>27</v>
      </c>
      <c r="I876">
        <v>12</v>
      </c>
      <c r="J876" t="s">
        <v>1830</v>
      </c>
      <c r="K876">
        <v>25</v>
      </c>
      <c r="L876" t="s">
        <v>80</v>
      </c>
      <c r="M876">
        <v>3</v>
      </c>
      <c r="N876" t="s">
        <v>48</v>
      </c>
      <c r="O876" t="s">
        <v>81</v>
      </c>
      <c r="P876" t="s">
        <v>70</v>
      </c>
      <c r="Q876" s="2">
        <v>34256.379999999997</v>
      </c>
      <c r="R876" s="2">
        <v>3821.44</v>
      </c>
      <c r="S876" t="s">
        <v>51</v>
      </c>
      <c r="T876" t="s">
        <v>37</v>
      </c>
      <c r="U876" t="s">
        <v>53</v>
      </c>
      <c r="V876">
        <v>4.5999999999999996</v>
      </c>
      <c r="W876" t="s">
        <v>103</v>
      </c>
      <c r="X876" t="s">
        <v>106</v>
      </c>
      <c r="Y876" t="s">
        <v>72</v>
      </c>
    </row>
    <row r="877" spans="1:25" x14ac:dyDescent="0.3">
      <c r="A877" t="s">
        <v>1831</v>
      </c>
      <c r="B877" s="1">
        <v>45801</v>
      </c>
      <c r="C877" t="s">
        <v>117</v>
      </c>
      <c r="D877" t="s">
        <v>4083</v>
      </c>
      <c r="E877" t="s">
        <v>4085</v>
      </c>
      <c r="F877" t="s">
        <v>60</v>
      </c>
      <c r="G877" t="s">
        <v>29</v>
      </c>
      <c r="H877" t="s">
        <v>59</v>
      </c>
      <c r="I877">
        <v>5</v>
      </c>
      <c r="J877" t="s">
        <v>1832</v>
      </c>
      <c r="K877">
        <v>22</v>
      </c>
      <c r="L877" t="s">
        <v>63</v>
      </c>
      <c r="M877">
        <v>3</v>
      </c>
      <c r="N877" t="s">
        <v>91</v>
      </c>
      <c r="O877" t="s">
        <v>81</v>
      </c>
      <c r="P877" t="s">
        <v>35</v>
      </c>
      <c r="Q877" s="2">
        <v>19489.240000000002</v>
      </c>
      <c r="R877" s="2">
        <v>1974.87</v>
      </c>
      <c r="S877" t="s">
        <v>115</v>
      </c>
      <c r="T877" t="s">
        <v>52</v>
      </c>
      <c r="U877" t="s">
        <v>38</v>
      </c>
      <c r="V877">
        <v>4.2</v>
      </c>
      <c r="W877" t="s">
        <v>54</v>
      </c>
      <c r="X877" t="s">
        <v>40</v>
      </c>
      <c r="Y877" t="s">
        <v>72</v>
      </c>
    </row>
    <row r="878" spans="1:25" x14ac:dyDescent="0.3">
      <c r="A878" t="s">
        <v>1833</v>
      </c>
      <c r="B878" s="1">
        <v>45802</v>
      </c>
      <c r="C878" t="s">
        <v>26</v>
      </c>
      <c r="D878" t="s">
        <v>26</v>
      </c>
      <c r="E878" t="s">
        <v>45</v>
      </c>
      <c r="F878" t="s">
        <v>28</v>
      </c>
      <c r="G878" t="s">
        <v>29</v>
      </c>
      <c r="H878" t="s">
        <v>67</v>
      </c>
      <c r="I878">
        <v>8</v>
      </c>
      <c r="J878" t="s">
        <v>1834</v>
      </c>
      <c r="K878">
        <v>24</v>
      </c>
      <c r="L878" t="s">
        <v>80</v>
      </c>
      <c r="M878">
        <v>1</v>
      </c>
      <c r="N878" t="s">
        <v>91</v>
      </c>
      <c r="O878" t="s">
        <v>69</v>
      </c>
      <c r="P878" t="s">
        <v>35</v>
      </c>
      <c r="Q878" s="2">
        <v>6849.47</v>
      </c>
      <c r="R878" s="2">
        <v>3250.9</v>
      </c>
      <c r="S878" t="s">
        <v>94</v>
      </c>
      <c r="T878" t="s">
        <v>71</v>
      </c>
      <c r="U878" t="s">
        <v>53</v>
      </c>
      <c r="V878">
        <v>2.7</v>
      </c>
      <c r="W878" t="s">
        <v>76</v>
      </c>
      <c r="X878" t="s">
        <v>40</v>
      </c>
      <c r="Y878" t="s">
        <v>41</v>
      </c>
    </row>
    <row r="879" spans="1:25" x14ac:dyDescent="0.3">
      <c r="A879" t="s">
        <v>1835</v>
      </c>
      <c r="B879" s="1">
        <v>45803</v>
      </c>
      <c r="C879" t="s">
        <v>117</v>
      </c>
      <c r="D879" t="s">
        <v>4083</v>
      </c>
      <c r="E879" t="s">
        <v>120</v>
      </c>
      <c r="F879" t="s">
        <v>28</v>
      </c>
      <c r="G879" t="s">
        <v>29</v>
      </c>
      <c r="H879" t="s">
        <v>86</v>
      </c>
      <c r="I879">
        <v>10</v>
      </c>
      <c r="J879" t="s">
        <v>1836</v>
      </c>
      <c r="K879">
        <v>33</v>
      </c>
      <c r="L879" t="s">
        <v>80</v>
      </c>
      <c r="M879">
        <v>4</v>
      </c>
      <c r="N879" t="s">
        <v>33</v>
      </c>
      <c r="O879" t="s">
        <v>49</v>
      </c>
      <c r="P879" t="s">
        <v>82</v>
      </c>
      <c r="Q879" s="2">
        <v>27304.9</v>
      </c>
      <c r="R879" s="2">
        <v>3793.08</v>
      </c>
      <c r="S879" t="s">
        <v>36</v>
      </c>
      <c r="T879" t="s">
        <v>52</v>
      </c>
      <c r="U879" t="s">
        <v>53</v>
      </c>
      <c r="V879">
        <v>4.8</v>
      </c>
      <c r="W879" t="s">
        <v>103</v>
      </c>
      <c r="X879" t="s">
        <v>84</v>
      </c>
      <c r="Y879" t="s">
        <v>41</v>
      </c>
    </row>
    <row r="880" spans="1:25" x14ac:dyDescent="0.3">
      <c r="A880" t="s">
        <v>1837</v>
      </c>
      <c r="B880" s="1">
        <v>45804</v>
      </c>
      <c r="C880" t="s">
        <v>78</v>
      </c>
      <c r="D880" t="s">
        <v>58</v>
      </c>
      <c r="E880" t="s">
        <v>4084</v>
      </c>
      <c r="F880" t="s">
        <v>60</v>
      </c>
      <c r="G880" t="s">
        <v>29</v>
      </c>
      <c r="H880" t="s">
        <v>27</v>
      </c>
      <c r="I880">
        <v>11</v>
      </c>
      <c r="J880" t="s">
        <v>1838</v>
      </c>
      <c r="K880">
        <v>31</v>
      </c>
      <c r="L880" t="s">
        <v>32</v>
      </c>
      <c r="M880">
        <v>7</v>
      </c>
      <c r="N880" t="s">
        <v>33</v>
      </c>
      <c r="O880" t="s">
        <v>81</v>
      </c>
      <c r="P880" t="s">
        <v>35</v>
      </c>
      <c r="Q880" s="2">
        <v>5576.83</v>
      </c>
      <c r="R880" s="2">
        <v>1613.68</v>
      </c>
      <c r="S880" t="s">
        <v>115</v>
      </c>
      <c r="T880" t="s">
        <v>52</v>
      </c>
      <c r="U880" t="s">
        <v>83</v>
      </c>
      <c r="V880">
        <v>2.1</v>
      </c>
      <c r="W880" t="s">
        <v>76</v>
      </c>
      <c r="X880" t="s">
        <v>55</v>
      </c>
      <c r="Y880" t="s">
        <v>72</v>
      </c>
    </row>
    <row r="881" spans="1:25" x14ac:dyDescent="0.3">
      <c r="A881" t="s">
        <v>1839</v>
      </c>
      <c r="B881" s="1">
        <v>45805</v>
      </c>
      <c r="C881" t="s">
        <v>43</v>
      </c>
      <c r="D881" t="s">
        <v>58</v>
      </c>
      <c r="E881" t="s">
        <v>4085</v>
      </c>
      <c r="F881" t="s">
        <v>60</v>
      </c>
      <c r="G881" t="s">
        <v>29</v>
      </c>
      <c r="H881" t="s">
        <v>59</v>
      </c>
      <c r="I881">
        <v>8</v>
      </c>
      <c r="J881" t="s">
        <v>1840</v>
      </c>
      <c r="K881">
        <v>54</v>
      </c>
      <c r="L881" t="s">
        <v>80</v>
      </c>
      <c r="M881">
        <v>3</v>
      </c>
      <c r="N881" t="s">
        <v>33</v>
      </c>
      <c r="O881" t="s">
        <v>49</v>
      </c>
      <c r="P881" t="s">
        <v>82</v>
      </c>
      <c r="Q881" s="2">
        <v>47779.05</v>
      </c>
      <c r="R881" s="2">
        <v>3987.57</v>
      </c>
      <c r="S881" t="s">
        <v>94</v>
      </c>
      <c r="T881" t="s">
        <v>37</v>
      </c>
      <c r="U881" t="s">
        <v>53</v>
      </c>
      <c r="V881">
        <v>2.5</v>
      </c>
      <c r="W881" t="s">
        <v>76</v>
      </c>
      <c r="X881" t="s">
        <v>65</v>
      </c>
      <c r="Y881" t="s">
        <v>72</v>
      </c>
    </row>
    <row r="882" spans="1:25" x14ac:dyDescent="0.3">
      <c r="A882" t="s">
        <v>1841</v>
      </c>
      <c r="B882" s="1">
        <v>45806</v>
      </c>
      <c r="C882" t="s">
        <v>57</v>
      </c>
      <c r="D882" t="s">
        <v>44</v>
      </c>
      <c r="E882" t="s">
        <v>4085</v>
      </c>
      <c r="F882" t="s">
        <v>60</v>
      </c>
      <c r="G882" t="s">
        <v>29</v>
      </c>
      <c r="H882" t="s">
        <v>59</v>
      </c>
      <c r="I882">
        <v>7</v>
      </c>
      <c r="J882" t="s">
        <v>1842</v>
      </c>
      <c r="K882">
        <v>58</v>
      </c>
      <c r="L882" t="s">
        <v>32</v>
      </c>
      <c r="M882">
        <v>2</v>
      </c>
      <c r="N882" t="s">
        <v>91</v>
      </c>
      <c r="O882" t="s">
        <v>81</v>
      </c>
      <c r="P882" t="s">
        <v>82</v>
      </c>
      <c r="Q882" s="2">
        <v>40850.76</v>
      </c>
      <c r="R882" s="2">
        <v>1694.63</v>
      </c>
      <c r="S882" t="s">
        <v>94</v>
      </c>
      <c r="T882" t="s">
        <v>37</v>
      </c>
      <c r="U882" t="s">
        <v>83</v>
      </c>
      <c r="V882">
        <v>4</v>
      </c>
      <c r="W882" t="s">
        <v>54</v>
      </c>
      <c r="X882" t="s">
        <v>106</v>
      </c>
      <c r="Y882" t="s">
        <v>41</v>
      </c>
    </row>
    <row r="883" spans="1:25" x14ac:dyDescent="0.3">
      <c r="A883" t="s">
        <v>1843</v>
      </c>
      <c r="B883" s="1">
        <v>45807</v>
      </c>
      <c r="C883" t="s">
        <v>26</v>
      </c>
      <c r="D883" t="s">
        <v>26</v>
      </c>
      <c r="E883" t="s">
        <v>4085</v>
      </c>
      <c r="F883" t="s">
        <v>60</v>
      </c>
      <c r="G883" t="s">
        <v>29</v>
      </c>
      <c r="H883" t="s">
        <v>59</v>
      </c>
      <c r="I883">
        <v>14</v>
      </c>
      <c r="J883" t="s">
        <v>1844</v>
      </c>
      <c r="K883">
        <v>21</v>
      </c>
      <c r="L883" t="s">
        <v>80</v>
      </c>
      <c r="M883">
        <v>2</v>
      </c>
      <c r="N883" t="s">
        <v>91</v>
      </c>
      <c r="O883" t="s">
        <v>69</v>
      </c>
      <c r="P883" t="s">
        <v>82</v>
      </c>
      <c r="Q883" s="2">
        <v>13640.44</v>
      </c>
      <c r="R883" s="2">
        <v>1280.54</v>
      </c>
      <c r="S883" t="s">
        <v>51</v>
      </c>
      <c r="T883" t="s">
        <v>71</v>
      </c>
      <c r="U883" t="s">
        <v>75</v>
      </c>
      <c r="V883">
        <v>1.9</v>
      </c>
      <c r="W883" t="s">
        <v>124</v>
      </c>
      <c r="X883" t="s">
        <v>84</v>
      </c>
      <c r="Y883" t="s">
        <v>72</v>
      </c>
    </row>
    <row r="884" spans="1:25" x14ac:dyDescent="0.3">
      <c r="A884" t="s">
        <v>1845</v>
      </c>
      <c r="B884" s="1">
        <v>45808</v>
      </c>
      <c r="C884" t="s">
        <v>43</v>
      </c>
      <c r="D884" t="s">
        <v>58</v>
      </c>
      <c r="E884" t="s">
        <v>45</v>
      </c>
      <c r="F884" t="s">
        <v>28</v>
      </c>
      <c r="G884" t="s">
        <v>29</v>
      </c>
      <c r="H884" t="s">
        <v>67</v>
      </c>
      <c r="I884">
        <v>13</v>
      </c>
      <c r="J884" t="s">
        <v>1846</v>
      </c>
      <c r="K884">
        <v>53</v>
      </c>
      <c r="L884" t="s">
        <v>80</v>
      </c>
      <c r="M884">
        <v>2</v>
      </c>
      <c r="N884" t="s">
        <v>64</v>
      </c>
      <c r="O884" t="s">
        <v>81</v>
      </c>
      <c r="P884" t="s">
        <v>35</v>
      </c>
      <c r="Q884" s="2">
        <v>17940.73</v>
      </c>
      <c r="R884" s="2">
        <v>1112.23</v>
      </c>
      <c r="S884" t="s">
        <v>51</v>
      </c>
      <c r="T884" t="s">
        <v>52</v>
      </c>
      <c r="U884" t="s">
        <v>53</v>
      </c>
      <c r="V884">
        <v>3.1</v>
      </c>
      <c r="W884" t="s">
        <v>76</v>
      </c>
      <c r="X884" t="s">
        <v>65</v>
      </c>
      <c r="Y884" t="s">
        <v>72</v>
      </c>
    </row>
    <row r="885" spans="1:25" x14ac:dyDescent="0.3">
      <c r="A885" t="s">
        <v>1847</v>
      </c>
      <c r="B885" s="1">
        <v>45809</v>
      </c>
      <c r="C885" t="s">
        <v>57</v>
      </c>
      <c r="D885" t="s">
        <v>44</v>
      </c>
      <c r="E885" t="s">
        <v>45</v>
      </c>
      <c r="F885" t="s">
        <v>28</v>
      </c>
      <c r="G885" t="s">
        <v>29</v>
      </c>
      <c r="H885" t="s">
        <v>67</v>
      </c>
      <c r="I885">
        <v>4</v>
      </c>
      <c r="J885" t="s">
        <v>1848</v>
      </c>
      <c r="K885">
        <v>65</v>
      </c>
      <c r="L885" t="s">
        <v>80</v>
      </c>
      <c r="M885">
        <v>5</v>
      </c>
      <c r="N885" t="s">
        <v>48</v>
      </c>
      <c r="O885" t="s">
        <v>49</v>
      </c>
      <c r="P885" t="s">
        <v>35</v>
      </c>
      <c r="Q885" s="2">
        <v>49227.73</v>
      </c>
      <c r="R885" s="2">
        <v>999.52</v>
      </c>
      <c r="S885" t="s">
        <v>94</v>
      </c>
      <c r="T885" t="s">
        <v>52</v>
      </c>
      <c r="U885" t="s">
        <v>75</v>
      </c>
      <c r="V885">
        <v>3.9</v>
      </c>
      <c r="W885" t="s">
        <v>54</v>
      </c>
      <c r="X885" t="s">
        <v>65</v>
      </c>
      <c r="Y885" t="s">
        <v>72</v>
      </c>
    </row>
    <row r="886" spans="1:25" x14ac:dyDescent="0.3">
      <c r="A886" t="s">
        <v>1849</v>
      </c>
      <c r="B886" s="1">
        <v>45810</v>
      </c>
      <c r="C886" t="s">
        <v>57</v>
      </c>
      <c r="D886" t="s">
        <v>44</v>
      </c>
      <c r="E886" t="s">
        <v>45</v>
      </c>
      <c r="F886" t="s">
        <v>28</v>
      </c>
      <c r="G886" t="s">
        <v>29</v>
      </c>
      <c r="H886" t="s">
        <v>67</v>
      </c>
      <c r="I886">
        <v>4</v>
      </c>
      <c r="J886" t="s">
        <v>1850</v>
      </c>
      <c r="K886">
        <v>34</v>
      </c>
      <c r="L886" t="s">
        <v>80</v>
      </c>
      <c r="M886">
        <v>4</v>
      </c>
      <c r="N886" t="s">
        <v>33</v>
      </c>
      <c r="O886" t="s">
        <v>49</v>
      </c>
      <c r="P886" t="s">
        <v>82</v>
      </c>
      <c r="Q886" s="2">
        <v>21809.68</v>
      </c>
      <c r="R886" s="2">
        <v>3685.62</v>
      </c>
      <c r="S886" t="s">
        <v>115</v>
      </c>
      <c r="T886" t="s">
        <v>52</v>
      </c>
      <c r="U886" t="s">
        <v>53</v>
      </c>
      <c r="V886">
        <v>3.6</v>
      </c>
      <c r="W886" t="s">
        <v>39</v>
      </c>
      <c r="X886" t="s">
        <v>84</v>
      </c>
      <c r="Y886" t="s">
        <v>41</v>
      </c>
    </row>
    <row r="887" spans="1:25" x14ac:dyDescent="0.3">
      <c r="A887" t="s">
        <v>1851</v>
      </c>
      <c r="B887" s="1">
        <v>45811</v>
      </c>
      <c r="C887" t="s">
        <v>117</v>
      </c>
      <c r="D887" t="s">
        <v>4083</v>
      </c>
      <c r="E887" t="s">
        <v>89</v>
      </c>
      <c r="F887" t="s">
        <v>28</v>
      </c>
      <c r="G887" t="s">
        <v>29</v>
      </c>
      <c r="H887" t="s">
        <v>61</v>
      </c>
      <c r="I887">
        <v>11</v>
      </c>
      <c r="J887" t="s">
        <v>1852</v>
      </c>
      <c r="K887">
        <v>64</v>
      </c>
      <c r="L887" t="s">
        <v>80</v>
      </c>
      <c r="M887">
        <v>1</v>
      </c>
      <c r="N887" t="s">
        <v>64</v>
      </c>
      <c r="O887" t="s">
        <v>81</v>
      </c>
      <c r="P887" t="s">
        <v>50</v>
      </c>
      <c r="Q887" s="2">
        <v>40267.51</v>
      </c>
      <c r="R887" s="2">
        <v>4437.55</v>
      </c>
      <c r="S887" t="s">
        <v>51</v>
      </c>
      <c r="T887" t="s">
        <v>71</v>
      </c>
      <c r="U887" t="s">
        <v>38</v>
      </c>
      <c r="V887">
        <v>1.6</v>
      </c>
      <c r="W887" t="s">
        <v>124</v>
      </c>
      <c r="X887" t="s">
        <v>106</v>
      </c>
      <c r="Y887" t="s">
        <v>72</v>
      </c>
    </row>
    <row r="888" spans="1:25" x14ac:dyDescent="0.3">
      <c r="A888" t="s">
        <v>1853</v>
      </c>
      <c r="B888" s="1">
        <v>45812</v>
      </c>
      <c r="C888" t="s">
        <v>78</v>
      </c>
      <c r="D888" t="s">
        <v>58</v>
      </c>
      <c r="E888" t="s">
        <v>4085</v>
      </c>
      <c r="F888" t="s">
        <v>60</v>
      </c>
      <c r="G888" t="s">
        <v>29</v>
      </c>
      <c r="H888" t="s">
        <v>46</v>
      </c>
      <c r="I888">
        <v>4</v>
      </c>
      <c r="J888" t="s">
        <v>1854</v>
      </c>
      <c r="K888">
        <v>53</v>
      </c>
      <c r="L888" t="s">
        <v>80</v>
      </c>
      <c r="M888">
        <v>1</v>
      </c>
      <c r="N888" t="s">
        <v>91</v>
      </c>
      <c r="O888" t="s">
        <v>34</v>
      </c>
      <c r="P888" t="s">
        <v>35</v>
      </c>
      <c r="Q888" s="2">
        <v>25106.7</v>
      </c>
      <c r="R888" s="2">
        <v>1153.24</v>
      </c>
      <c r="S888" t="s">
        <v>51</v>
      </c>
      <c r="T888" t="s">
        <v>37</v>
      </c>
      <c r="U888" t="s">
        <v>38</v>
      </c>
      <c r="V888">
        <v>3.5</v>
      </c>
      <c r="W888" t="s">
        <v>54</v>
      </c>
      <c r="X888" t="s">
        <v>55</v>
      </c>
      <c r="Y888" t="s">
        <v>72</v>
      </c>
    </row>
    <row r="889" spans="1:25" x14ac:dyDescent="0.3">
      <c r="A889" t="s">
        <v>1855</v>
      </c>
      <c r="B889" s="1">
        <v>45813</v>
      </c>
      <c r="C889" t="s">
        <v>78</v>
      </c>
      <c r="D889" t="s">
        <v>58</v>
      </c>
      <c r="E889" t="s">
        <v>4084</v>
      </c>
      <c r="F889" t="s">
        <v>60</v>
      </c>
      <c r="G889" t="s">
        <v>29</v>
      </c>
      <c r="H889" t="s">
        <v>30</v>
      </c>
      <c r="I889">
        <v>4</v>
      </c>
      <c r="J889" t="s">
        <v>1856</v>
      </c>
      <c r="K889">
        <v>23</v>
      </c>
      <c r="L889" t="s">
        <v>32</v>
      </c>
      <c r="M889">
        <v>4</v>
      </c>
      <c r="N889" t="s">
        <v>64</v>
      </c>
      <c r="O889" t="s">
        <v>69</v>
      </c>
      <c r="P889" t="s">
        <v>70</v>
      </c>
      <c r="Q889" s="2">
        <v>43884.32</v>
      </c>
      <c r="R889" s="2">
        <v>426.2</v>
      </c>
      <c r="S889" t="s">
        <v>94</v>
      </c>
      <c r="T889" t="s">
        <v>37</v>
      </c>
      <c r="U889" t="s">
        <v>75</v>
      </c>
      <c r="V889">
        <v>3.3</v>
      </c>
      <c r="W889" t="s">
        <v>76</v>
      </c>
      <c r="X889" t="s">
        <v>84</v>
      </c>
      <c r="Y889" t="s">
        <v>41</v>
      </c>
    </row>
    <row r="890" spans="1:25" x14ac:dyDescent="0.3">
      <c r="A890" t="s">
        <v>1857</v>
      </c>
      <c r="B890" s="1">
        <v>45814</v>
      </c>
      <c r="C890" t="s">
        <v>43</v>
      </c>
      <c r="D890" t="s">
        <v>58</v>
      </c>
      <c r="E890" t="s">
        <v>45</v>
      </c>
      <c r="F890" t="s">
        <v>28</v>
      </c>
      <c r="G890" t="s">
        <v>29</v>
      </c>
      <c r="H890" t="s">
        <v>67</v>
      </c>
      <c r="I890">
        <v>5</v>
      </c>
      <c r="J890" t="s">
        <v>1858</v>
      </c>
      <c r="K890">
        <v>33</v>
      </c>
      <c r="L890" t="s">
        <v>32</v>
      </c>
      <c r="M890">
        <v>6</v>
      </c>
      <c r="N890" t="s">
        <v>91</v>
      </c>
      <c r="O890" t="s">
        <v>69</v>
      </c>
      <c r="P890" t="s">
        <v>50</v>
      </c>
      <c r="Q890" s="2">
        <v>36668.910000000003</v>
      </c>
      <c r="R890" s="2">
        <v>1568.83</v>
      </c>
      <c r="S890" t="s">
        <v>94</v>
      </c>
      <c r="T890" t="s">
        <v>52</v>
      </c>
      <c r="U890" t="s">
        <v>75</v>
      </c>
      <c r="V890">
        <v>3.2</v>
      </c>
      <c r="W890" t="s">
        <v>39</v>
      </c>
      <c r="X890" t="s">
        <v>84</v>
      </c>
      <c r="Y890" t="s">
        <v>41</v>
      </c>
    </row>
    <row r="891" spans="1:25" x14ac:dyDescent="0.3">
      <c r="A891" t="s">
        <v>1859</v>
      </c>
      <c r="B891" s="1">
        <v>45815</v>
      </c>
      <c r="C891" t="s">
        <v>78</v>
      </c>
      <c r="D891" t="s">
        <v>58</v>
      </c>
      <c r="E891" t="s">
        <v>45</v>
      </c>
      <c r="F891" t="s">
        <v>28</v>
      </c>
      <c r="G891" t="s">
        <v>29</v>
      </c>
      <c r="H891" t="s">
        <v>67</v>
      </c>
      <c r="I891">
        <v>5</v>
      </c>
      <c r="J891" t="s">
        <v>1860</v>
      </c>
      <c r="K891">
        <v>46</v>
      </c>
      <c r="L891" t="s">
        <v>63</v>
      </c>
      <c r="M891">
        <v>7</v>
      </c>
      <c r="N891" t="s">
        <v>48</v>
      </c>
      <c r="O891" t="s">
        <v>81</v>
      </c>
      <c r="P891" t="s">
        <v>70</v>
      </c>
      <c r="Q891" s="2">
        <v>6030.95</v>
      </c>
      <c r="R891" s="2">
        <v>3289.24</v>
      </c>
      <c r="S891" t="s">
        <v>51</v>
      </c>
      <c r="T891" t="s">
        <v>71</v>
      </c>
      <c r="U891" t="s">
        <v>75</v>
      </c>
      <c r="V891">
        <v>4.3</v>
      </c>
      <c r="W891" t="s">
        <v>54</v>
      </c>
      <c r="X891" t="s">
        <v>84</v>
      </c>
      <c r="Y891" t="s">
        <v>41</v>
      </c>
    </row>
    <row r="892" spans="1:25" x14ac:dyDescent="0.3">
      <c r="A892" t="s">
        <v>1861</v>
      </c>
      <c r="B892" s="1">
        <v>45816</v>
      </c>
      <c r="C892" t="s">
        <v>26</v>
      </c>
      <c r="D892" t="s">
        <v>26</v>
      </c>
      <c r="E892" t="s">
        <v>4085</v>
      </c>
      <c r="F892" t="s">
        <v>60</v>
      </c>
      <c r="G892" t="s">
        <v>29</v>
      </c>
      <c r="H892" t="s">
        <v>59</v>
      </c>
      <c r="I892">
        <v>6</v>
      </c>
      <c r="J892" t="s">
        <v>1862</v>
      </c>
      <c r="K892">
        <v>53</v>
      </c>
      <c r="L892" t="s">
        <v>80</v>
      </c>
      <c r="M892">
        <v>6</v>
      </c>
      <c r="N892" t="s">
        <v>91</v>
      </c>
      <c r="O892" t="s">
        <v>81</v>
      </c>
      <c r="P892" t="s">
        <v>35</v>
      </c>
      <c r="Q892" s="2">
        <v>18247.54</v>
      </c>
      <c r="R892" s="2">
        <v>1842.6</v>
      </c>
      <c r="S892" t="s">
        <v>115</v>
      </c>
      <c r="T892" t="s">
        <v>52</v>
      </c>
      <c r="U892" t="s">
        <v>38</v>
      </c>
      <c r="V892">
        <v>1.7</v>
      </c>
      <c r="W892" t="s">
        <v>124</v>
      </c>
      <c r="X892" t="s">
        <v>106</v>
      </c>
      <c r="Y892" t="s">
        <v>72</v>
      </c>
    </row>
    <row r="893" spans="1:25" x14ac:dyDescent="0.3">
      <c r="A893" t="s">
        <v>1863</v>
      </c>
      <c r="B893" s="1">
        <v>45817</v>
      </c>
      <c r="C893" t="s">
        <v>78</v>
      </c>
      <c r="D893" t="s">
        <v>58</v>
      </c>
      <c r="E893" t="s">
        <v>45</v>
      </c>
      <c r="F893" t="s">
        <v>28</v>
      </c>
      <c r="G893" t="s">
        <v>29</v>
      </c>
      <c r="H893" t="s">
        <v>67</v>
      </c>
      <c r="I893">
        <v>9</v>
      </c>
      <c r="J893" t="s">
        <v>1864</v>
      </c>
      <c r="K893">
        <v>55</v>
      </c>
      <c r="L893" t="s">
        <v>32</v>
      </c>
      <c r="M893">
        <v>5</v>
      </c>
      <c r="N893" t="s">
        <v>64</v>
      </c>
      <c r="O893" t="s">
        <v>34</v>
      </c>
      <c r="P893" t="s">
        <v>50</v>
      </c>
      <c r="Q893" s="2">
        <v>30109.65</v>
      </c>
      <c r="R893" s="2">
        <v>2745.88</v>
      </c>
      <c r="S893" t="s">
        <v>51</v>
      </c>
      <c r="T893" t="s">
        <v>37</v>
      </c>
      <c r="U893" t="s">
        <v>75</v>
      </c>
      <c r="V893">
        <v>4</v>
      </c>
      <c r="W893" t="s">
        <v>54</v>
      </c>
      <c r="X893" t="s">
        <v>84</v>
      </c>
      <c r="Y893" t="s">
        <v>72</v>
      </c>
    </row>
    <row r="894" spans="1:25" x14ac:dyDescent="0.3">
      <c r="A894" t="s">
        <v>1865</v>
      </c>
      <c r="B894" s="1">
        <v>45818</v>
      </c>
      <c r="C894" t="s">
        <v>43</v>
      </c>
      <c r="D894" t="s">
        <v>58</v>
      </c>
      <c r="E894" t="s">
        <v>89</v>
      </c>
      <c r="F894" t="s">
        <v>28</v>
      </c>
      <c r="G894" t="s">
        <v>29</v>
      </c>
      <c r="H894" t="s">
        <v>61</v>
      </c>
      <c r="I894">
        <v>11</v>
      </c>
      <c r="J894" t="s">
        <v>1866</v>
      </c>
      <c r="K894">
        <v>54</v>
      </c>
      <c r="L894" t="s">
        <v>80</v>
      </c>
      <c r="M894">
        <v>4</v>
      </c>
      <c r="N894" t="s">
        <v>48</v>
      </c>
      <c r="O894" t="s">
        <v>69</v>
      </c>
      <c r="P894" t="s">
        <v>35</v>
      </c>
      <c r="Q894" s="2">
        <v>46677.83</v>
      </c>
      <c r="R894" s="2">
        <v>3721.52</v>
      </c>
      <c r="S894" t="s">
        <v>94</v>
      </c>
      <c r="T894" t="s">
        <v>52</v>
      </c>
      <c r="U894" t="s">
        <v>38</v>
      </c>
      <c r="V894">
        <v>4</v>
      </c>
      <c r="W894" t="s">
        <v>54</v>
      </c>
      <c r="X894" t="s">
        <v>84</v>
      </c>
      <c r="Y894" t="s">
        <v>41</v>
      </c>
    </row>
    <row r="895" spans="1:25" x14ac:dyDescent="0.3">
      <c r="A895" t="s">
        <v>1867</v>
      </c>
      <c r="B895" s="1">
        <v>45819</v>
      </c>
      <c r="C895" t="s">
        <v>78</v>
      </c>
      <c r="D895" t="s">
        <v>58</v>
      </c>
      <c r="E895" t="s">
        <v>89</v>
      </c>
      <c r="F895" t="s">
        <v>28</v>
      </c>
      <c r="G895" t="s">
        <v>29</v>
      </c>
      <c r="H895" t="s">
        <v>61</v>
      </c>
      <c r="I895">
        <v>4</v>
      </c>
      <c r="J895" t="s">
        <v>1868</v>
      </c>
      <c r="K895">
        <v>65</v>
      </c>
      <c r="L895" t="s">
        <v>80</v>
      </c>
      <c r="M895">
        <v>6</v>
      </c>
      <c r="N895" t="s">
        <v>91</v>
      </c>
      <c r="O895" t="s">
        <v>34</v>
      </c>
      <c r="P895" t="s">
        <v>35</v>
      </c>
      <c r="Q895" s="2">
        <v>9591.35</v>
      </c>
      <c r="R895" s="2">
        <v>2042.39</v>
      </c>
      <c r="S895" t="s">
        <v>51</v>
      </c>
      <c r="T895" t="s">
        <v>52</v>
      </c>
      <c r="U895" t="s">
        <v>75</v>
      </c>
      <c r="V895">
        <v>3.9</v>
      </c>
      <c r="W895" t="s">
        <v>54</v>
      </c>
      <c r="X895" t="s">
        <v>40</v>
      </c>
      <c r="Y895" t="s">
        <v>72</v>
      </c>
    </row>
    <row r="896" spans="1:25" x14ac:dyDescent="0.3">
      <c r="A896" t="s">
        <v>1869</v>
      </c>
      <c r="B896" s="1">
        <v>45820</v>
      </c>
      <c r="C896" t="s">
        <v>26</v>
      </c>
      <c r="D896" t="s">
        <v>26</v>
      </c>
      <c r="E896" t="s">
        <v>45</v>
      </c>
      <c r="F896" t="s">
        <v>28</v>
      </c>
      <c r="G896" t="s">
        <v>29</v>
      </c>
      <c r="H896" t="s">
        <v>67</v>
      </c>
      <c r="I896">
        <v>6</v>
      </c>
      <c r="J896" t="s">
        <v>1870</v>
      </c>
      <c r="K896">
        <v>65</v>
      </c>
      <c r="L896" t="s">
        <v>32</v>
      </c>
      <c r="M896">
        <v>7</v>
      </c>
      <c r="N896" t="s">
        <v>33</v>
      </c>
      <c r="O896" t="s">
        <v>69</v>
      </c>
      <c r="P896" t="s">
        <v>50</v>
      </c>
      <c r="Q896" s="2">
        <v>32052.31</v>
      </c>
      <c r="R896" s="2">
        <v>4998.47</v>
      </c>
      <c r="S896" t="s">
        <v>94</v>
      </c>
      <c r="T896" t="s">
        <v>52</v>
      </c>
      <c r="U896" t="s">
        <v>83</v>
      </c>
      <c r="V896">
        <v>3</v>
      </c>
      <c r="W896" t="s">
        <v>76</v>
      </c>
      <c r="X896" t="s">
        <v>40</v>
      </c>
      <c r="Y896" t="s">
        <v>41</v>
      </c>
    </row>
    <row r="897" spans="1:25" x14ac:dyDescent="0.3">
      <c r="A897" t="s">
        <v>1871</v>
      </c>
      <c r="B897" s="1">
        <v>45821</v>
      </c>
      <c r="C897" t="s">
        <v>117</v>
      </c>
      <c r="D897" t="s">
        <v>4083</v>
      </c>
      <c r="E897" t="s">
        <v>4085</v>
      </c>
      <c r="F897" t="s">
        <v>60</v>
      </c>
      <c r="G897" t="s">
        <v>29</v>
      </c>
      <c r="H897" t="s">
        <v>46</v>
      </c>
      <c r="I897">
        <v>11</v>
      </c>
      <c r="J897" t="s">
        <v>1872</v>
      </c>
      <c r="K897">
        <v>27</v>
      </c>
      <c r="L897" t="s">
        <v>80</v>
      </c>
      <c r="M897">
        <v>5</v>
      </c>
      <c r="N897" t="s">
        <v>91</v>
      </c>
      <c r="O897" t="s">
        <v>81</v>
      </c>
      <c r="P897" t="s">
        <v>35</v>
      </c>
      <c r="Q897" s="2">
        <v>18597.95</v>
      </c>
      <c r="R897" s="2">
        <v>1489.75</v>
      </c>
      <c r="S897" t="s">
        <v>51</v>
      </c>
      <c r="T897" t="s">
        <v>37</v>
      </c>
      <c r="U897" t="s">
        <v>83</v>
      </c>
      <c r="V897">
        <v>2.6</v>
      </c>
      <c r="W897" t="s">
        <v>76</v>
      </c>
      <c r="X897" t="s">
        <v>40</v>
      </c>
      <c r="Y897" t="s">
        <v>72</v>
      </c>
    </row>
    <row r="898" spans="1:25" x14ac:dyDescent="0.3">
      <c r="A898" t="s">
        <v>1873</v>
      </c>
      <c r="B898" s="1">
        <v>45822</v>
      </c>
      <c r="C898" t="s">
        <v>43</v>
      </c>
      <c r="D898" t="s">
        <v>58</v>
      </c>
      <c r="E898" t="s">
        <v>4085</v>
      </c>
      <c r="F898" t="s">
        <v>60</v>
      </c>
      <c r="G898" t="s">
        <v>29</v>
      </c>
      <c r="H898" t="s">
        <v>46</v>
      </c>
      <c r="I898">
        <v>4</v>
      </c>
      <c r="J898" t="s">
        <v>1874</v>
      </c>
      <c r="K898">
        <v>58</v>
      </c>
      <c r="L898" t="s">
        <v>32</v>
      </c>
      <c r="M898">
        <v>3</v>
      </c>
      <c r="N898" t="s">
        <v>48</v>
      </c>
      <c r="O898" t="s">
        <v>69</v>
      </c>
      <c r="P898" t="s">
        <v>50</v>
      </c>
      <c r="Q898" s="2">
        <v>45019.75</v>
      </c>
      <c r="R898" s="2">
        <v>4891.24</v>
      </c>
      <c r="S898" t="s">
        <v>94</v>
      </c>
      <c r="T898" t="s">
        <v>71</v>
      </c>
      <c r="U898" t="s">
        <v>53</v>
      </c>
      <c r="V898">
        <v>2.6</v>
      </c>
      <c r="W898" t="s">
        <v>76</v>
      </c>
      <c r="X898" t="s">
        <v>40</v>
      </c>
      <c r="Y898" t="s">
        <v>72</v>
      </c>
    </row>
    <row r="899" spans="1:25" x14ac:dyDescent="0.3">
      <c r="A899" t="s">
        <v>1875</v>
      </c>
      <c r="B899" s="1">
        <v>45823</v>
      </c>
      <c r="C899" t="s">
        <v>117</v>
      </c>
      <c r="D899" t="s">
        <v>4083</v>
      </c>
      <c r="E899" t="s">
        <v>4085</v>
      </c>
      <c r="F899" t="s">
        <v>60</v>
      </c>
      <c r="G899" t="s">
        <v>29</v>
      </c>
      <c r="H899" t="s">
        <v>59</v>
      </c>
      <c r="I899">
        <v>12</v>
      </c>
      <c r="J899" t="s">
        <v>1876</v>
      </c>
      <c r="K899">
        <v>53</v>
      </c>
      <c r="L899" t="s">
        <v>32</v>
      </c>
      <c r="M899">
        <v>3</v>
      </c>
      <c r="N899" t="s">
        <v>64</v>
      </c>
      <c r="O899" t="s">
        <v>69</v>
      </c>
      <c r="P899" t="s">
        <v>35</v>
      </c>
      <c r="Q899" s="2">
        <v>39432.629999999997</v>
      </c>
      <c r="R899" s="2">
        <v>1015.15</v>
      </c>
      <c r="S899" t="s">
        <v>94</v>
      </c>
      <c r="T899" t="s">
        <v>52</v>
      </c>
      <c r="U899" t="s">
        <v>83</v>
      </c>
      <c r="V899">
        <v>3.9</v>
      </c>
      <c r="W899" t="s">
        <v>54</v>
      </c>
      <c r="X899" t="s">
        <v>84</v>
      </c>
      <c r="Y899" t="s">
        <v>72</v>
      </c>
    </row>
    <row r="900" spans="1:25" x14ac:dyDescent="0.3">
      <c r="A900" t="s">
        <v>1877</v>
      </c>
      <c r="B900" s="1">
        <v>45824</v>
      </c>
      <c r="C900" t="s">
        <v>117</v>
      </c>
      <c r="D900" t="s">
        <v>4083</v>
      </c>
      <c r="E900" t="s">
        <v>120</v>
      </c>
      <c r="F900" t="s">
        <v>28</v>
      </c>
      <c r="G900" t="s">
        <v>29</v>
      </c>
      <c r="H900" t="s">
        <v>86</v>
      </c>
      <c r="I900">
        <v>13</v>
      </c>
      <c r="J900" t="s">
        <v>1878</v>
      </c>
      <c r="K900">
        <v>46</v>
      </c>
      <c r="L900" t="s">
        <v>63</v>
      </c>
      <c r="M900">
        <v>5</v>
      </c>
      <c r="N900" t="s">
        <v>48</v>
      </c>
      <c r="O900" t="s">
        <v>69</v>
      </c>
      <c r="P900" t="s">
        <v>82</v>
      </c>
      <c r="Q900" s="2">
        <v>21636.62</v>
      </c>
      <c r="R900" s="2">
        <v>554.66</v>
      </c>
      <c r="S900" t="s">
        <v>115</v>
      </c>
      <c r="T900" t="s">
        <v>37</v>
      </c>
      <c r="U900" t="s">
        <v>75</v>
      </c>
      <c r="V900">
        <v>3</v>
      </c>
      <c r="W900" t="s">
        <v>76</v>
      </c>
      <c r="X900" t="s">
        <v>40</v>
      </c>
      <c r="Y900" t="s">
        <v>72</v>
      </c>
    </row>
    <row r="901" spans="1:25" x14ac:dyDescent="0.3">
      <c r="A901" t="s">
        <v>1879</v>
      </c>
      <c r="B901" s="1">
        <v>45825</v>
      </c>
      <c r="C901" t="s">
        <v>117</v>
      </c>
      <c r="D901" t="s">
        <v>4083</v>
      </c>
      <c r="E901" t="s">
        <v>45</v>
      </c>
      <c r="F901" t="s">
        <v>28</v>
      </c>
      <c r="G901" t="s">
        <v>29</v>
      </c>
      <c r="H901" t="s">
        <v>67</v>
      </c>
      <c r="I901">
        <v>3</v>
      </c>
      <c r="J901" t="s">
        <v>1880</v>
      </c>
      <c r="K901">
        <v>31</v>
      </c>
      <c r="L901" t="s">
        <v>63</v>
      </c>
      <c r="M901">
        <v>4</v>
      </c>
      <c r="N901" t="s">
        <v>64</v>
      </c>
      <c r="O901" t="s">
        <v>34</v>
      </c>
      <c r="P901" t="s">
        <v>70</v>
      </c>
      <c r="Q901" s="2">
        <v>12519.64</v>
      </c>
      <c r="R901" s="2">
        <v>3754.15</v>
      </c>
      <c r="S901" t="s">
        <v>94</v>
      </c>
      <c r="T901" t="s">
        <v>52</v>
      </c>
      <c r="U901" t="s">
        <v>83</v>
      </c>
      <c r="V901">
        <v>2.4</v>
      </c>
      <c r="W901" t="s">
        <v>76</v>
      </c>
      <c r="X901" t="s">
        <v>65</v>
      </c>
      <c r="Y901" t="s">
        <v>72</v>
      </c>
    </row>
    <row r="902" spans="1:25" x14ac:dyDescent="0.3">
      <c r="A902" t="s">
        <v>1881</v>
      </c>
      <c r="B902" s="1">
        <v>45826</v>
      </c>
      <c r="C902" t="s">
        <v>57</v>
      </c>
      <c r="D902" t="s">
        <v>44</v>
      </c>
      <c r="E902" t="s">
        <v>4085</v>
      </c>
      <c r="F902" t="s">
        <v>60</v>
      </c>
      <c r="G902" t="s">
        <v>29</v>
      </c>
      <c r="H902" t="s">
        <v>46</v>
      </c>
      <c r="I902">
        <v>12</v>
      </c>
      <c r="J902" t="s">
        <v>1882</v>
      </c>
      <c r="K902">
        <v>21</v>
      </c>
      <c r="L902" t="s">
        <v>63</v>
      </c>
      <c r="M902">
        <v>3</v>
      </c>
      <c r="N902" t="s">
        <v>91</v>
      </c>
      <c r="O902" t="s">
        <v>34</v>
      </c>
      <c r="P902" t="s">
        <v>82</v>
      </c>
      <c r="Q902" s="2">
        <v>5517.41</v>
      </c>
      <c r="R902" s="2">
        <v>3511.55</v>
      </c>
      <c r="S902" t="s">
        <v>51</v>
      </c>
      <c r="T902" t="s">
        <v>71</v>
      </c>
      <c r="U902" t="s">
        <v>83</v>
      </c>
      <c r="V902">
        <v>3.5</v>
      </c>
      <c r="W902" t="s">
        <v>54</v>
      </c>
      <c r="X902" t="s">
        <v>55</v>
      </c>
      <c r="Y902" t="s">
        <v>72</v>
      </c>
    </row>
    <row r="903" spans="1:25" x14ac:dyDescent="0.3">
      <c r="A903" t="s">
        <v>1883</v>
      </c>
      <c r="B903" s="1">
        <v>45827</v>
      </c>
      <c r="C903" t="s">
        <v>57</v>
      </c>
      <c r="D903" t="s">
        <v>44</v>
      </c>
      <c r="E903" t="s">
        <v>89</v>
      </c>
      <c r="F903" t="s">
        <v>28</v>
      </c>
      <c r="G903" t="s">
        <v>29</v>
      </c>
      <c r="H903" t="s">
        <v>61</v>
      </c>
      <c r="I903">
        <v>10</v>
      </c>
      <c r="J903" t="s">
        <v>1884</v>
      </c>
      <c r="K903">
        <v>61</v>
      </c>
      <c r="L903" t="s">
        <v>63</v>
      </c>
      <c r="M903">
        <v>4</v>
      </c>
      <c r="N903" t="s">
        <v>91</v>
      </c>
      <c r="O903" t="s">
        <v>69</v>
      </c>
      <c r="P903" t="s">
        <v>35</v>
      </c>
      <c r="Q903" s="2">
        <v>32951.050000000003</v>
      </c>
      <c r="R903" s="2">
        <v>4055.85</v>
      </c>
      <c r="S903" t="s">
        <v>94</v>
      </c>
      <c r="T903" t="s">
        <v>52</v>
      </c>
      <c r="U903" t="s">
        <v>75</v>
      </c>
      <c r="V903">
        <v>4.3</v>
      </c>
      <c r="W903" t="s">
        <v>54</v>
      </c>
      <c r="X903" t="s">
        <v>40</v>
      </c>
      <c r="Y903" t="s">
        <v>41</v>
      </c>
    </row>
    <row r="904" spans="1:25" x14ac:dyDescent="0.3">
      <c r="A904" t="s">
        <v>1885</v>
      </c>
      <c r="B904" s="1">
        <v>45828</v>
      </c>
      <c r="C904" t="s">
        <v>117</v>
      </c>
      <c r="D904" t="s">
        <v>4083</v>
      </c>
      <c r="E904" t="s">
        <v>4084</v>
      </c>
      <c r="F904" t="s">
        <v>60</v>
      </c>
      <c r="G904" t="s">
        <v>29</v>
      </c>
      <c r="H904" t="s">
        <v>30</v>
      </c>
      <c r="I904">
        <v>11</v>
      </c>
      <c r="J904" t="s">
        <v>1886</v>
      </c>
      <c r="K904">
        <v>59</v>
      </c>
      <c r="L904" t="s">
        <v>80</v>
      </c>
      <c r="M904">
        <v>6</v>
      </c>
      <c r="N904" t="s">
        <v>48</v>
      </c>
      <c r="O904" t="s">
        <v>49</v>
      </c>
      <c r="P904" t="s">
        <v>35</v>
      </c>
      <c r="Q904" s="2">
        <v>23275.57</v>
      </c>
      <c r="R904" s="2">
        <v>1717.95</v>
      </c>
      <c r="S904" t="s">
        <v>36</v>
      </c>
      <c r="T904" t="s">
        <v>71</v>
      </c>
      <c r="U904" t="s">
        <v>83</v>
      </c>
      <c r="V904">
        <v>1.2</v>
      </c>
      <c r="W904" t="s">
        <v>124</v>
      </c>
      <c r="X904" t="s">
        <v>106</v>
      </c>
      <c r="Y904" t="s">
        <v>72</v>
      </c>
    </row>
    <row r="905" spans="1:25" x14ac:dyDescent="0.3">
      <c r="A905" t="s">
        <v>1887</v>
      </c>
      <c r="B905" s="1">
        <v>45829</v>
      </c>
      <c r="C905" t="s">
        <v>43</v>
      </c>
      <c r="D905" t="s">
        <v>58</v>
      </c>
      <c r="E905" t="s">
        <v>4084</v>
      </c>
      <c r="F905" t="s">
        <v>60</v>
      </c>
      <c r="G905" t="s">
        <v>29</v>
      </c>
      <c r="H905" t="s">
        <v>27</v>
      </c>
      <c r="I905">
        <v>9</v>
      </c>
      <c r="J905" t="s">
        <v>1888</v>
      </c>
      <c r="K905">
        <v>53</v>
      </c>
      <c r="L905" t="s">
        <v>80</v>
      </c>
      <c r="M905">
        <v>3</v>
      </c>
      <c r="N905" t="s">
        <v>33</v>
      </c>
      <c r="O905" t="s">
        <v>34</v>
      </c>
      <c r="P905" t="s">
        <v>35</v>
      </c>
      <c r="Q905" s="2">
        <v>19164.04</v>
      </c>
      <c r="R905" s="2">
        <v>4654.04</v>
      </c>
      <c r="S905" t="s">
        <v>51</v>
      </c>
      <c r="T905" t="s">
        <v>37</v>
      </c>
      <c r="U905" t="s">
        <v>75</v>
      </c>
      <c r="V905">
        <v>4.9000000000000004</v>
      </c>
      <c r="W905" t="s">
        <v>103</v>
      </c>
      <c r="X905" t="s">
        <v>55</v>
      </c>
      <c r="Y905" t="s">
        <v>41</v>
      </c>
    </row>
    <row r="906" spans="1:25" x14ac:dyDescent="0.3">
      <c r="A906" t="s">
        <v>1889</v>
      </c>
      <c r="B906" s="1">
        <v>45830</v>
      </c>
      <c r="C906" t="s">
        <v>26</v>
      </c>
      <c r="D906" t="s">
        <v>26</v>
      </c>
      <c r="E906" t="s">
        <v>4085</v>
      </c>
      <c r="F906" t="s">
        <v>60</v>
      </c>
      <c r="G906" t="s">
        <v>29</v>
      </c>
      <c r="H906" t="s">
        <v>46</v>
      </c>
      <c r="I906">
        <v>10</v>
      </c>
      <c r="J906" t="s">
        <v>1890</v>
      </c>
      <c r="K906">
        <v>67</v>
      </c>
      <c r="L906" t="s">
        <v>63</v>
      </c>
      <c r="M906">
        <v>7</v>
      </c>
      <c r="N906" t="s">
        <v>91</v>
      </c>
      <c r="O906" t="s">
        <v>81</v>
      </c>
      <c r="P906" t="s">
        <v>82</v>
      </c>
      <c r="Q906" s="2">
        <v>49347.6</v>
      </c>
      <c r="R906" s="2">
        <v>597.41</v>
      </c>
      <c r="S906" t="s">
        <v>115</v>
      </c>
      <c r="T906" t="s">
        <v>71</v>
      </c>
      <c r="U906" t="s">
        <v>83</v>
      </c>
      <c r="V906">
        <v>1.4</v>
      </c>
      <c r="W906" t="s">
        <v>124</v>
      </c>
      <c r="X906" t="s">
        <v>65</v>
      </c>
      <c r="Y906" t="s">
        <v>72</v>
      </c>
    </row>
    <row r="907" spans="1:25" x14ac:dyDescent="0.3">
      <c r="A907" t="s">
        <v>1891</v>
      </c>
      <c r="B907" s="1">
        <v>45831</v>
      </c>
      <c r="C907" t="s">
        <v>26</v>
      </c>
      <c r="D907" t="s">
        <v>26</v>
      </c>
      <c r="E907" t="s">
        <v>4084</v>
      </c>
      <c r="F907" t="s">
        <v>60</v>
      </c>
      <c r="G907" t="s">
        <v>29</v>
      </c>
      <c r="H907" t="s">
        <v>27</v>
      </c>
      <c r="I907">
        <v>6</v>
      </c>
      <c r="J907" t="s">
        <v>1892</v>
      </c>
      <c r="K907">
        <v>62</v>
      </c>
      <c r="L907" t="s">
        <v>32</v>
      </c>
      <c r="M907">
        <v>7</v>
      </c>
      <c r="N907" t="s">
        <v>33</v>
      </c>
      <c r="O907" t="s">
        <v>81</v>
      </c>
      <c r="P907" t="s">
        <v>35</v>
      </c>
      <c r="Q907" s="2">
        <v>25976.400000000001</v>
      </c>
      <c r="R907" s="2">
        <v>151.38999999999999</v>
      </c>
      <c r="S907" t="s">
        <v>51</v>
      </c>
      <c r="T907" t="s">
        <v>71</v>
      </c>
      <c r="U907" t="s">
        <v>75</v>
      </c>
      <c r="V907">
        <v>3</v>
      </c>
      <c r="W907" t="s">
        <v>76</v>
      </c>
      <c r="X907" t="s">
        <v>55</v>
      </c>
      <c r="Y907" t="s">
        <v>41</v>
      </c>
    </row>
    <row r="908" spans="1:25" x14ac:dyDescent="0.3">
      <c r="A908" t="s">
        <v>1893</v>
      </c>
      <c r="B908" s="1">
        <v>45832</v>
      </c>
      <c r="C908" t="s">
        <v>78</v>
      </c>
      <c r="D908" t="s">
        <v>58</v>
      </c>
      <c r="E908" t="s">
        <v>4084</v>
      </c>
      <c r="F908" t="s">
        <v>60</v>
      </c>
      <c r="G908" t="s">
        <v>29</v>
      </c>
      <c r="H908" t="s">
        <v>30</v>
      </c>
      <c r="I908">
        <v>6</v>
      </c>
      <c r="J908" t="s">
        <v>1894</v>
      </c>
      <c r="K908">
        <v>30</v>
      </c>
      <c r="L908" t="s">
        <v>32</v>
      </c>
      <c r="M908">
        <v>6</v>
      </c>
      <c r="N908" t="s">
        <v>33</v>
      </c>
      <c r="O908" t="s">
        <v>69</v>
      </c>
      <c r="P908" t="s">
        <v>50</v>
      </c>
      <c r="Q908" s="2">
        <v>38742.769999999997</v>
      </c>
      <c r="R908" s="2">
        <v>1502.82</v>
      </c>
      <c r="S908" t="s">
        <v>115</v>
      </c>
      <c r="T908" t="s">
        <v>37</v>
      </c>
      <c r="U908" t="s">
        <v>38</v>
      </c>
      <c r="V908">
        <v>3.2</v>
      </c>
      <c r="W908" t="s">
        <v>76</v>
      </c>
      <c r="X908" t="s">
        <v>55</v>
      </c>
      <c r="Y908" t="s">
        <v>41</v>
      </c>
    </row>
    <row r="909" spans="1:25" x14ac:dyDescent="0.3">
      <c r="A909" t="s">
        <v>1895</v>
      </c>
      <c r="B909" s="1">
        <v>45833</v>
      </c>
      <c r="C909" t="s">
        <v>43</v>
      </c>
      <c r="D909" t="s">
        <v>58</v>
      </c>
      <c r="E909" t="s">
        <v>120</v>
      </c>
      <c r="F909" t="s">
        <v>28</v>
      </c>
      <c r="G909" t="s">
        <v>29</v>
      </c>
      <c r="H909" t="s">
        <v>86</v>
      </c>
      <c r="I909">
        <v>4</v>
      </c>
      <c r="J909" t="s">
        <v>1896</v>
      </c>
      <c r="K909">
        <v>63</v>
      </c>
      <c r="L909" t="s">
        <v>32</v>
      </c>
      <c r="M909">
        <v>7</v>
      </c>
      <c r="N909" t="s">
        <v>48</v>
      </c>
      <c r="O909" t="s">
        <v>81</v>
      </c>
      <c r="P909" t="s">
        <v>70</v>
      </c>
      <c r="Q909" s="2">
        <v>12983.56</v>
      </c>
      <c r="R909" s="2">
        <v>3986.62</v>
      </c>
      <c r="S909" t="s">
        <v>36</v>
      </c>
      <c r="T909" t="s">
        <v>71</v>
      </c>
      <c r="U909" t="s">
        <v>38</v>
      </c>
      <c r="V909">
        <v>1.6</v>
      </c>
      <c r="W909" t="s">
        <v>124</v>
      </c>
      <c r="X909" t="s">
        <v>65</v>
      </c>
      <c r="Y909" t="s">
        <v>72</v>
      </c>
    </row>
    <row r="910" spans="1:25" x14ac:dyDescent="0.3">
      <c r="A910" t="s">
        <v>1897</v>
      </c>
      <c r="B910" s="1">
        <v>45834</v>
      </c>
      <c r="C910" t="s">
        <v>57</v>
      </c>
      <c r="D910" t="s">
        <v>44</v>
      </c>
      <c r="E910" t="s">
        <v>89</v>
      </c>
      <c r="F910" t="s">
        <v>28</v>
      </c>
      <c r="G910" t="s">
        <v>29</v>
      </c>
      <c r="H910" t="s">
        <v>61</v>
      </c>
      <c r="I910">
        <v>10</v>
      </c>
      <c r="J910" t="s">
        <v>1898</v>
      </c>
      <c r="K910">
        <v>35</v>
      </c>
      <c r="L910" t="s">
        <v>32</v>
      </c>
      <c r="M910">
        <v>4</v>
      </c>
      <c r="N910" t="s">
        <v>91</v>
      </c>
      <c r="O910" t="s">
        <v>34</v>
      </c>
      <c r="P910" t="s">
        <v>35</v>
      </c>
      <c r="Q910" s="2">
        <v>5605.49</v>
      </c>
      <c r="R910" s="2">
        <v>3364.91</v>
      </c>
      <c r="S910" t="s">
        <v>115</v>
      </c>
      <c r="T910" t="s">
        <v>71</v>
      </c>
      <c r="U910" t="s">
        <v>53</v>
      </c>
      <c r="V910">
        <v>4.7</v>
      </c>
      <c r="W910" t="s">
        <v>103</v>
      </c>
      <c r="X910" t="s">
        <v>40</v>
      </c>
      <c r="Y910" t="s">
        <v>72</v>
      </c>
    </row>
    <row r="911" spans="1:25" x14ac:dyDescent="0.3">
      <c r="A911" t="s">
        <v>1899</v>
      </c>
      <c r="B911" s="1">
        <v>45835</v>
      </c>
      <c r="C911" t="s">
        <v>117</v>
      </c>
      <c r="D911" t="s">
        <v>4083</v>
      </c>
      <c r="E911" t="s">
        <v>89</v>
      </c>
      <c r="F911" t="s">
        <v>28</v>
      </c>
      <c r="G911" t="s">
        <v>29</v>
      </c>
      <c r="H911" t="s">
        <v>61</v>
      </c>
      <c r="I911">
        <v>13</v>
      </c>
      <c r="J911" t="s">
        <v>1900</v>
      </c>
      <c r="K911">
        <v>50</v>
      </c>
      <c r="L911" t="s">
        <v>80</v>
      </c>
      <c r="M911">
        <v>4</v>
      </c>
      <c r="N911" t="s">
        <v>33</v>
      </c>
      <c r="O911" t="s">
        <v>49</v>
      </c>
      <c r="P911" t="s">
        <v>35</v>
      </c>
      <c r="Q911" s="2">
        <v>23790.32</v>
      </c>
      <c r="R911" s="2">
        <v>2181.04</v>
      </c>
      <c r="S911" t="s">
        <v>94</v>
      </c>
      <c r="T911" t="s">
        <v>37</v>
      </c>
      <c r="U911" t="s">
        <v>83</v>
      </c>
      <c r="V911">
        <v>2.9</v>
      </c>
      <c r="W911" t="s">
        <v>76</v>
      </c>
      <c r="X911" t="s">
        <v>65</v>
      </c>
      <c r="Y911" t="s">
        <v>72</v>
      </c>
    </row>
    <row r="912" spans="1:25" x14ac:dyDescent="0.3">
      <c r="A912" t="s">
        <v>1901</v>
      </c>
      <c r="B912" s="1">
        <v>45836</v>
      </c>
      <c r="C912" t="s">
        <v>78</v>
      </c>
      <c r="D912" t="s">
        <v>58</v>
      </c>
      <c r="E912" t="s">
        <v>120</v>
      </c>
      <c r="F912" t="s">
        <v>28</v>
      </c>
      <c r="G912" t="s">
        <v>29</v>
      </c>
      <c r="H912" t="s">
        <v>86</v>
      </c>
      <c r="I912">
        <v>4</v>
      </c>
      <c r="J912" t="s">
        <v>1902</v>
      </c>
      <c r="K912">
        <v>38</v>
      </c>
      <c r="L912" t="s">
        <v>32</v>
      </c>
      <c r="M912">
        <v>7</v>
      </c>
      <c r="N912" t="s">
        <v>91</v>
      </c>
      <c r="O912" t="s">
        <v>49</v>
      </c>
      <c r="P912" t="s">
        <v>70</v>
      </c>
      <c r="Q912" s="2">
        <v>34954.92</v>
      </c>
      <c r="R912" s="2">
        <v>1281.27</v>
      </c>
      <c r="S912" t="s">
        <v>36</v>
      </c>
      <c r="T912" t="s">
        <v>71</v>
      </c>
      <c r="U912" t="s">
        <v>53</v>
      </c>
      <c r="V912">
        <v>1.6</v>
      </c>
      <c r="W912" t="s">
        <v>124</v>
      </c>
      <c r="X912" t="s">
        <v>106</v>
      </c>
      <c r="Y912" t="s">
        <v>41</v>
      </c>
    </row>
    <row r="913" spans="1:25" x14ac:dyDescent="0.3">
      <c r="A913" t="s">
        <v>1903</v>
      </c>
      <c r="B913" s="1">
        <v>45837</v>
      </c>
      <c r="C913" t="s">
        <v>26</v>
      </c>
      <c r="D913" t="s">
        <v>26</v>
      </c>
      <c r="E913" t="s">
        <v>120</v>
      </c>
      <c r="F913" t="s">
        <v>28</v>
      </c>
      <c r="G913" t="s">
        <v>29</v>
      </c>
      <c r="H913" t="s">
        <v>86</v>
      </c>
      <c r="I913">
        <v>11</v>
      </c>
      <c r="J913" t="s">
        <v>1904</v>
      </c>
      <c r="K913">
        <v>33</v>
      </c>
      <c r="L913" t="s">
        <v>32</v>
      </c>
      <c r="M913">
        <v>2</v>
      </c>
      <c r="N913" t="s">
        <v>64</v>
      </c>
      <c r="O913" t="s">
        <v>49</v>
      </c>
      <c r="P913" t="s">
        <v>70</v>
      </c>
      <c r="Q913" s="2">
        <v>27796.94</v>
      </c>
      <c r="R913" s="2">
        <v>296.36</v>
      </c>
      <c r="S913" t="s">
        <v>36</v>
      </c>
      <c r="T913" t="s">
        <v>71</v>
      </c>
      <c r="U913" t="s">
        <v>75</v>
      </c>
      <c r="V913">
        <v>3.8</v>
      </c>
      <c r="W913" t="s">
        <v>39</v>
      </c>
      <c r="X913" t="s">
        <v>65</v>
      </c>
      <c r="Y913" t="s">
        <v>72</v>
      </c>
    </row>
    <row r="914" spans="1:25" x14ac:dyDescent="0.3">
      <c r="A914" t="s">
        <v>1905</v>
      </c>
      <c r="B914" s="1">
        <v>45838</v>
      </c>
      <c r="C914" t="s">
        <v>57</v>
      </c>
      <c r="D914" t="s">
        <v>44</v>
      </c>
      <c r="E914" t="s">
        <v>4084</v>
      </c>
      <c r="F914" t="s">
        <v>60</v>
      </c>
      <c r="G914" t="s">
        <v>29</v>
      </c>
      <c r="H914" t="s">
        <v>30</v>
      </c>
      <c r="I914">
        <v>6</v>
      </c>
      <c r="J914" t="s">
        <v>1906</v>
      </c>
      <c r="K914">
        <v>32</v>
      </c>
      <c r="L914" t="s">
        <v>63</v>
      </c>
      <c r="M914">
        <v>5</v>
      </c>
      <c r="N914" t="s">
        <v>33</v>
      </c>
      <c r="O914" t="s">
        <v>81</v>
      </c>
      <c r="P914" t="s">
        <v>70</v>
      </c>
      <c r="Q914" s="2">
        <v>45070.98</v>
      </c>
      <c r="R914" s="2">
        <v>1687.53</v>
      </c>
      <c r="S914" t="s">
        <v>115</v>
      </c>
      <c r="T914" t="s">
        <v>52</v>
      </c>
      <c r="U914" t="s">
        <v>38</v>
      </c>
      <c r="V914">
        <v>3.7</v>
      </c>
      <c r="W914" t="s">
        <v>54</v>
      </c>
      <c r="X914" t="s">
        <v>84</v>
      </c>
      <c r="Y914" t="s">
        <v>72</v>
      </c>
    </row>
    <row r="915" spans="1:25" x14ac:dyDescent="0.3">
      <c r="A915" t="s">
        <v>1907</v>
      </c>
      <c r="B915" s="1">
        <v>45839</v>
      </c>
      <c r="C915" t="s">
        <v>57</v>
      </c>
      <c r="D915" t="s">
        <v>44</v>
      </c>
      <c r="E915" t="s">
        <v>45</v>
      </c>
      <c r="F915" t="s">
        <v>28</v>
      </c>
      <c r="G915" t="s">
        <v>29</v>
      </c>
      <c r="H915" t="s">
        <v>67</v>
      </c>
      <c r="I915">
        <v>3</v>
      </c>
      <c r="J915" t="s">
        <v>1908</v>
      </c>
      <c r="K915">
        <v>22</v>
      </c>
      <c r="L915" t="s">
        <v>32</v>
      </c>
      <c r="M915">
        <v>1</v>
      </c>
      <c r="N915" t="s">
        <v>48</v>
      </c>
      <c r="O915" t="s">
        <v>69</v>
      </c>
      <c r="P915" t="s">
        <v>82</v>
      </c>
      <c r="Q915" s="2">
        <v>24529.07</v>
      </c>
      <c r="R915" s="2">
        <v>2300.1</v>
      </c>
      <c r="S915" t="s">
        <v>51</v>
      </c>
      <c r="T915" t="s">
        <v>71</v>
      </c>
      <c r="U915" t="s">
        <v>75</v>
      </c>
      <c r="V915">
        <v>4.9000000000000004</v>
      </c>
      <c r="W915" t="s">
        <v>103</v>
      </c>
      <c r="X915" t="s">
        <v>84</v>
      </c>
      <c r="Y915" t="s">
        <v>72</v>
      </c>
    </row>
    <row r="916" spans="1:25" x14ac:dyDescent="0.3">
      <c r="A916" t="s">
        <v>1909</v>
      </c>
      <c r="B916" s="1">
        <v>45840</v>
      </c>
      <c r="C916" t="s">
        <v>117</v>
      </c>
      <c r="D916" t="s">
        <v>4083</v>
      </c>
      <c r="E916" t="s">
        <v>4084</v>
      </c>
      <c r="F916" t="s">
        <v>60</v>
      </c>
      <c r="G916" t="s">
        <v>29</v>
      </c>
      <c r="H916" t="s">
        <v>27</v>
      </c>
      <c r="I916">
        <v>6</v>
      </c>
      <c r="J916" t="s">
        <v>1910</v>
      </c>
      <c r="K916">
        <v>23</v>
      </c>
      <c r="L916" t="s">
        <v>80</v>
      </c>
      <c r="M916">
        <v>5</v>
      </c>
      <c r="N916" t="s">
        <v>48</v>
      </c>
      <c r="O916" t="s">
        <v>81</v>
      </c>
      <c r="P916" t="s">
        <v>82</v>
      </c>
      <c r="Q916" s="2">
        <v>18995.13</v>
      </c>
      <c r="R916" s="2">
        <v>3435.12</v>
      </c>
      <c r="S916" t="s">
        <v>115</v>
      </c>
      <c r="T916" t="s">
        <v>71</v>
      </c>
      <c r="U916" t="s">
        <v>53</v>
      </c>
      <c r="V916">
        <v>2.8</v>
      </c>
      <c r="W916" t="s">
        <v>76</v>
      </c>
      <c r="X916" t="s">
        <v>55</v>
      </c>
      <c r="Y916" t="s">
        <v>72</v>
      </c>
    </row>
    <row r="917" spans="1:25" x14ac:dyDescent="0.3">
      <c r="A917" t="s">
        <v>1911</v>
      </c>
      <c r="B917" s="1">
        <v>45841</v>
      </c>
      <c r="C917" t="s">
        <v>26</v>
      </c>
      <c r="D917" t="s">
        <v>26</v>
      </c>
      <c r="E917" t="s">
        <v>120</v>
      </c>
      <c r="F917" t="s">
        <v>28</v>
      </c>
      <c r="G917" t="s">
        <v>29</v>
      </c>
      <c r="H917" t="s">
        <v>86</v>
      </c>
      <c r="I917">
        <v>5</v>
      </c>
      <c r="J917" t="s">
        <v>1912</v>
      </c>
      <c r="K917">
        <v>55</v>
      </c>
      <c r="L917" t="s">
        <v>32</v>
      </c>
      <c r="M917">
        <v>7</v>
      </c>
      <c r="N917" t="s">
        <v>33</v>
      </c>
      <c r="O917" t="s">
        <v>69</v>
      </c>
      <c r="P917" t="s">
        <v>35</v>
      </c>
      <c r="Q917" s="2">
        <v>46222.19</v>
      </c>
      <c r="R917" s="2">
        <v>3229.86</v>
      </c>
      <c r="S917" t="s">
        <v>115</v>
      </c>
      <c r="T917" t="s">
        <v>71</v>
      </c>
      <c r="U917" t="s">
        <v>75</v>
      </c>
      <c r="V917">
        <v>2.1</v>
      </c>
      <c r="W917" t="s">
        <v>76</v>
      </c>
      <c r="X917" t="s">
        <v>40</v>
      </c>
      <c r="Y917" t="s">
        <v>41</v>
      </c>
    </row>
    <row r="918" spans="1:25" x14ac:dyDescent="0.3">
      <c r="A918" t="s">
        <v>1913</v>
      </c>
      <c r="B918" s="1">
        <v>45842</v>
      </c>
      <c r="C918" t="s">
        <v>43</v>
      </c>
      <c r="D918" t="s">
        <v>58</v>
      </c>
      <c r="E918" t="s">
        <v>89</v>
      </c>
      <c r="F918" t="s">
        <v>28</v>
      </c>
      <c r="G918" t="s">
        <v>29</v>
      </c>
      <c r="H918" t="s">
        <v>61</v>
      </c>
      <c r="I918">
        <v>14</v>
      </c>
      <c r="J918" t="s">
        <v>1914</v>
      </c>
      <c r="K918">
        <v>20</v>
      </c>
      <c r="L918" t="s">
        <v>32</v>
      </c>
      <c r="M918">
        <v>4</v>
      </c>
      <c r="N918" t="s">
        <v>91</v>
      </c>
      <c r="O918" t="s">
        <v>49</v>
      </c>
      <c r="P918" t="s">
        <v>70</v>
      </c>
      <c r="Q918" s="2">
        <v>23306.1</v>
      </c>
      <c r="R918" s="2">
        <v>4736.72</v>
      </c>
      <c r="S918" t="s">
        <v>36</v>
      </c>
      <c r="T918" t="s">
        <v>37</v>
      </c>
      <c r="U918" t="s">
        <v>75</v>
      </c>
      <c r="V918">
        <v>1.2</v>
      </c>
      <c r="W918" t="s">
        <v>124</v>
      </c>
      <c r="X918" t="s">
        <v>40</v>
      </c>
      <c r="Y918" t="s">
        <v>72</v>
      </c>
    </row>
    <row r="919" spans="1:25" x14ac:dyDescent="0.3">
      <c r="A919" t="s">
        <v>1915</v>
      </c>
      <c r="B919" s="1">
        <v>45843</v>
      </c>
      <c r="C919" t="s">
        <v>57</v>
      </c>
      <c r="D919" t="s">
        <v>44</v>
      </c>
      <c r="E919" t="s">
        <v>4084</v>
      </c>
      <c r="F919" t="s">
        <v>60</v>
      </c>
      <c r="G919" t="s">
        <v>29</v>
      </c>
      <c r="H919" t="s">
        <v>27</v>
      </c>
      <c r="I919">
        <v>8</v>
      </c>
      <c r="J919" t="s">
        <v>1916</v>
      </c>
      <c r="K919">
        <v>65</v>
      </c>
      <c r="L919" t="s">
        <v>80</v>
      </c>
      <c r="M919">
        <v>4</v>
      </c>
      <c r="N919" t="s">
        <v>64</v>
      </c>
      <c r="O919" t="s">
        <v>34</v>
      </c>
      <c r="P919" t="s">
        <v>35</v>
      </c>
      <c r="Q919" s="2">
        <v>17134.150000000001</v>
      </c>
      <c r="R919" s="2">
        <v>501.98</v>
      </c>
      <c r="S919" t="s">
        <v>94</v>
      </c>
      <c r="T919" t="s">
        <v>71</v>
      </c>
      <c r="U919" t="s">
        <v>75</v>
      </c>
      <c r="V919">
        <v>3.9</v>
      </c>
      <c r="W919" t="s">
        <v>54</v>
      </c>
      <c r="X919" t="s">
        <v>84</v>
      </c>
      <c r="Y919" t="s">
        <v>41</v>
      </c>
    </row>
    <row r="920" spans="1:25" x14ac:dyDescent="0.3">
      <c r="A920" t="s">
        <v>1917</v>
      </c>
      <c r="B920" s="1">
        <v>45844</v>
      </c>
      <c r="C920" t="s">
        <v>117</v>
      </c>
      <c r="D920" t="s">
        <v>4083</v>
      </c>
      <c r="E920" t="s">
        <v>45</v>
      </c>
      <c r="F920" t="s">
        <v>28</v>
      </c>
      <c r="G920" t="s">
        <v>29</v>
      </c>
      <c r="H920" t="s">
        <v>67</v>
      </c>
      <c r="I920">
        <v>9</v>
      </c>
      <c r="J920" t="s">
        <v>1918</v>
      </c>
      <c r="K920">
        <v>29</v>
      </c>
      <c r="L920" t="s">
        <v>63</v>
      </c>
      <c r="M920">
        <v>5</v>
      </c>
      <c r="N920" t="s">
        <v>64</v>
      </c>
      <c r="O920" t="s">
        <v>81</v>
      </c>
      <c r="P920" t="s">
        <v>35</v>
      </c>
      <c r="Q920" s="2">
        <v>9394.75</v>
      </c>
      <c r="R920" s="2">
        <v>1681.7</v>
      </c>
      <c r="S920" t="s">
        <v>51</v>
      </c>
      <c r="T920" t="s">
        <v>37</v>
      </c>
      <c r="U920" t="s">
        <v>75</v>
      </c>
      <c r="V920">
        <v>3.5</v>
      </c>
      <c r="W920" t="s">
        <v>54</v>
      </c>
      <c r="X920" t="s">
        <v>106</v>
      </c>
      <c r="Y920" t="s">
        <v>41</v>
      </c>
    </row>
    <row r="921" spans="1:25" x14ac:dyDescent="0.3">
      <c r="A921" t="s">
        <v>1919</v>
      </c>
      <c r="B921" s="1">
        <v>45845</v>
      </c>
      <c r="C921" t="s">
        <v>43</v>
      </c>
      <c r="D921" t="s">
        <v>58</v>
      </c>
      <c r="E921" t="s">
        <v>4084</v>
      </c>
      <c r="F921" t="s">
        <v>60</v>
      </c>
      <c r="G921" t="s">
        <v>29</v>
      </c>
      <c r="H921" t="s">
        <v>27</v>
      </c>
      <c r="I921">
        <v>10</v>
      </c>
      <c r="J921" t="s">
        <v>1920</v>
      </c>
      <c r="K921">
        <v>53</v>
      </c>
      <c r="L921" t="s">
        <v>80</v>
      </c>
      <c r="M921">
        <v>4</v>
      </c>
      <c r="N921" t="s">
        <v>48</v>
      </c>
      <c r="O921" t="s">
        <v>34</v>
      </c>
      <c r="P921" t="s">
        <v>35</v>
      </c>
      <c r="Q921" s="2">
        <v>40698.94</v>
      </c>
      <c r="R921" s="2">
        <v>2407.89</v>
      </c>
      <c r="S921" t="s">
        <v>115</v>
      </c>
      <c r="T921" t="s">
        <v>37</v>
      </c>
      <c r="U921" t="s">
        <v>38</v>
      </c>
      <c r="V921">
        <v>4.9000000000000004</v>
      </c>
      <c r="W921" t="s">
        <v>103</v>
      </c>
      <c r="X921" t="s">
        <v>65</v>
      </c>
      <c r="Y921" t="s">
        <v>72</v>
      </c>
    </row>
    <row r="922" spans="1:25" x14ac:dyDescent="0.3">
      <c r="A922" t="s">
        <v>1921</v>
      </c>
      <c r="B922" s="1">
        <v>45846</v>
      </c>
      <c r="C922" t="s">
        <v>26</v>
      </c>
      <c r="D922" t="s">
        <v>26</v>
      </c>
      <c r="E922" t="s">
        <v>4085</v>
      </c>
      <c r="F922" t="s">
        <v>60</v>
      </c>
      <c r="G922" t="s">
        <v>29</v>
      </c>
      <c r="H922" t="s">
        <v>46</v>
      </c>
      <c r="I922">
        <v>4</v>
      </c>
      <c r="J922" t="s">
        <v>1922</v>
      </c>
      <c r="K922">
        <v>50</v>
      </c>
      <c r="L922" t="s">
        <v>63</v>
      </c>
      <c r="M922">
        <v>6</v>
      </c>
      <c r="N922" t="s">
        <v>48</v>
      </c>
      <c r="O922" t="s">
        <v>49</v>
      </c>
      <c r="P922" t="s">
        <v>82</v>
      </c>
      <c r="Q922" s="2">
        <v>42129.120000000003</v>
      </c>
      <c r="R922" s="2">
        <v>3353.48</v>
      </c>
      <c r="S922" t="s">
        <v>94</v>
      </c>
      <c r="T922" t="s">
        <v>71</v>
      </c>
      <c r="U922" t="s">
        <v>75</v>
      </c>
      <c r="V922">
        <v>3.8</v>
      </c>
      <c r="W922" t="s">
        <v>54</v>
      </c>
      <c r="X922" t="s">
        <v>65</v>
      </c>
      <c r="Y922" t="s">
        <v>72</v>
      </c>
    </row>
    <row r="923" spans="1:25" x14ac:dyDescent="0.3">
      <c r="A923" t="s">
        <v>1923</v>
      </c>
      <c r="B923" s="1">
        <v>45847</v>
      </c>
      <c r="C923" t="s">
        <v>57</v>
      </c>
      <c r="D923" t="s">
        <v>44</v>
      </c>
      <c r="E923" t="s">
        <v>4084</v>
      </c>
      <c r="F923" t="s">
        <v>60</v>
      </c>
      <c r="G923" t="s">
        <v>29</v>
      </c>
      <c r="H923" t="s">
        <v>27</v>
      </c>
      <c r="I923">
        <v>8</v>
      </c>
      <c r="J923" t="s">
        <v>1924</v>
      </c>
      <c r="K923">
        <v>53</v>
      </c>
      <c r="L923" t="s">
        <v>32</v>
      </c>
      <c r="M923">
        <v>3</v>
      </c>
      <c r="N923" t="s">
        <v>91</v>
      </c>
      <c r="O923" t="s">
        <v>69</v>
      </c>
      <c r="P923" t="s">
        <v>70</v>
      </c>
      <c r="Q923" s="2">
        <v>6498.4</v>
      </c>
      <c r="R923" s="2">
        <v>2477.2600000000002</v>
      </c>
      <c r="S923" t="s">
        <v>94</v>
      </c>
      <c r="T923" t="s">
        <v>71</v>
      </c>
      <c r="U923" t="s">
        <v>75</v>
      </c>
      <c r="V923">
        <v>4.7</v>
      </c>
      <c r="W923" t="s">
        <v>103</v>
      </c>
      <c r="X923" t="s">
        <v>65</v>
      </c>
      <c r="Y923" t="s">
        <v>41</v>
      </c>
    </row>
    <row r="924" spans="1:25" x14ac:dyDescent="0.3">
      <c r="A924" t="s">
        <v>1925</v>
      </c>
      <c r="B924" s="1">
        <v>45848</v>
      </c>
      <c r="C924" t="s">
        <v>43</v>
      </c>
      <c r="D924" t="s">
        <v>58</v>
      </c>
      <c r="E924" t="s">
        <v>120</v>
      </c>
      <c r="F924" t="s">
        <v>28</v>
      </c>
      <c r="G924" t="s">
        <v>29</v>
      </c>
      <c r="H924" t="s">
        <v>86</v>
      </c>
      <c r="I924">
        <v>8</v>
      </c>
      <c r="J924" t="s">
        <v>1926</v>
      </c>
      <c r="K924">
        <v>50</v>
      </c>
      <c r="L924" t="s">
        <v>63</v>
      </c>
      <c r="M924">
        <v>4</v>
      </c>
      <c r="N924" t="s">
        <v>48</v>
      </c>
      <c r="O924" t="s">
        <v>34</v>
      </c>
      <c r="P924" t="s">
        <v>35</v>
      </c>
      <c r="Q924" s="2">
        <v>21139.05</v>
      </c>
      <c r="R924" s="2">
        <v>4563.79</v>
      </c>
      <c r="S924" t="s">
        <v>51</v>
      </c>
      <c r="T924" t="s">
        <v>71</v>
      </c>
      <c r="U924" t="s">
        <v>38</v>
      </c>
      <c r="V924">
        <v>5</v>
      </c>
      <c r="W924" t="s">
        <v>103</v>
      </c>
      <c r="X924" t="s">
        <v>106</v>
      </c>
      <c r="Y924" t="s">
        <v>72</v>
      </c>
    </row>
    <row r="925" spans="1:25" x14ac:dyDescent="0.3">
      <c r="A925" t="s">
        <v>1927</v>
      </c>
      <c r="B925" s="1">
        <v>45849</v>
      </c>
      <c r="C925" t="s">
        <v>43</v>
      </c>
      <c r="D925" t="s">
        <v>58</v>
      </c>
      <c r="E925" t="s">
        <v>89</v>
      </c>
      <c r="F925" t="s">
        <v>28</v>
      </c>
      <c r="G925" t="s">
        <v>29</v>
      </c>
      <c r="H925" t="s">
        <v>61</v>
      </c>
      <c r="I925">
        <v>12</v>
      </c>
      <c r="J925" t="s">
        <v>1928</v>
      </c>
      <c r="K925">
        <v>48</v>
      </c>
      <c r="L925" t="s">
        <v>63</v>
      </c>
      <c r="M925">
        <v>7</v>
      </c>
      <c r="N925" t="s">
        <v>91</v>
      </c>
      <c r="O925" t="s">
        <v>81</v>
      </c>
      <c r="P925" t="s">
        <v>82</v>
      </c>
      <c r="Q925" s="2">
        <v>38744.44</v>
      </c>
      <c r="R925" s="2">
        <v>3043.36</v>
      </c>
      <c r="S925" t="s">
        <v>94</v>
      </c>
      <c r="T925" t="s">
        <v>71</v>
      </c>
      <c r="U925" t="s">
        <v>75</v>
      </c>
      <c r="V925">
        <v>2.7</v>
      </c>
      <c r="W925" t="s">
        <v>76</v>
      </c>
      <c r="X925" t="s">
        <v>106</v>
      </c>
      <c r="Y925" t="s">
        <v>41</v>
      </c>
    </row>
    <row r="926" spans="1:25" x14ac:dyDescent="0.3">
      <c r="A926" t="s">
        <v>1929</v>
      </c>
      <c r="B926" s="1">
        <v>45850</v>
      </c>
      <c r="C926" t="s">
        <v>43</v>
      </c>
      <c r="D926" t="s">
        <v>58</v>
      </c>
      <c r="E926" t="s">
        <v>89</v>
      </c>
      <c r="F926" t="s">
        <v>28</v>
      </c>
      <c r="G926" t="s">
        <v>29</v>
      </c>
      <c r="H926" t="s">
        <v>61</v>
      </c>
      <c r="I926">
        <v>14</v>
      </c>
      <c r="J926" t="s">
        <v>1930</v>
      </c>
      <c r="K926">
        <v>38</v>
      </c>
      <c r="L926" t="s">
        <v>63</v>
      </c>
      <c r="M926">
        <v>7</v>
      </c>
      <c r="N926" t="s">
        <v>33</v>
      </c>
      <c r="O926" t="s">
        <v>34</v>
      </c>
      <c r="P926" t="s">
        <v>50</v>
      </c>
      <c r="Q926" s="2">
        <v>47587.18</v>
      </c>
      <c r="R926" s="2">
        <v>198.33</v>
      </c>
      <c r="S926" t="s">
        <v>115</v>
      </c>
      <c r="T926" t="s">
        <v>71</v>
      </c>
      <c r="U926" t="s">
        <v>75</v>
      </c>
      <c r="V926">
        <v>1.6</v>
      </c>
      <c r="W926" t="s">
        <v>124</v>
      </c>
      <c r="X926" t="s">
        <v>65</v>
      </c>
      <c r="Y926" t="s">
        <v>41</v>
      </c>
    </row>
    <row r="927" spans="1:25" x14ac:dyDescent="0.3">
      <c r="A927" t="s">
        <v>1931</v>
      </c>
      <c r="B927" s="1">
        <v>45851</v>
      </c>
      <c r="C927" t="s">
        <v>57</v>
      </c>
      <c r="D927" t="s">
        <v>44</v>
      </c>
      <c r="E927" t="s">
        <v>120</v>
      </c>
      <c r="F927" t="s">
        <v>28</v>
      </c>
      <c r="G927" t="s">
        <v>29</v>
      </c>
      <c r="H927" t="s">
        <v>86</v>
      </c>
      <c r="I927">
        <v>7</v>
      </c>
      <c r="J927" t="s">
        <v>1932</v>
      </c>
      <c r="K927">
        <v>44</v>
      </c>
      <c r="L927" t="s">
        <v>32</v>
      </c>
      <c r="M927">
        <v>5</v>
      </c>
      <c r="N927" t="s">
        <v>64</v>
      </c>
      <c r="O927" t="s">
        <v>34</v>
      </c>
      <c r="P927" t="s">
        <v>50</v>
      </c>
      <c r="Q927" s="2">
        <v>22001.82</v>
      </c>
      <c r="R927" s="2">
        <v>568.28</v>
      </c>
      <c r="S927" t="s">
        <v>36</v>
      </c>
      <c r="T927" t="s">
        <v>71</v>
      </c>
      <c r="U927" t="s">
        <v>53</v>
      </c>
      <c r="V927">
        <v>1.8</v>
      </c>
      <c r="W927" t="s">
        <v>124</v>
      </c>
      <c r="X927" t="s">
        <v>65</v>
      </c>
      <c r="Y927" t="s">
        <v>72</v>
      </c>
    </row>
    <row r="928" spans="1:25" x14ac:dyDescent="0.3">
      <c r="A928" t="s">
        <v>1933</v>
      </c>
      <c r="B928" s="1">
        <v>45852</v>
      </c>
      <c r="C928" t="s">
        <v>57</v>
      </c>
      <c r="D928" t="s">
        <v>44</v>
      </c>
      <c r="E928" t="s">
        <v>4085</v>
      </c>
      <c r="F928" t="s">
        <v>60</v>
      </c>
      <c r="G928" t="s">
        <v>29</v>
      </c>
      <c r="H928" t="s">
        <v>46</v>
      </c>
      <c r="I928">
        <v>12</v>
      </c>
      <c r="J928" t="s">
        <v>1934</v>
      </c>
      <c r="K928">
        <v>44</v>
      </c>
      <c r="L928" t="s">
        <v>63</v>
      </c>
      <c r="M928">
        <v>5</v>
      </c>
      <c r="N928" t="s">
        <v>33</v>
      </c>
      <c r="O928" t="s">
        <v>81</v>
      </c>
      <c r="P928" t="s">
        <v>35</v>
      </c>
      <c r="Q928" s="2">
        <v>44242.400000000001</v>
      </c>
      <c r="R928" s="2">
        <v>3767.48</v>
      </c>
      <c r="S928" t="s">
        <v>94</v>
      </c>
      <c r="T928" t="s">
        <v>71</v>
      </c>
      <c r="U928" t="s">
        <v>38</v>
      </c>
      <c r="V928">
        <v>2.2999999999999998</v>
      </c>
      <c r="W928" t="s">
        <v>76</v>
      </c>
      <c r="X928" t="s">
        <v>106</v>
      </c>
      <c r="Y928" t="s">
        <v>72</v>
      </c>
    </row>
    <row r="929" spans="1:25" x14ac:dyDescent="0.3">
      <c r="A929" t="s">
        <v>1935</v>
      </c>
      <c r="B929" s="1">
        <v>45853</v>
      </c>
      <c r="C929" t="s">
        <v>78</v>
      </c>
      <c r="D929" t="s">
        <v>58</v>
      </c>
      <c r="E929" t="s">
        <v>120</v>
      </c>
      <c r="F929" t="s">
        <v>28</v>
      </c>
      <c r="G929" t="s">
        <v>29</v>
      </c>
      <c r="H929" t="s">
        <v>86</v>
      </c>
      <c r="I929">
        <v>12</v>
      </c>
      <c r="J929" t="s">
        <v>1936</v>
      </c>
      <c r="K929">
        <v>25</v>
      </c>
      <c r="L929" t="s">
        <v>63</v>
      </c>
      <c r="M929">
        <v>5</v>
      </c>
      <c r="N929" t="s">
        <v>48</v>
      </c>
      <c r="O929" t="s">
        <v>69</v>
      </c>
      <c r="P929" t="s">
        <v>35</v>
      </c>
      <c r="Q929" s="2">
        <v>22717.42</v>
      </c>
      <c r="R929" s="2">
        <v>3578.94</v>
      </c>
      <c r="S929" t="s">
        <v>36</v>
      </c>
      <c r="T929" t="s">
        <v>37</v>
      </c>
      <c r="U929" t="s">
        <v>83</v>
      </c>
      <c r="V929">
        <v>3</v>
      </c>
      <c r="W929" t="s">
        <v>39</v>
      </c>
      <c r="X929" t="s">
        <v>65</v>
      </c>
      <c r="Y929" t="s">
        <v>72</v>
      </c>
    </row>
    <row r="930" spans="1:25" x14ac:dyDescent="0.3">
      <c r="A930" t="s">
        <v>1937</v>
      </c>
      <c r="B930" s="1">
        <v>45854</v>
      </c>
      <c r="C930" t="s">
        <v>26</v>
      </c>
      <c r="D930" t="s">
        <v>26</v>
      </c>
      <c r="E930" t="s">
        <v>4084</v>
      </c>
      <c r="F930" t="s">
        <v>60</v>
      </c>
      <c r="G930" t="s">
        <v>29</v>
      </c>
      <c r="H930" t="s">
        <v>27</v>
      </c>
      <c r="I930">
        <v>9</v>
      </c>
      <c r="J930" t="s">
        <v>1938</v>
      </c>
      <c r="K930">
        <v>54</v>
      </c>
      <c r="L930" t="s">
        <v>32</v>
      </c>
      <c r="M930">
        <v>7</v>
      </c>
      <c r="N930" t="s">
        <v>64</v>
      </c>
      <c r="O930" t="s">
        <v>81</v>
      </c>
      <c r="P930" t="s">
        <v>70</v>
      </c>
      <c r="Q930" s="2">
        <v>13077.26</v>
      </c>
      <c r="R930" s="2">
        <v>767.49</v>
      </c>
      <c r="S930" t="s">
        <v>51</v>
      </c>
      <c r="T930" t="s">
        <v>52</v>
      </c>
      <c r="U930" t="s">
        <v>75</v>
      </c>
      <c r="V930">
        <v>1.5</v>
      </c>
      <c r="W930" t="s">
        <v>124</v>
      </c>
      <c r="X930" t="s">
        <v>106</v>
      </c>
      <c r="Y930" t="s">
        <v>41</v>
      </c>
    </row>
    <row r="931" spans="1:25" x14ac:dyDescent="0.3">
      <c r="A931" t="s">
        <v>1939</v>
      </c>
      <c r="B931" s="1">
        <v>45855</v>
      </c>
      <c r="C931" t="s">
        <v>117</v>
      </c>
      <c r="D931" t="s">
        <v>4083</v>
      </c>
      <c r="E931" t="s">
        <v>120</v>
      </c>
      <c r="F931" t="s">
        <v>28</v>
      </c>
      <c r="G931" t="s">
        <v>29</v>
      </c>
      <c r="H931" t="s">
        <v>86</v>
      </c>
      <c r="I931">
        <v>5</v>
      </c>
      <c r="J931" t="s">
        <v>1940</v>
      </c>
      <c r="K931">
        <v>49</v>
      </c>
      <c r="L931" t="s">
        <v>80</v>
      </c>
      <c r="M931">
        <v>2</v>
      </c>
      <c r="N931" t="s">
        <v>64</v>
      </c>
      <c r="O931" t="s">
        <v>49</v>
      </c>
      <c r="P931" t="s">
        <v>70</v>
      </c>
      <c r="Q931" s="2">
        <v>5155.08</v>
      </c>
      <c r="R931" s="2">
        <v>294.54000000000002</v>
      </c>
      <c r="S931" t="s">
        <v>51</v>
      </c>
      <c r="T931" t="s">
        <v>37</v>
      </c>
      <c r="U931" t="s">
        <v>53</v>
      </c>
      <c r="V931">
        <v>2.2000000000000002</v>
      </c>
      <c r="W931" t="s">
        <v>76</v>
      </c>
      <c r="X931" t="s">
        <v>55</v>
      </c>
      <c r="Y931" t="s">
        <v>41</v>
      </c>
    </row>
    <row r="932" spans="1:25" x14ac:dyDescent="0.3">
      <c r="A932" t="s">
        <v>1941</v>
      </c>
      <c r="B932" s="1">
        <v>45856</v>
      </c>
      <c r="C932" t="s">
        <v>43</v>
      </c>
      <c r="D932" t="s">
        <v>58</v>
      </c>
      <c r="E932" t="s">
        <v>120</v>
      </c>
      <c r="F932" t="s">
        <v>28</v>
      </c>
      <c r="G932" t="s">
        <v>29</v>
      </c>
      <c r="H932" t="s">
        <v>86</v>
      </c>
      <c r="I932">
        <v>6</v>
      </c>
      <c r="J932" t="s">
        <v>1942</v>
      </c>
      <c r="K932">
        <v>43</v>
      </c>
      <c r="L932" t="s">
        <v>80</v>
      </c>
      <c r="M932">
        <v>7</v>
      </c>
      <c r="N932" t="s">
        <v>33</v>
      </c>
      <c r="O932" t="s">
        <v>69</v>
      </c>
      <c r="P932" t="s">
        <v>35</v>
      </c>
      <c r="Q932" s="2">
        <v>19858.150000000001</v>
      </c>
      <c r="R932" s="2">
        <v>2893.59</v>
      </c>
      <c r="S932" t="s">
        <v>94</v>
      </c>
      <c r="T932" t="s">
        <v>71</v>
      </c>
      <c r="U932" t="s">
        <v>38</v>
      </c>
      <c r="V932">
        <v>2.2000000000000002</v>
      </c>
      <c r="W932" t="s">
        <v>76</v>
      </c>
      <c r="X932" t="s">
        <v>84</v>
      </c>
      <c r="Y932" t="s">
        <v>72</v>
      </c>
    </row>
    <row r="933" spans="1:25" x14ac:dyDescent="0.3">
      <c r="A933" t="s">
        <v>1943</v>
      </c>
      <c r="B933" s="1">
        <v>45857</v>
      </c>
      <c r="C933" t="s">
        <v>78</v>
      </c>
      <c r="D933" t="s">
        <v>58</v>
      </c>
      <c r="E933" t="s">
        <v>4085</v>
      </c>
      <c r="F933" t="s">
        <v>60</v>
      </c>
      <c r="G933" t="s">
        <v>29</v>
      </c>
      <c r="H933" t="s">
        <v>59</v>
      </c>
      <c r="I933">
        <v>12</v>
      </c>
      <c r="J933" t="s">
        <v>1944</v>
      </c>
      <c r="K933">
        <v>19</v>
      </c>
      <c r="L933" t="s">
        <v>80</v>
      </c>
      <c r="M933">
        <v>6</v>
      </c>
      <c r="N933" t="s">
        <v>91</v>
      </c>
      <c r="O933" t="s">
        <v>34</v>
      </c>
      <c r="P933" t="s">
        <v>82</v>
      </c>
      <c r="Q933" s="2">
        <v>22031.38</v>
      </c>
      <c r="R933" s="2">
        <v>3178.69</v>
      </c>
      <c r="S933" t="s">
        <v>36</v>
      </c>
      <c r="T933" t="s">
        <v>52</v>
      </c>
      <c r="U933" t="s">
        <v>75</v>
      </c>
      <c r="V933">
        <v>1</v>
      </c>
      <c r="W933" t="s">
        <v>124</v>
      </c>
      <c r="X933" t="s">
        <v>84</v>
      </c>
      <c r="Y933" t="s">
        <v>72</v>
      </c>
    </row>
    <row r="934" spans="1:25" x14ac:dyDescent="0.3">
      <c r="A934" t="s">
        <v>1945</v>
      </c>
      <c r="B934" s="1">
        <v>45858</v>
      </c>
      <c r="C934" t="s">
        <v>117</v>
      </c>
      <c r="D934" t="s">
        <v>4083</v>
      </c>
      <c r="E934" t="s">
        <v>4084</v>
      </c>
      <c r="F934" t="s">
        <v>60</v>
      </c>
      <c r="G934" t="s">
        <v>29</v>
      </c>
      <c r="H934" t="s">
        <v>30</v>
      </c>
      <c r="I934">
        <v>11</v>
      </c>
      <c r="J934" t="s">
        <v>1946</v>
      </c>
      <c r="K934">
        <v>29</v>
      </c>
      <c r="L934" t="s">
        <v>32</v>
      </c>
      <c r="M934">
        <v>7</v>
      </c>
      <c r="N934" t="s">
        <v>64</v>
      </c>
      <c r="O934" t="s">
        <v>81</v>
      </c>
      <c r="P934" t="s">
        <v>35</v>
      </c>
      <c r="Q934" s="2">
        <v>47530.29</v>
      </c>
      <c r="R934" s="2">
        <v>676.5</v>
      </c>
      <c r="S934" t="s">
        <v>115</v>
      </c>
      <c r="T934" t="s">
        <v>52</v>
      </c>
      <c r="U934" t="s">
        <v>83</v>
      </c>
      <c r="V934">
        <v>2.4</v>
      </c>
      <c r="W934" t="s">
        <v>76</v>
      </c>
      <c r="X934" t="s">
        <v>106</v>
      </c>
      <c r="Y934" t="s">
        <v>41</v>
      </c>
    </row>
    <row r="935" spans="1:25" x14ac:dyDescent="0.3">
      <c r="A935" t="s">
        <v>1947</v>
      </c>
      <c r="B935" s="1">
        <v>45859</v>
      </c>
      <c r="C935" t="s">
        <v>78</v>
      </c>
      <c r="D935" t="s">
        <v>58</v>
      </c>
      <c r="E935" t="s">
        <v>45</v>
      </c>
      <c r="F935" t="s">
        <v>28</v>
      </c>
      <c r="G935" t="s">
        <v>29</v>
      </c>
      <c r="H935" t="s">
        <v>67</v>
      </c>
      <c r="I935">
        <v>6</v>
      </c>
      <c r="J935" t="s">
        <v>1948</v>
      </c>
      <c r="K935">
        <v>39</v>
      </c>
      <c r="L935" t="s">
        <v>32</v>
      </c>
      <c r="M935">
        <v>6</v>
      </c>
      <c r="N935" t="s">
        <v>91</v>
      </c>
      <c r="O935" t="s">
        <v>49</v>
      </c>
      <c r="P935" t="s">
        <v>70</v>
      </c>
      <c r="Q935" s="2">
        <v>14273.16</v>
      </c>
      <c r="R935" s="2">
        <v>2368.1</v>
      </c>
      <c r="S935" t="s">
        <v>36</v>
      </c>
      <c r="T935" t="s">
        <v>71</v>
      </c>
      <c r="U935" t="s">
        <v>75</v>
      </c>
      <c r="V935">
        <v>1.5</v>
      </c>
      <c r="W935" t="s">
        <v>124</v>
      </c>
      <c r="X935" t="s">
        <v>65</v>
      </c>
      <c r="Y935" t="s">
        <v>41</v>
      </c>
    </row>
    <row r="936" spans="1:25" x14ac:dyDescent="0.3">
      <c r="A936" t="s">
        <v>1949</v>
      </c>
      <c r="B936" s="1">
        <v>45860</v>
      </c>
      <c r="C936" t="s">
        <v>57</v>
      </c>
      <c r="D936" t="s">
        <v>44</v>
      </c>
      <c r="E936" t="s">
        <v>45</v>
      </c>
      <c r="F936" t="s">
        <v>28</v>
      </c>
      <c r="G936" t="s">
        <v>29</v>
      </c>
      <c r="H936" t="s">
        <v>67</v>
      </c>
      <c r="I936">
        <v>5</v>
      </c>
      <c r="J936" t="s">
        <v>1950</v>
      </c>
      <c r="K936">
        <v>34</v>
      </c>
      <c r="L936" t="s">
        <v>80</v>
      </c>
      <c r="M936">
        <v>7</v>
      </c>
      <c r="N936" t="s">
        <v>33</v>
      </c>
      <c r="O936" t="s">
        <v>81</v>
      </c>
      <c r="P936" t="s">
        <v>70</v>
      </c>
      <c r="Q936" s="2">
        <v>22200.38</v>
      </c>
      <c r="R936" s="2">
        <v>1529.16</v>
      </c>
      <c r="S936" t="s">
        <v>94</v>
      </c>
      <c r="T936" t="s">
        <v>71</v>
      </c>
      <c r="U936" t="s">
        <v>53</v>
      </c>
      <c r="V936">
        <v>2.7</v>
      </c>
      <c r="W936" t="s">
        <v>76</v>
      </c>
      <c r="X936" t="s">
        <v>84</v>
      </c>
      <c r="Y936" t="s">
        <v>72</v>
      </c>
    </row>
    <row r="937" spans="1:25" x14ac:dyDescent="0.3">
      <c r="A937" t="s">
        <v>1951</v>
      </c>
      <c r="B937" s="1">
        <v>45861</v>
      </c>
      <c r="C937" t="s">
        <v>43</v>
      </c>
      <c r="D937" t="s">
        <v>58</v>
      </c>
      <c r="E937" t="s">
        <v>89</v>
      </c>
      <c r="F937" t="s">
        <v>28</v>
      </c>
      <c r="G937" t="s">
        <v>29</v>
      </c>
      <c r="H937" t="s">
        <v>61</v>
      </c>
      <c r="I937">
        <v>4</v>
      </c>
      <c r="J937" t="s">
        <v>1952</v>
      </c>
      <c r="K937">
        <v>24</v>
      </c>
      <c r="L937" t="s">
        <v>63</v>
      </c>
      <c r="M937">
        <v>7</v>
      </c>
      <c r="N937" t="s">
        <v>33</v>
      </c>
      <c r="O937" t="s">
        <v>69</v>
      </c>
      <c r="P937" t="s">
        <v>82</v>
      </c>
      <c r="Q937" s="2">
        <v>6131.94</v>
      </c>
      <c r="R937" s="2">
        <v>4656.53</v>
      </c>
      <c r="S937" t="s">
        <v>36</v>
      </c>
      <c r="T937" t="s">
        <v>37</v>
      </c>
      <c r="U937" t="s">
        <v>38</v>
      </c>
      <c r="V937">
        <v>1.8</v>
      </c>
      <c r="W937" t="s">
        <v>124</v>
      </c>
      <c r="X937" t="s">
        <v>40</v>
      </c>
      <c r="Y937" t="s">
        <v>41</v>
      </c>
    </row>
    <row r="938" spans="1:25" x14ac:dyDescent="0.3">
      <c r="A938" t="s">
        <v>1953</v>
      </c>
      <c r="B938" s="1">
        <v>45862</v>
      </c>
      <c r="C938" t="s">
        <v>117</v>
      </c>
      <c r="D938" t="s">
        <v>4083</v>
      </c>
      <c r="E938" t="s">
        <v>120</v>
      </c>
      <c r="F938" t="s">
        <v>28</v>
      </c>
      <c r="G938" t="s">
        <v>29</v>
      </c>
      <c r="H938" t="s">
        <v>86</v>
      </c>
      <c r="I938">
        <v>7</v>
      </c>
      <c r="J938" t="s">
        <v>1954</v>
      </c>
      <c r="K938">
        <v>60</v>
      </c>
      <c r="L938" t="s">
        <v>80</v>
      </c>
      <c r="M938">
        <v>2</v>
      </c>
      <c r="N938" t="s">
        <v>91</v>
      </c>
      <c r="O938" t="s">
        <v>49</v>
      </c>
      <c r="P938" t="s">
        <v>35</v>
      </c>
      <c r="Q938" s="2">
        <v>39359.29</v>
      </c>
      <c r="R938" s="2">
        <v>1096</v>
      </c>
      <c r="S938" t="s">
        <v>36</v>
      </c>
      <c r="T938" t="s">
        <v>52</v>
      </c>
      <c r="U938" t="s">
        <v>53</v>
      </c>
      <c r="V938">
        <v>4.3</v>
      </c>
      <c r="W938" t="s">
        <v>39</v>
      </c>
      <c r="X938" t="s">
        <v>65</v>
      </c>
      <c r="Y938" t="s">
        <v>72</v>
      </c>
    </row>
    <row r="939" spans="1:25" x14ac:dyDescent="0.3">
      <c r="A939" t="s">
        <v>1955</v>
      </c>
      <c r="B939" s="1">
        <v>45863</v>
      </c>
      <c r="C939" t="s">
        <v>117</v>
      </c>
      <c r="D939" t="s">
        <v>4083</v>
      </c>
      <c r="E939" t="s">
        <v>89</v>
      </c>
      <c r="F939" t="s">
        <v>28</v>
      </c>
      <c r="G939" t="s">
        <v>29</v>
      </c>
      <c r="H939" t="s">
        <v>61</v>
      </c>
      <c r="I939">
        <v>6</v>
      </c>
      <c r="J939" t="s">
        <v>1956</v>
      </c>
      <c r="K939">
        <v>21</v>
      </c>
      <c r="L939" t="s">
        <v>32</v>
      </c>
      <c r="M939">
        <v>6</v>
      </c>
      <c r="N939" t="s">
        <v>33</v>
      </c>
      <c r="O939" t="s">
        <v>34</v>
      </c>
      <c r="P939" t="s">
        <v>70</v>
      </c>
      <c r="Q939" s="2">
        <v>46181.36</v>
      </c>
      <c r="R939" s="2">
        <v>3666.3</v>
      </c>
      <c r="S939" t="s">
        <v>51</v>
      </c>
      <c r="T939" t="s">
        <v>52</v>
      </c>
      <c r="U939" t="s">
        <v>38</v>
      </c>
      <c r="V939">
        <v>1.3</v>
      </c>
      <c r="W939" t="s">
        <v>124</v>
      </c>
      <c r="X939" t="s">
        <v>106</v>
      </c>
      <c r="Y939" t="s">
        <v>41</v>
      </c>
    </row>
    <row r="940" spans="1:25" x14ac:dyDescent="0.3">
      <c r="A940" t="s">
        <v>1957</v>
      </c>
      <c r="B940" s="1">
        <v>45864</v>
      </c>
      <c r="C940" t="s">
        <v>117</v>
      </c>
      <c r="D940" t="s">
        <v>4083</v>
      </c>
      <c r="E940" t="s">
        <v>4085</v>
      </c>
      <c r="F940" t="s">
        <v>60</v>
      </c>
      <c r="G940" t="s">
        <v>29</v>
      </c>
      <c r="H940" t="s">
        <v>59</v>
      </c>
      <c r="I940">
        <v>10</v>
      </c>
      <c r="J940" t="s">
        <v>1958</v>
      </c>
      <c r="K940">
        <v>54</v>
      </c>
      <c r="L940" t="s">
        <v>63</v>
      </c>
      <c r="M940">
        <v>2</v>
      </c>
      <c r="N940" t="s">
        <v>64</v>
      </c>
      <c r="O940" t="s">
        <v>69</v>
      </c>
      <c r="P940" t="s">
        <v>35</v>
      </c>
      <c r="Q940" s="2">
        <v>15701.93</v>
      </c>
      <c r="R940" s="2">
        <v>2590.67</v>
      </c>
      <c r="S940" t="s">
        <v>94</v>
      </c>
      <c r="T940" t="s">
        <v>71</v>
      </c>
      <c r="U940" t="s">
        <v>83</v>
      </c>
      <c r="V940">
        <v>4.5</v>
      </c>
      <c r="W940" t="s">
        <v>103</v>
      </c>
      <c r="X940" t="s">
        <v>40</v>
      </c>
      <c r="Y940" t="s">
        <v>72</v>
      </c>
    </row>
    <row r="941" spans="1:25" x14ac:dyDescent="0.3">
      <c r="A941" t="s">
        <v>1959</v>
      </c>
      <c r="B941" s="1">
        <v>45865</v>
      </c>
      <c r="C941" t="s">
        <v>117</v>
      </c>
      <c r="D941" t="s">
        <v>4083</v>
      </c>
      <c r="E941" t="s">
        <v>45</v>
      </c>
      <c r="F941" t="s">
        <v>28</v>
      </c>
      <c r="G941" t="s">
        <v>29</v>
      </c>
      <c r="H941" t="s">
        <v>67</v>
      </c>
      <c r="I941">
        <v>9</v>
      </c>
      <c r="J941" t="s">
        <v>1960</v>
      </c>
      <c r="K941">
        <v>55</v>
      </c>
      <c r="L941" t="s">
        <v>63</v>
      </c>
      <c r="M941">
        <v>6</v>
      </c>
      <c r="N941" t="s">
        <v>33</v>
      </c>
      <c r="O941" t="s">
        <v>49</v>
      </c>
      <c r="P941" t="s">
        <v>70</v>
      </c>
      <c r="Q941" s="2">
        <v>24304.78</v>
      </c>
      <c r="R941" s="2">
        <v>57.61</v>
      </c>
      <c r="S941" t="s">
        <v>36</v>
      </c>
      <c r="T941" t="s">
        <v>71</v>
      </c>
      <c r="U941" t="s">
        <v>75</v>
      </c>
      <c r="V941">
        <v>3.3</v>
      </c>
      <c r="W941" t="s">
        <v>76</v>
      </c>
      <c r="X941" t="s">
        <v>106</v>
      </c>
      <c r="Y941" t="s">
        <v>72</v>
      </c>
    </row>
    <row r="942" spans="1:25" x14ac:dyDescent="0.3">
      <c r="A942" t="s">
        <v>1961</v>
      </c>
      <c r="B942" s="1">
        <v>45866</v>
      </c>
      <c r="C942" t="s">
        <v>117</v>
      </c>
      <c r="D942" t="s">
        <v>4083</v>
      </c>
      <c r="E942" t="s">
        <v>120</v>
      </c>
      <c r="F942" t="s">
        <v>28</v>
      </c>
      <c r="G942" t="s">
        <v>29</v>
      </c>
      <c r="H942" t="s">
        <v>86</v>
      </c>
      <c r="I942">
        <v>8</v>
      </c>
      <c r="J942" t="s">
        <v>1962</v>
      </c>
      <c r="K942">
        <v>49</v>
      </c>
      <c r="L942" t="s">
        <v>32</v>
      </c>
      <c r="M942">
        <v>2</v>
      </c>
      <c r="N942" t="s">
        <v>33</v>
      </c>
      <c r="O942" t="s">
        <v>69</v>
      </c>
      <c r="P942" t="s">
        <v>50</v>
      </c>
      <c r="Q942" s="2">
        <v>10495.07</v>
      </c>
      <c r="R942" s="2">
        <v>2584.9899999999998</v>
      </c>
      <c r="S942" t="s">
        <v>94</v>
      </c>
      <c r="T942" t="s">
        <v>52</v>
      </c>
      <c r="U942" t="s">
        <v>53</v>
      </c>
      <c r="V942">
        <v>2.8</v>
      </c>
      <c r="W942" t="s">
        <v>76</v>
      </c>
      <c r="X942" t="s">
        <v>65</v>
      </c>
      <c r="Y942" t="s">
        <v>41</v>
      </c>
    </row>
    <row r="943" spans="1:25" x14ac:dyDescent="0.3">
      <c r="A943" t="s">
        <v>1963</v>
      </c>
      <c r="B943" s="1">
        <v>45867</v>
      </c>
      <c r="C943" t="s">
        <v>78</v>
      </c>
      <c r="D943" t="s">
        <v>58</v>
      </c>
      <c r="E943" t="s">
        <v>4085</v>
      </c>
      <c r="F943" t="s">
        <v>60</v>
      </c>
      <c r="G943" t="s">
        <v>29</v>
      </c>
      <c r="H943" t="s">
        <v>46</v>
      </c>
      <c r="I943">
        <v>13</v>
      </c>
      <c r="J943" t="s">
        <v>1964</v>
      </c>
      <c r="K943">
        <v>28</v>
      </c>
      <c r="L943" t="s">
        <v>63</v>
      </c>
      <c r="M943">
        <v>2</v>
      </c>
      <c r="N943" t="s">
        <v>64</v>
      </c>
      <c r="O943" t="s">
        <v>34</v>
      </c>
      <c r="P943" t="s">
        <v>50</v>
      </c>
      <c r="Q943" s="2">
        <v>25557.59</v>
      </c>
      <c r="R943" s="2">
        <v>497.36</v>
      </c>
      <c r="S943" t="s">
        <v>115</v>
      </c>
      <c r="T943" t="s">
        <v>52</v>
      </c>
      <c r="U943" t="s">
        <v>83</v>
      </c>
      <c r="V943">
        <v>3.2</v>
      </c>
      <c r="W943" t="s">
        <v>76</v>
      </c>
      <c r="X943" t="s">
        <v>55</v>
      </c>
      <c r="Y943" t="s">
        <v>41</v>
      </c>
    </row>
    <row r="944" spans="1:25" x14ac:dyDescent="0.3">
      <c r="A944" t="s">
        <v>1965</v>
      </c>
      <c r="B944" s="1">
        <v>45868</v>
      </c>
      <c r="C944" t="s">
        <v>43</v>
      </c>
      <c r="D944" t="s">
        <v>58</v>
      </c>
      <c r="E944" t="s">
        <v>4085</v>
      </c>
      <c r="F944" t="s">
        <v>60</v>
      </c>
      <c r="G944" t="s">
        <v>29</v>
      </c>
      <c r="H944" t="s">
        <v>59</v>
      </c>
      <c r="I944">
        <v>14</v>
      </c>
      <c r="J944" t="s">
        <v>1966</v>
      </c>
      <c r="K944">
        <v>18</v>
      </c>
      <c r="L944" t="s">
        <v>80</v>
      </c>
      <c r="M944">
        <v>6</v>
      </c>
      <c r="N944" t="s">
        <v>91</v>
      </c>
      <c r="O944" t="s">
        <v>49</v>
      </c>
      <c r="P944" t="s">
        <v>50</v>
      </c>
      <c r="Q944" s="2">
        <v>11000.41</v>
      </c>
      <c r="R944" s="2">
        <v>3295.31</v>
      </c>
      <c r="S944" t="s">
        <v>94</v>
      </c>
      <c r="T944" t="s">
        <v>71</v>
      </c>
      <c r="U944" t="s">
        <v>83</v>
      </c>
      <c r="V944">
        <v>2.5</v>
      </c>
      <c r="W944" t="s">
        <v>76</v>
      </c>
      <c r="X944" t="s">
        <v>55</v>
      </c>
      <c r="Y944" t="s">
        <v>72</v>
      </c>
    </row>
    <row r="945" spans="1:25" x14ac:dyDescent="0.3">
      <c r="A945" t="s">
        <v>1967</v>
      </c>
      <c r="B945" s="1">
        <v>45869</v>
      </c>
      <c r="C945" t="s">
        <v>57</v>
      </c>
      <c r="D945" t="s">
        <v>44</v>
      </c>
      <c r="E945" t="s">
        <v>120</v>
      </c>
      <c r="F945" t="s">
        <v>28</v>
      </c>
      <c r="G945" t="s">
        <v>29</v>
      </c>
      <c r="H945" t="s">
        <v>86</v>
      </c>
      <c r="I945">
        <v>4</v>
      </c>
      <c r="J945" t="s">
        <v>1968</v>
      </c>
      <c r="K945">
        <v>42</v>
      </c>
      <c r="L945" t="s">
        <v>32</v>
      </c>
      <c r="M945">
        <v>2</v>
      </c>
      <c r="N945" t="s">
        <v>33</v>
      </c>
      <c r="O945" t="s">
        <v>81</v>
      </c>
      <c r="P945" t="s">
        <v>70</v>
      </c>
      <c r="Q945" s="2">
        <v>28550.68</v>
      </c>
      <c r="R945" s="2">
        <v>2827.62</v>
      </c>
      <c r="S945" t="s">
        <v>115</v>
      </c>
      <c r="T945" t="s">
        <v>71</v>
      </c>
      <c r="U945" t="s">
        <v>75</v>
      </c>
      <c r="V945">
        <v>1.5</v>
      </c>
      <c r="W945" t="s">
        <v>124</v>
      </c>
      <c r="X945" t="s">
        <v>55</v>
      </c>
      <c r="Y945" t="s">
        <v>72</v>
      </c>
    </row>
    <row r="946" spans="1:25" x14ac:dyDescent="0.3">
      <c r="A946" t="s">
        <v>1969</v>
      </c>
      <c r="B946" s="1">
        <v>45870</v>
      </c>
      <c r="C946" t="s">
        <v>57</v>
      </c>
      <c r="D946" t="s">
        <v>44</v>
      </c>
      <c r="E946" t="s">
        <v>4085</v>
      </c>
      <c r="F946" t="s">
        <v>60</v>
      </c>
      <c r="G946" t="s">
        <v>29</v>
      </c>
      <c r="H946" t="s">
        <v>59</v>
      </c>
      <c r="I946">
        <v>5</v>
      </c>
      <c r="J946" t="s">
        <v>1970</v>
      </c>
      <c r="K946">
        <v>59</v>
      </c>
      <c r="L946" t="s">
        <v>32</v>
      </c>
      <c r="M946">
        <v>7</v>
      </c>
      <c r="N946" t="s">
        <v>91</v>
      </c>
      <c r="O946" t="s">
        <v>81</v>
      </c>
      <c r="P946" t="s">
        <v>82</v>
      </c>
      <c r="Q946" s="2">
        <v>38057.99</v>
      </c>
      <c r="R946" s="2">
        <v>52.14</v>
      </c>
      <c r="S946" t="s">
        <v>94</v>
      </c>
      <c r="T946" t="s">
        <v>71</v>
      </c>
      <c r="U946" t="s">
        <v>53</v>
      </c>
      <c r="V946">
        <v>4.0999999999999996</v>
      </c>
      <c r="W946" t="s">
        <v>39</v>
      </c>
      <c r="X946" t="s">
        <v>65</v>
      </c>
      <c r="Y946" t="s">
        <v>72</v>
      </c>
    </row>
    <row r="947" spans="1:25" x14ac:dyDescent="0.3">
      <c r="A947" t="s">
        <v>1971</v>
      </c>
      <c r="B947" s="1">
        <v>45871</v>
      </c>
      <c r="C947" t="s">
        <v>57</v>
      </c>
      <c r="D947" t="s">
        <v>44</v>
      </c>
      <c r="E947" t="s">
        <v>120</v>
      </c>
      <c r="F947" t="s">
        <v>28</v>
      </c>
      <c r="G947" t="s">
        <v>29</v>
      </c>
      <c r="H947" t="s">
        <v>86</v>
      </c>
      <c r="I947">
        <v>12</v>
      </c>
      <c r="J947" t="s">
        <v>1972</v>
      </c>
      <c r="K947">
        <v>69</v>
      </c>
      <c r="L947" t="s">
        <v>32</v>
      </c>
      <c r="M947">
        <v>6</v>
      </c>
      <c r="N947" t="s">
        <v>64</v>
      </c>
      <c r="O947" t="s">
        <v>34</v>
      </c>
      <c r="P947" t="s">
        <v>50</v>
      </c>
      <c r="Q947" s="2">
        <v>29900.42</v>
      </c>
      <c r="R947" s="2">
        <v>1023.46</v>
      </c>
      <c r="S947" t="s">
        <v>94</v>
      </c>
      <c r="T947" t="s">
        <v>37</v>
      </c>
      <c r="U947" t="s">
        <v>75</v>
      </c>
      <c r="V947">
        <v>4.7</v>
      </c>
      <c r="W947" t="s">
        <v>103</v>
      </c>
      <c r="X947" t="s">
        <v>65</v>
      </c>
      <c r="Y947" t="s">
        <v>72</v>
      </c>
    </row>
    <row r="948" spans="1:25" x14ac:dyDescent="0.3">
      <c r="A948" t="s">
        <v>1973</v>
      </c>
      <c r="B948" s="1">
        <v>45872</v>
      </c>
      <c r="C948" t="s">
        <v>57</v>
      </c>
      <c r="D948" t="s">
        <v>44</v>
      </c>
      <c r="E948" t="s">
        <v>120</v>
      </c>
      <c r="F948" t="s">
        <v>28</v>
      </c>
      <c r="G948" t="s">
        <v>29</v>
      </c>
      <c r="H948" t="s">
        <v>86</v>
      </c>
      <c r="I948">
        <v>11</v>
      </c>
      <c r="J948" t="s">
        <v>1974</v>
      </c>
      <c r="K948">
        <v>41</v>
      </c>
      <c r="L948" t="s">
        <v>32</v>
      </c>
      <c r="M948">
        <v>2</v>
      </c>
      <c r="N948" t="s">
        <v>91</v>
      </c>
      <c r="O948" t="s">
        <v>49</v>
      </c>
      <c r="P948" t="s">
        <v>70</v>
      </c>
      <c r="Q948" s="2">
        <v>16034.88</v>
      </c>
      <c r="R948" s="2">
        <v>3881.13</v>
      </c>
      <c r="S948" t="s">
        <v>36</v>
      </c>
      <c r="T948" t="s">
        <v>37</v>
      </c>
      <c r="U948" t="s">
        <v>75</v>
      </c>
      <c r="V948">
        <v>4.8</v>
      </c>
      <c r="W948" t="s">
        <v>103</v>
      </c>
      <c r="X948" t="s">
        <v>40</v>
      </c>
      <c r="Y948" t="s">
        <v>41</v>
      </c>
    </row>
    <row r="949" spans="1:25" x14ac:dyDescent="0.3">
      <c r="A949" t="s">
        <v>1975</v>
      </c>
      <c r="B949" s="1">
        <v>45873</v>
      </c>
      <c r="C949" t="s">
        <v>78</v>
      </c>
      <c r="D949" t="s">
        <v>58</v>
      </c>
      <c r="E949" t="s">
        <v>4084</v>
      </c>
      <c r="F949" t="s">
        <v>60</v>
      </c>
      <c r="G949" t="s">
        <v>29</v>
      </c>
      <c r="H949" t="s">
        <v>27</v>
      </c>
      <c r="I949">
        <v>11</v>
      </c>
      <c r="J949" t="s">
        <v>1976</v>
      </c>
      <c r="K949">
        <v>60</v>
      </c>
      <c r="L949" t="s">
        <v>63</v>
      </c>
      <c r="M949">
        <v>7</v>
      </c>
      <c r="N949" t="s">
        <v>91</v>
      </c>
      <c r="O949" t="s">
        <v>34</v>
      </c>
      <c r="P949" t="s">
        <v>35</v>
      </c>
      <c r="Q949" s="2">
        <v>20920.82</v>
      </c>
      <c r="R949" s="2">
        <v>1378.86</v>
      </c>
      <c r="S949" t="s">
        <v>36</v>
      </c>
      <c r="T949" t="s">
        <v>71</v>
      </c>
      <c r="U949" t="s">
        <v>38</v>
      </c>
      <c r="V949">
        <v>3.7</v>
      </c>
      <c r="W949" t="s">
        <v>54</v>
      </c>
      <c r="X949" t="s">
        <v>65</v>
      </c>
      <c r="Y949" t="s">
        <v>72</v>
      </c>
    </row>
    <row r="950" spans="1:25" x14ac:dyDescent="0.3">
      <c r="A950" t="s">
        <v>1977</v>
      </c>
      <c r="B950" s="1">
        <v>45874</v>
      </c>
      <c r="C950" t="s">
        <v>26</v>
      </c>
      <c r="D950" t="s">
        <v>26</v>
      </c>
      <c r="E950" t="s">
        <v>89</v>
      </c>
      <c r="F950" t="s">
        <v>28</v>
      </c>
      <c r="G950" t="s">
        <v>29</v>
      </c>
      <c r="H950" t="s">
        <v>61</v>
      </c>
      <c r="I950">
        <v>7</v>
      </c>
      <c r="J950" t="s">
        <v>1978</v>
      </c>
      <c r="K950">
        <v>34</v>
      </c>
      <c r="L950" t="s">
        <v>32</v>
      </c>
      <c r="M950">
        <v>7</v>
      </c>
      <c r="N950" t="s">
        <v>48</v>
      </c>
      <c r="O950" t="s">
        <v>34</v>
      </c>
      <c r="P950" t="s">
        <v>50</v>
      </c>
      <c r="Q950" s="2">
        <v>33735.769999999997</v>
      </c>
      <c r="R950" s="2">
        <v>2496.42</v>
      </c>
      <c r="S950" t="s">
        <v>115</v>
      </c>
      <c r="T950" t="s">
        <v>37</v>
      </c>
      <c r="U950" t="s">
        <v>38</v>
      </c>
      <c r="V950">
        <v>2.6</v>
      </c>
      <c r="W950" t="s">
        <v>76</v>
      </c>
      <c r="X950" t="s">
        <v>65</v>
      </c>
      <c r="Y950" t="s">
        <v>41</v>
      </c>
    </row>
    <row r="951" spans="1:25" x14ac:dyDescent="0.3">
      <c r="A951" t="s">
        <v>1979</v>
      </c>
      <c r="B951" s="1">
        <v>45875</v>
      </c>
      <c r="C951" t="s">
        <v>43</v>
      </c>
      <c r="D951" t="s">
        <v>58</v>
      </c>
      <c r="E951" t="s">
        <v>4085</v>
      </c>
      <c r="F951" t="s">
        <v>60</v>
      </c>
      <c r="G951" t="s">
        <v>29</v>
      </c>
      <c r="H951" t="s">
        <v>59</v>
      </c>
      <c r="I951">
        <v>5</v>
      </c>
      <c r="J951" t="s">
        <v>1980</v>
      </c>
      <c r="K951">
        <v>25</v>
      </c>
      <c r="L951" t="s">
        <v>32</v>
      </c>
      <c r="M951">
        <v>5</v>
      </c>
      <c r="N951" t="s">
        <v>48</v>
      </c>
      <c r="O951" t="s">
        <v>69</v>
      </c>
      <c r="P951" t="s">
        <v>82</v>
      </c>
      <c r="Q951" s="2">
        <v>31538.99</v>
      </c>
      <c r="R951" s="2">
        <v>1559.99</v>
      </c>
      <c r="S951" t="s">
        <v>115</v>
      </c>
      <c r="T951" t="s">
        <v>52</v>
      </c>
      <c r="U951" t="s">
        <v>75</v>
      </c>
      <c r="V951">
        <v>2.9</v>
      </c>
      <c r="W951" t="s">
        <v>76</v>
      </c>
      <c r="X951" t="s">
        <v>40</v>
      </c>
      <c r="Y951" t="s">
        <v>41</v>
      </c>
    </row>
    <row r="952" spans="1:25" x14ac:dyDescent="0.3">
      <c r="A952" t="s">
        <v>1981</v>
      </c>
      <c r="B952" s="1">
        <v>45876</v>
      </c>
      <c r="C952" t="s">
        <v>117</v>
      </c>
      <c r="D952" t="s">
        <v>4083</v>
      </c>
      <c r="E952" t="s">
        <v>4085</v>
      </c>
      <c r="F952" t="s">
        <v>60</v>
      </c>
      <c r="G952" t="s">
        <v>29</v>
      </c>
      <c r="H952" t="s">
        <v>46</v>
      </c>
      <c r="I952">
        <v>4</v>
      </c>
      <c r="J952" t="s">
        <v>1982</v>
      </c>
      <c r="K952">
        <v>62</v>
      </c>
      <c r="L952" t="s">
        <v>63</v>
      </c>
      <c r="M952">
        <v>1</v>
      </c>
      <c r="N952" t="s">
        <v>33</v>
      </c>
      <c r="O952" t="s">
        <v>81</v>
      </c>
      <c r="P952" t="s">
        <v>82</v>
      </c>
      <c r="Q952" s="2">
        <v>11154.87</v>
      </c>
      <c r="R952" s="2">
        <v>4607.63</v>
      </c>
      <c r="S952" t="s">
        <v>51</v>
      </c>
      <c r="T952" t="s">
        <v>52</v>
      </c>
      <c r="U952" t="s">
        <v>38</v>
      </c>
      <c r="V952">
        <v>3.6</v>
      </c>
      <c r="W952" t="s">
        <v>54</v>
      </c>
      <c r="X952" t="s">
        <v>40</v>
      </c>
      <c r="Y952" t="s">
        <v>72</v>
      </c>
    </row>
    <row r="953" spans="1:25" x14ac:dyDescent="0.3">
      <c r="A953" t="s">
        <v>1983</v>
      </c>
      <c r="B953" s="1">
        <v>45877</v>
      </c>
      <c r="C953" t="s">
        <v>26</v>
      </c>
      <c r="D953" t="s">
        <v>26</v>
      </c>
      <c r="E953" t="s">
        <v>4084</v>
      </c>
      <c r="F953" t="s">
        <v>60</v>
      </c>
      <c r="G953" t="s">
        <v>29</v>
      </c>
      <c r="H953" t="s">
        <v>30</v>
      </c>
      <c r="I953">
        <v>10</v>
      </c>
      <c r="J953" t="s">
        <v>1984</v>
      </c>
      <c r="K953">
        <v>44</v>
      </c>
      <c r="L953" t="s">
        <v>32</v>
      </c>
      <c r="M953">
        <v>6</v>
      </c>
      <c r="N953" t="s">
        <v>48</v>
      </c>
      <c r="O953" t="s">
        <v>34</v>
      </c>
      <c r="P953" t="s">
        <v>82</v>
      </c>
      <c r="Q953" s="2">
        <v>43022.73</v>
      </c>
      <c r="R953" s="2">
        <v>2682.89</v>
      </c>
      <c r="S953" t="s">
        <v>36</v>
      </c>
      <c r="T953" t="s">
        <v>71</v>
      </c>
      <c r="U953" t="s">
        <v>53</v>
      </c>
      <c r="V953">
        <v>4.3</v>
      </c>
      <c r="W953" t="s">
        <v>54</v>
      </c>
      <c r="X953" t="s">
        <v>106</v>
      </c>
      <c r="Y953" t="s">
        <v>41</v>
      </c>
    </row>
    <row r="954" spans="1:25" x14ac:dyDescent="0.3">
      <c r="A954" t="s">
        <v>1985</v>
      </c>
      <c r="B954" s="1">
        <v>45878</v>
      </c>
      <c r="C954" t="s">
        <v>57</v>
      </c>
      <c r="D954" t="s">
        <v>44</v>
      </c>
      <c r="E954" t="s">
        <v>4084</v>
      </c>
      <c r="F954" t="s">
        <v>60</v>
      </c>
      <c r="G954" t="s">
        <v>29</v>
      </c>
      <c r="H954" t="s">
        <v>30</v>
      </c>
      <c r="I954">
        <v>8</v>
      </c>
      <c r="J954" t="s">
        <v>1986</v>
      </c>
      <c r="K954">
        <v>69</v>
      </c>
      <c r="L954" t="s">
        <v>63</v>
      </c>
      <c r="M954">
        <v>2</v>
      </c>
      <c r="N954" t="s">
        <v>48</v>
      </c>
      <c r="O954" t="s">
        <v>69</v>
      </c>
      <c r="P954" t="s">
        <v>35</v>
      </c>
      <c r="Q954" s="2">
        <v>26383.5</v>
      </c>
      <c r="R954" s="2">
        <v>3480.87</v>
      </c>
      <c r="S954" t="s">
        <v>115</v>
      </c>
      <c r="T954" t="s">
        <v>52</v>
      </c>
      <c r="U954" t="s">
        <v>38</v>
      </c>
      <c r="V954">
        <v>2.5</v>
      </c>
      <c r="W954" t="s">
        <v>76</v>
      </c>
      <c r="X954" t="s">
        <v>84</v>
      </c>
      <c r="Y954" t="s">
        <v>41</v>
      </c>
    </row>
    <row r="955" spans="1:25" x14ac:dyDescent="0.3">
      <c r="A955" t="s">
        <v>1987</v>
      </c>
      <c r="B955" s="1">
        <v>45879</v>
      </c>
      <c r="C955" t="s">
        <v>26</v>
      </c>
      <c r="D955" t="s">
        <v>26</v>
      </c>
      <c r="E955" t="s">
        <v>4084</v>
      </c>
      <c r="F955" t="s">
        <v>60</v>
      </c>
      <c r="G955" t="s">
        <v>29</v>
      </c>
      <c r="H955" t="s">
        <v>27</v>
      </c>
      <c r="I955">
        <v>12</v>
      </c>
      <c r="J955" t="s">
        <v>1988</v>
      </c>
      <c r="K955">
        <v>35</v>
      </c>
      <c r="L955" t="s">
        <v>63</v>
      </c>
      <c r="M955">
        <v>5</v>
      </c>
      <c r="N955" t="s">
        <v>48</v>
      </c>
      <c r="O955" t="s">
        <v>34</v>
      </c>
      <c r="P955" t="s">
        <v>35</v>
      </c>
      <c r="Q955" s="2">
        <v>12306.62</v>
      </c>
      <c r="R955" s="2">
        <v>417.38</v>
      </c>
      <c r="S955" t="s">
        <v>36</v>
      </c>
      <c r="T955" t="s">
        <v>52</v>
      </c>
      <c r="U955" t="s">
        <v>83</v>
      </c>
      <c r="V955">
        <v>4.7</v>
      </c>
      <c r="W955" t="s">
        <v>103</v>
      </c>
      <c r="X955" t="s">
        <v>84</v>
      </c>
      <c r="Y955" t="s">
        <v>72</v>
      </c>
    </row>
    <row r="956" spans="1:25" x14ac:dyDescent="0.3">
      <c r="A956" t="s">
        <v>1989</v>
      </c>
      <c r="B956" s="1">
        <v>45880</v>
      </c>
      <c r="C956" t="s">
        <v>43</v>
      </c>
      <c r="D956" t="s">
        <v>58</v>
      </c>
      <c r="E956" t="s">
        <v>45</v>
      </c>
      <c r="F956" t="s">
        <v>28</v>
      </c>
      <c r="G956" t="s">
        <v>29</v>
      </c>
      <c r="H956" t="s">
        <v>67</v>
      </c>
      <c r="I956">
        <v>13</v>
      </c>
      <c r="J956" t="s">
        <v>1990</v>
      </c>
      <c r="K956">
        <v>44</v>
      </c>
      <c r="L956" t="s">
        <v>32</v>
      </c>
      <c r="M956">
        <v>1</v>
      </c>
      <c r="N956" t="s">
        <v>91</v>
      </c>
      <c r="O956" t="s">
        <v>34</v>
      </c>
      <c r="P956" t="s">
        <v>82</v>
      </c>
      <c r="Q956" s="2">
        <v>10527.19</v>
      </c>
      <c r="R956" s="2">
        <v>201.68</v>
      </c>
      <c r="S956" t="s">
        <v>94</v>
      </c>
      <c r="T956" t="s">
        <v>52</v>
      </c>
      <c r="U956" t="s">
        <v>75</v>
      </c>
      <c r="V956">
        <v>2.2999999999999998</v>
      </c>
      <c r="W956" t="s">
        <v>76</v>
      </c>
      <c r="X956" t="s">
        <v>106</v>
      </c>
      <c r="Y956" t="s">
        <v>72</v>
      </c>
    </row>
    <row r="957" spans="1:25" x14ac:dyDescent="0.3">
      <c r="A957" t="s">
        <v>1991</v>
      </c>
      <c r="B957" s="1">
        <v>45881</v>
      </c>
      <c r="C957" t="s">
        <v>117</v>
      </c>
      <c r="D957" t="s">
        <v>4083</v>
      </c>
      <c r="E957" t="s">
        <v>45</v>
      </c>
      <c r="F957" t="s">
        <v>28</v>
      </c>
      <c r="G957" t="s">
        <v>29</v>
      </c>
      <c r="H957" t="s">
        <v>67</v>
      </c>
      <c r="I957">
        <v>14</v>
      </c>
      <c r="J957" t="s">
        <v>1992</v>
      </c>
      <c r="K957">
        <v>39</v>
      </c>
      <c r="L957" t="s">
        <v>80</v>
      </c>
      <c r="M957">
        <v>2</v>
      </c>
      <c r="N957" t="s">
        <v>91</v>
      </c>
      <c r="O957" t="s">
        <v>34</v>
      </c>
      <c r="P957" t="s">
        <v>82</v>
      </c>
      <c r="Q957" s="2">
        <v>48449.83</v>
      </c>
      <c r="R957" s="2">
        <v>1296.1400000000001</v>
      </c>
      <c r="S957" t="s">
        <v>51</v>
      </c>
      <c r="T957" t="s">
        <v>52</v>
      </c>
      <c r="U957" t="s">
        <v>75</v>
      </c>
      <c r="V957">
        <v>3.1</v>
      </c>
      <c r="W957" t="s">
        <v>39</v>
      </c>
      <c r="X957" t="s">
        <v>55</v>
      </c>
      <c r="Y957" t="s">
        <v>72</v>
      </c>
    </row>
    <row r="958" spans="1:25" x14ac:dyDescent="0.3">
      <c r="A958" t="s">
        <v>1993</v>
      </c>
      <c r="B958" s="1">
        <v>45882</v>
      </c>
      <c r="C958" t="s">
        <v>117</v>
      </c>
      <c r="D958" t="s">
        <v>4083</v>
      </c>
      <c r="E958" t="s">
        <v>45</v>
      </c>
      <c r="F958" t="s">
        <v>28</v>
      </c>
      <c r="G958" t="s">
        <v>29</v>
      </c>
      <c r="H958" t="s">
        <v>67</v>
      </c>
      <c r="I958">
        <v>9</v>
      </c>
      <c r="J958" t="s">
        <v>1994</v>
      </c>
      <c r="K958">
        <v>33</v>
      </c>
      <c r="L958" t="s">
        <v>32</v>
      </c>
      <c r="M958">
        <v>1</v>
      </c>
      <c r="N958" t="s">
        <v>48</v>
      </c>
      <c r="O958" t="s">
        <v>81</v>
      </c>
      <c r="P958" t="s">
        <v>82</v>
      </c>
      <c r="Q958" s="2">
        <v>17669.080000000002</v>
      </c>
      <c r="R958" s="2">
        <v>1545.67</v>
      </c>
      <c r="S958" t="s">
        <v>36</v>
      </c>
      <c r="T958" t="s">
        <v>52</v>
      </c>
      <c r="U958" t="s">
        <v>53</v>
      </c>
      <c r="V958">
        <v>4.8</v>
      </c>
      <c r="W958" t="s">
        <v>103</v>
      </c>
      <c r="X958" t="s">
        <v>65</v>
      </c>
      <c r="Y958" t="s">
        <v>72</v>
      </c>
    </row>
    <row r="959" spans="1:25" x14ac:dyDescent="0.3">
      <c r="A959" t="s">
        <v>1995</v>
      </c>
      <c r="B959" s="1">
        <v>45883</v>
      </c>
      <c r="C959" t="s">
        <v>43</v>
      </c>
      <c r="D959" t="s">
        <v>58</v>
      </c>
      <c r="E959" t="s">
        <v>120</v>
      </c>
      <c r="F959" t="s">
        <v>28</v>
      </c>
      <c r="G959" t="s">
        <v>29</v>
      </c>
      <c r="H959" t="s">
        <v>86</v>
      </c>
      <c r="I959">
        <v>3</v>
      </c>
      <c r="J959" t="s">
        <v>1996</v>
      </c>
      <c r="K959">
        <v>19</v>
      </c>
      <c r="L959" t="s">
        <v>80</v>
      </c>
      <c r="M959">
        <v>6</v>
      </c>
      <c r="N959" t="s">
        <v>64</v>
      </c>
      <c r="O959" t="s">
        <v>49</v>
      </c>
      <c r="P959" t="s">
        <v>35</v>
      </c>
      <c r="Q959" s="2">
        <v>45886.71</v>
      </c>
      <c r="R959" s="2">
        <v>3438.4</v>
      </c>
      <c r="S959" t="s">
        <v>36</v>
      </c>
      <c r="T959" t="s">
        <v>37</v>
      </c>
      <c r="U959" t="s">
        <v>75</v>
      </c>
      <c r="V959">
        <v>4.8</v>
      </c>
      <c r="W959" t="s">
        <v>103</v>
      </c>
      <c r="X959" t="s">
        <v>40</v>
      </c>
      <c r="Y959" t="s">
        <v>72</v>
      </c>
    </row>
    <row r="960" spans="1:25" x14ac:dyDescent="0.3">
      <c r="A960" t="s">
        <v>1997</v>
      </c>
      <c r="B960" s="1">
        <v>45884</v>
      </c>
      <c r="C960" t="s">
        <v>43</v>
      </c>
      <c r="D960" t="s">
        <v>58</v>
      </c>
      <c r="E960" t="s">
        <v>4085</v>
      </c>
      <c r="F960" t="s">
        <v>60</v>
      </c>
      <c r="G960" t="s">
        <v>29</v>
      </c>
      <c r="H960" t="s">
        <v>46</v>
      </c>
      <c r="I960">
        <v>3</v>
      </c>
      <c r="J960" t="s">
        <v>1998</v>
      </c>
      <c r="K960">
        <v>22</v>
      </c>
      <c r="L960" t="s">
        <v>63</v>
      </c>
      <c r="M960">
        <v>7</v>
      </c>
      <c r="N960" t="s">
        <v>48</v>
      </c>
      <c r="O960" t="s">
        <v>81</v>
      </c>
      <c r="P960" t="s">
        <v>35</v>
      </c>
      <c r="Q960" s="2">
        <v>23476.34</v>
      </c>
      <c r="R960" s="2">
        <v>2845.65</v>
      </c>
      <c r="S960" t="s">
        <v>36</v>
      </c>
      <c r="T960" t="s">
        <v>37</v>
      </c>
      <c r="U960" t="s">
        <v>38</v>
      </c>
      <c r="V960">
        <v>3.8</v>
      </c>
      <c r="W960" t="s">
        <v>54</v>
      </c>
      <c r="X960" t="s">
        <v>40</v>
      </c>
      <c r="Y960" t="s">
        <v>41</v>
      </c>
    </row>
    <row r="961" spans="1:25" x14ac:dyDescent="0.3">
      <c r="A961" t="s">
        <v>1999</v>
      </c>
      <c r="B961" s="1">
        <v>45885</v>
      </c>
      <c r="C961" t="s">
        <v>57</v>
      </c>
      <c r="D961" t="s">
        <v>44</v>
      </c>
      <c r="E961" t="s">
        <v>89</v>
      </c>
      <c r="F961" t="s">
        <v>28</v>
      </c>
      <c r="G961" t="s">
        <v>29</v>
      </c>
      <c r="H961" t="s">
        <v>61</v>
      </c>
      <c r="I961">
        <v>12</v>
      </c>
      <c r="J961" t="s">
        <v>2000</v>
      </c>
      <c r="K961">
        <v>35</v>
      </c>
      <c r="L961" t="s">
        <v>80</v>
      </c>
      <c r="M961">
        <v>7</v>
      </c>
      <c r="N961" t="s">
        <v>64</v>
      </c>
      <c r="O961" t="s">
        <v>69</v>
      </c>
      <c r="P961" t="s">
        <v>70</v>
      </c>
      <c r="Q961" s="2">
        <v>22366.46</v>
      </c>
      <c r="R961" s="2">
        <v>1872.9</v>
      </c>
      <c r="S961" t="s">
        <v>36</v>
      </c>
      <c r="T961" t="s">
        <v>71</v>
      </c>
      <c r="U961" t="s">
        <v>83</v>
      </c>
      <c r="V961">
        <v>2.2999999999999998</v>
      </c>
      <c r="W961" t="s">
        <v>76</v>
      </c>
      <c r="X961" t="s">
        <v>55</v>
      </c>
      <c r="Y961" t="s">
        <v>72</v>
      </c>
    </row>
    <row r="962" spans="1:25" x14ac:dyDescent="0.3">
      <c r="A962" t="s">
        <v>2001</v>
      </c>
      <c r="B962" s="1">
        <v>45886</v>
      </c>
      <c r="C962" t="s">
        <v>117</v>
      </c>
      <c r="D962" t="s">
        <v>4083</v>
      </c>
      <c r="E962" t="s">
        <v>120</v>
      </c>
      <c r="F962" t="s">
        <v>28</v>
      </c>
      <c r="G962" t="s">
        <v>29</v>
      </c>
      <c r="H962" t="s">
        <v>86</v>
      </c>
      <c r="I962">
        <v>4</v>
      </c>
      <c r="J962" t="s">
        <v>2002</v>
      </c>
      <c r="K962">
        <v>20</v>
      </c>
      <c r="L962" t="s">
        <v>32</v>
      </c>
      <c r="M962">
        <v>1</v>
      </c>
      <c r="N962" t="s">
        <v>91</v>
      </c>
      <c r="O962" t="s">
        <v>49</v>
      </c>
      <c r="P962" t="s">
        <v>50</v>
      </c>
      <c r="Q962" s="2">
        <v>36541.800000000003</v>
      </c>
      <c r="R962" s="2">
        <v>3270.59</v>
      </c>
      <c r="S962" t="s">
        <v>115</v>
      </c>
      <c r="T962" t="s">
        <v>52</v>
      </c>
      <c r="U962" t="s">
        <v>75</v>
      </c>
      <c r="V962">
        <v>1.9</v>
      </c>
      <c r="W962" t="s">
        <v>124</v>
      </c>
      <c r="X962" t="s">
        <v>40</v>
      </c>
      <c r="Y962" t="s">
        <v>72</v>
      </c>
    </row>
    <row r="963" spans="1:25" x14ac:dyDescent="0.3">
      <c r="A963" t="s">
        <v>2003</v>
      </c>
      <c r="B963" s="1">
        <v>45887</v>
      </c>
      <c r="C963" t="s">
        <v>26</v>
      </c>
      <c r="D963" t="s">
        <v>26</v>
      </c>
      <c r="E963" t="s">
        <v>4085</v>
      </c>
      <c r="F963" t="s">
        <v>60</v>
      </c>
      <c r="G963" t="s">
        <v>29</v>
      </c>
      <c r="H963" t="s">
        <v>46</v>
      </c>
      <c r="I963">
        <v>12</v>
      </c>
      <c r="J963" t="s">
        <v>2004</v>
      </c>
      <c r="K963">
        <v>44</v>
      </c>
      <c r="L963" t="s">
        <v>32</v>
      </c>
      <c r="M963">
        <v>7</v>
      </c>
      <c r="N963" t="s">
        <v>64</v>
      </c>
      <c r="O963" t="s">
        <v>69</v>
      </c>
      <c r="P963" t="s">
        <v>35</v>
      </c>
      <c r="Q963" s="2">
        <v>5444.75</v>
      </c>
      <c r="R963" s="2">
        <v>817.83</v>
      </c>
      <c r="S963" t="s">
        <v>115</v>
      </c>
      <c r="T963" t="s">
        <v>37</v>
      </c>
      <c r="U963" t="s">
        <v>38</v>
      </c>
      <c r="V963">
        <v>1.3</v>
      </c>
      <c r="W963" t="s">
        <v>124</v>
      </c>
      <c r="X963" t="s">
        <v>55</v>
      </c>
      <c r="Y963" t="s">
        <v>41</v>
      </c>
    </row>
    <row r="964" spans="1:25" x14ac:dyDescent="0.3">
      <c r="A964" t="s">
        <v>2005</v>
      </c>
      <c r="B964" s="1">
        <v>45888</v>
      </c>
      <c r="C964" t="s">
        <v>78</v>
      </c>
      <c r="D964" t="s">
        <v>58</v>
      </c>
      <c r="E964" t="s">
        <v>4085</v>
      </c>
      <c r="F964" t="s">
        <v>60</v>
      </c>
      <c r="G964" t="s">
        <v>29</v>
      </c>
      <c r="H964" t="s">
        <v>59</v>
      </c>
      <c r="I964">
        <v>5</v>
      </c>
      <c r="J964" t="s">
        <v>2006</v>
      </c>
      <c r="K964">
        <v>34</v>
      </c>
      <c r="L964" t="s">
        <v>80</v>
      </c>
      <c r="M964">
        <v>3</v>
      </c>
      <c r="N964" t="s">
        <v>91</v>
      </c>
      <c r="O964" t="s">
        <v>34</v>
      </c>
      <c r="P964" t="s">
        <v>82</v>
      </c>
      <c r="Q964" s="2">
        <v>20214.03</v>
      </c>
      <c r="R964" s="2">
        <v>317.45</v>
      </c>
      <c r="S964" t="s">
        <v>51</v>
      </c>
      <c r="T964" t="s">
        <v>37</v>
      </c>
      <c r="U964" t="s">
        <v>83</v>
      </c>
      <c r="V964">
        <v>3.8</v>
      </c>
      <c r="W964" t="s">
        <v>54</v>
      </c>
      <c r="X964" t="s">
        <v>106</v>
      </c>
      <c r="Y964" t="s">
        <v>72</v>
      </c>
    </row>
    <row r="965" spans="1:25" x14ac:dyDescent="0.3">
      <c r="A965" t="s">
        <v>2007</v>
      </c>
      <c r="B965" s="1">
        <v>45889</v>
      </c>
      <c r="C965" t="s">
        <v>78</v>
      </c>
      <c r="D965" t="s">
        <v>58</v>
      </c>
      <c r="E965" t="s">
        <v>4084</v>
      </c>
      <c r="F965" t="s">
        <v>60</v>
      </c>
      <c r="G965" t="s">
        <v>29</v>
      </c>
      <c r="H965" t="s">
        <v>30</v>
      </c>
      <c r="I965">
        <v>14</v>
      </c>
      <c r="J965" t="s">
        <v>2008</v>
      </c>
      <c r="K965">
        <v>33</v>
      </c>
      <c r="L965" t="s">
        <v>32</v>
      </c>
      <c r="M965">
        <v>4</v>
      </c>
      <c r="N965" t="s">
        <v>64</v>
      </c>
      <c r="O965" t="s">
        <v>49</v>
      </c>
      <c r="P965" t="s">
        <v>50</v>
      </c>
      <c r="Q965" s="2">
        <v>18619.060000000001</v>
      </c>
      <c r="R965" s="2">
        <v>4272.53</v>
      </c>
      <c r="S965" t="s">
        <v>94</v>
      </c>
      <c r="T965" t="s">
        <v>37</v>
      </c>
      <c r="U965" t="s">
        <v>75</v>
      </c>
      <c r="V965">
        <v>3</v>
      </c>
      <c r="W965" t="s">
        <v>76</v>
      </c>
      <c r="X965" t="s">
        <v>55</v>
      </c>
      <c r="Y965" t="s">
        <v>72</v>
      </c>
    </row>
    <row r="966" spans="1:25" x14ac:dyDescent="0.3">
      <c r="A966" t="s">
        <v>2009</v>
      </c>
      <c r="B966" s="1">
        <v>45890</v>
      </c>
      <c r="C966" t="s">
        <v>43</v>
      </c>
      <c r="D966" t="s">
        <v>58</v>
      </c>
      <c r="E966" t="s">
        <v>4084</v>
      </c>
      <c r="F966" t="s">
        <v>60</v>
      </c>
      <c r="G966" t="s">
        <v>29</v>
      </c>
      <c r="H966" t="s">
        <v>27</v>
      </c>
      <c r="I966">
        <v>3</v>
      </c>
      <c r="J966" t="s">
        <v>2010</v>
      </c>
      <c r="K966">
        <v>23</v>
      </c>
      <c r="L966" t="s">
        <v>80</v>
      </c>
      <c r="M966">
        <v>7</v>
      </c>
      <c r="N966" t="s">
        <v>91</v>
      </c>
      <c r="O966" t="s">
        <v>69</v>
      </c>
      <c r="P966" t="s">
        <v>35</v>
      </c>
      <c r="Q966" s="2">
        <v>44064.41</v>
      </c>
      <c r="R966" s="2">
        <v>2819.73</v>
      </c>
      <c r="S966" t="s">
        <v>94</v>
      </c>
      <c r="T966" t="s">
        <v>52</v>
      </c>
      <c r="U966" t="s">
        <v>75</v>
      </c>
      <c r="V966">
        <v>3.3</v>
      </c>
      <c r="W966" t="s">
        <v>76</v>
      </c>
      <c r="X966" t="s">
        <v>84</v>
      </c>
      <c r="Y966" t="s">
        <v>72</v>
      </c>
    </row>
    <row r="967" spans="1:25" x14ac:dyDescent="0.3">
      <c r="A967" t="s">
        <v>2011</v>
      </c>
      <c r="B967" s="1">
        <v>45891</v>
      </c>
      <c r="C967" t="s">
        <v>57</v>
      </c>
      <c r="D967" t="s">
        <v>44</v>
      </c>
      <c r="E967" t="s">
        <v>120</v>
      </c>
      <c r="F967" t="s">
        <v>28</v>
      </c>
      <c r="G967" t="s">
        <v>29</v>
      </c>
      <c r="H967" t="s">
        <v>86</v>
      </c>
      <c r="I967">
        <v>7</v>
      </c>
      <c r="J967" t="s">
        <v>2012</v>
      </c>
      <c r="K967">
        <v>68</v>
      </c>
      <c r="L967" t="s">
        <v>63</v>
      </c>
      <c r="M967">
        <v>3</v>
      </c>
      <c r="N967" t="s">
        <v>91</v>
      </c>
      <c r="O967" t="s">
        <v>34</v>
      </c>
      <c r="P967" t="s">
        <v>50</v>
      </c>
      <c r="Q967" s="2">
        <v>28810.560000000001</v>
      </c>
      <c r="R967" s="2">
        <v>3245.48</v>
      </c>
      <c r="S967" t="s">
        <v>51</v>
      </c>
      <c r="T967" t="s">
        <v>37</v>
      </c>
      <c r="U967" t="s">
        <v>75</v>
      </c>
      <c r="V967">
        <v>2.9</v>
      </c>
      <c r="W967" t="s">
        <v>76</v>
      </c>
      <c r="X967" t="s">
        <v>55</v>
      </c>
      <c r="Y967" t="s">
        <v>41</v>
      </c>
    </row>
    <row r="968" spans="1:25" x14ac:dyDescent="0.3">
      <c r="A968" t="s">
        <v>2013</v>
      </c>
      <c r="B968" s="1">
        <v>45892</v>
      </c>
      <c r="C968" t="s">
        <v>78</v>
      </c>
      <c r="D968" t="s">
        <v>58</v>
      </c>
      <c r="E968" t="s">
        <v>4084</v>
      </c>
      <c r="F968" t="s">
        <v>60</v>
      </c>
      <c r="G968" t="s">
        <v>29</v>
      </c>
      <c r="H968" t="s">
        <v>30</v>
      </c>
      <c r="I968">
        <v>5</v>
      </c>
      <c r="J968" t="s">
        <v>2014</v>
      </c>
      <c r="K968">
        <v>24</v>
      </c>
      <c r="L968" t="s">
        <v>80</v>
      </c>
      <c r="M968">
        <v>6</v>
      </c>
      <c r="N968" t="s">
        <v>48</v>
      </c>
      <c r="O968" t="s">
        <v>69</v>
      </c>
      <c r="P968" t="s">
        <v>70</v>
      </c>
      <c r="Q968" s="2">
        <v>21405.66</v>
      </c>
      <c r="R968" s="2">
        <v>1536.21</v>
      </c>
      <c r="S968" t="s">
        <v>94</v>
      </c>
      <c r="T968" t="s">
        <v>71</v>
      </c>
      <c r="U968" t="s">
        <v>83</v>
      </c>
      <c r="V968">
        <v>2.9</v>
      </c>
      <c r="W968" t="s">
        <v>76</v>
      </c>
      <c r="X968" t="s">
        <v>106</v>
      </c>
      <c r="Y968" t="s">
        <v>72</v>
      </c>
    </row>
    <row r="969" spans="1:25" x14ac:dyDescent="0.3">
      <c r="A969" t="s">
        <v>2015</v>
      </c>
      <c r="B969" s="1">
        <v>45893</v>
      </c>
      <c r="C969" t="s">
        <v>117</v>
      </c>
      <c r="D969" t="s">
        <v>4083</v>
      </c>
      <c r="E969" t="s">
        <v>4085</v>
      </c>
      <c r="F969" t="s">
        <v>60</v>
      </c>
      <c r="G969" t="s">
        <v>29</v>
      </c>
      <c r="H969" t="s">
        <v>46</v>
      </c>
      <c r="I969">
        <v>3</v>
      </c>
      <c r="J969" t="s">
        <v>2016</v>
      </c>
      <c r="K969">
        <v>67</v>
      </c>
      <c r="L969" t="s">
        <v>80</v>
      </c>
      <c r="M969">
        <v>6</v>
      </c>
      <c r="N969" t="s">
        <v>33</v>
      </c>
      <c r="O969" t="s">
        <v>69</v>
      </c>
      <c r="P969" t="s">
        <v>35</v>
      </c>
      <c r="Q969" s="2">
        <v>16973.57</v>
      </c>
      <c r="R969" s="2">
        <v>1859.77</v>
      </c>
      <c r="S969" t="s">
        <v>115</v>
      </c>
      <c r="T969" t="s">
        <v>71</v>
      </c>
      <c r="U969" t="s">
        <v>75</v>
      </c>
      <c r="V969">
        <v>3.3</v>
      </c>
      <c r="W969" t="s">
        <v>76</v>
      </c>
      <c r="X969" t="s">
        <v>55</v>
      </c>
      <c r="Y969" t="s">
        <v>72</v>
      </c>
    </row>
    <row r="970" spans="1:25" x14ac:dyDescent="0.3">
      <c r="A970" t="s">
        <v>2017</v>
      </c>
      <c r="B970" s="1">
        <v>45894</v>
      </c>
      <c r="C970" t="s">
        <v>43</v>
      </c>
      <c r="D970" t="s">
        <v>58</v>
      </c>
      <c r="E970" t="s">
        <v>4084</v>
      </c>
      <c r="F970" t="s">
        <v>60</v>
      </c>
      <c r="G970" t="s">
        <v>29</v>
      </c>
      <c r="H970" t="s">
        <v>30</v>
      </c>
      <c r="I970">
        <v>10</v>
      </c>
      <c r="J970" t="s">
        <v>2018</v>
      </c>
      <c r="K970">
        <v>31</v>
      </c>
      <c r="L970" t="s">
        <v>80</v>
      </c>
      <c r="M970">
        <v>1</v>
      </c>
      <c r="N970" t="s">
        <v>33</v>
      </c>
      <c r="O970" t="s">
        <v>81</v>
      </c>
      <c r="P970" t="s">
        <v>82</v>
      </c>
      <c r="Q970" s="2">
        <v>31572.94</v>
      </c>
      <c r="R970" s="2">
        <v>411.84</v>
      </c>
      <c r="S970" t="s">
        <v>36</v>
      </c>
      <c r="T970" t="s">
        <v>52</v>
      </c>
      <c r="U970" t="s">
        <v>75</v>
      </c>
      <c r="V970">
        <v>4.7</v>
      </c>
      <c r="W970" t="s">
        <v>103</v>
      </c>
      <c r="X970" t="s">
        <v>106</v>
      </c>
      <c r="Y970" t="s">
        <v>72</v>
      </c>
    </row>
    <row r="971" spans="1:25" x14ac:dyDescent="0.3">
      <c r="A971" t="s">
        <v>2019</v>
      </c>
      <c r="B971" s="1">
        <v>45895</v>
      </c>
      <c r="C971" t="s">
        <v>26</v>
      </c>
      <c r="D971" t="s">
        <v>26</v>
      </c>
      <c r="E971" t="s">
        <v>45</v>
      </c>
      <c r="F971" t="s">
        <v>28</v>
      </c>
      <c r="G971" t="s">
        <v>29</v>
      </c>
      <c r="H971" t="s">
        <v>67</v>
      </c>
      <c r="I971">
        <v>14</v>
      </c>
      <c r="J971" t="s">
        <v>2020</v>
      </c>
      <c r="K971">
        <v>55</v>
      </c>
      <c r="L971" t="s">
        <v>80</v>
      </c>
      <c r="M971">
        <v>7</v>
      </c>
      <c r="N971" t="s">
        <v>91</v>
      </c>
      <c r="O971" t="s">
        <v>34</v>
      </c>
      <c r="P971" t="s">
        <v>82</v>
      </c>
      <c r="Q971" s="2">
        <v>11825.29</v>
      </c>
      <c r="R971" s="2">
        <v>4284.9399999999996</v>
      </c>
      <c r="S971" t="s">
        <v>94</v>
      </c>
      <c r="T971" t="s">
        <v>71</v>
      </c>
      <c r="U971" t="s">
        <v>38</v>
      </c>
      <c r="V971">
        <v>1.1000000000000001</v>
      </c>
      <c r="W971" t="s">
        <v>124</v>
      </c>
      <c r="X971" t="s">
        <v>84</v>
      </c>
      <c r="Y971" t="s">
        <v>72</v>
      </c>
    </row>
    <row r="972" spans="1:25" x14ac:dyDescent="0.3">
      <c r="A972" t="s">
        <v>2021</v>
      </c>
      <c r="B972" s="1">
        <v>45896</v>
      </c>
      <c r="C972" t="s">
        <v>43</v>
      </c>
      <c r="D972" t="s">
        <v>58</v>
      </c>
      <c r="E972" t="s">
        <v>4084</v>
      </c>
      <c r="F972" t="s">
        <v>60</v>
      </c>
      <c r="G972" t="s">
        <v>29</v>
      </c>
      <c r="H972" t="s">
        <v>27</v>
      </c>
      <c r="I972">
        <v>13</v>
      </c>
      <c r="J972" t="s">
        <v>2022</v>
      </c>
      <c r="K972">
        <v>57</v>
      </c>
      <c r="L972" t="s">
        <v>63</v>
      </c>
      <c r="M972">
        <v>7</v>
      </c>
      <c r="N972" t="s">
        <v>48</v>
      </c>
      <c r="O972" t="s">
        <v>81</v>
      </c>
      <c r="P972" t="s">
        <v>70</v>
      </c>
      <c r="Q972" s="2">
        <v>16079.21</v>
      </c>
      <c r="R972" s="2">
        <v>2962.2</v>
      </c>
      <c r="S972" t="s">
        <v>36</v>
      </c>
      <c r="T972" t="s">
        <v>37</v>
      </c>
      <c r="U972" t="s">
        <v>38</v>
      </c>
      <c r="V972">
        <v>4.2</v>
      </c>
      <c r="W972" t="s">
        <v>54</v>
      </c>
      <c r="X972" t="s">
        <v>65</v>
      </c>
      <c r="Y972" t="s">
        <v>72</v>
      </c>
    </row>
    <row r="973" spans="1:25" x14ac:dyDescent="0.3">
      <c r="A973" t="s">
        <v>2023</v>
      </c>
      <c r="B973" s="1">
        <v>45897</v>
      </c>
      <c r="C973" t="s">
        <v>26</v>
      </c>
      <c r="D973" t="s">
        <v>26</v>
      </c>
      <c r="E973" t="s">
        <v>4085</v>
      </c>
      <c r="F973" t="s">
        <v>60</v>
      </c>
      <c r="G973" t="s">
        <v>29</v>
      </c>
      <c r="H973" t="s">
        <v>46</v>
      </c>
      <c r="I973">
        <v>8</v>
      </c>
      <c r="J973" t="s">
        <v>2024</v>
      </c>
      <c r="K973">
        <v>32</v>
      </c>
      <c r="L973" t="s">
        <v>63</v>
      </c>
      <c r="M973">
        <v>7</v>
      </c>
      <c r="N973" t="s">
        <v>33</v>
      </c>
      <c r="O973" t="s">
        <v>49</v>
      </c>
      <c r="P973" t="s">
        <v>70</v>
      </c>
      <c r="Q973" s="2">
        <v>18212.55</v>
      </c>
      <c r="R973" s="2">
        <v>418.14</v>
      </c>
      <c r="S973" t="s">
        <v>36</v>
      </c>
      <c r="T973" t="s">
        <v>52</v>
      </c>
      <c r="U973" t="s">
        <v>38</v>
      </c>
      <c r="V973">
        <v>2.6</v>
      </c>
      <c r="W973" t="s">
        <v>76</v>
      </c>
      <c r="X973" t="s">
        <v>106</v>
      </c>
      <c r="Y973" t="s">
        <v>41</v>
      </c>
    </row>
    <row r="974" spans="1:25" x14ac:dyDescent="0.3">
      <c r="A974" t="s">
        <v>2025</v>
      </c>
      <c r="B974" s="1">
        <v>45898</v>
      </c>
      <c r="C974" t="s">
        <v>43</v>
      </c>
      <c r="D974" t="s">
        <v>58</v>
      </c>
      <c r="E974" t="s">
        <v>120</v>
      </c>
      <c r="F974" t="s">
        <v>28</v>
      </c>
      <c r="G974" t="s">
        <v>29</v>
      </c>
      <c r="H974" t="s">
        <v>86</v>
      </c>
      <c r="I974">
        <v>11</v>
      </c>
      <c r="J974" t="s">
        <v>2026</v>
      </c>
      <c r="K974">
        <v>64</v>
      </c>
      <c r="L974" t="s">
        <v>63</v>
      </c>
      <c r="M974">
        <v>5</v>
      </c>
      <c r="N974" t="s">
        <v>33</v>
      </c>
      <c r="O974" t="s">
        <v>34</v>
      </c>
      <c r="P974" t="s">
        <v>70</v>
      </c>
      <c r="Q974" s="2">
        <v>32355.9</v>
      </c>
      <c r="R974" s="2">
        <v>4022.65</v>
      </c>
      <c r="S974" t="s">
        <v>115</v>
      </c>
      <c r="T974" t="s">
        <v>71</v>
      </c>
      <c r="U974" t="s">
        <v>38</v>
      </c>
      <c r="V974">
        <v>4</v>
      </c>
      <c r="W974" t="s">
        <v>54</v>
      </c>
      <c r="X974" t="s">
        <v>65</v>
      </c>
      <c r="Y974" t="s">
        <v>72</v>
      </c>
    </row>
    <row r="975" spans="1:25" x14ac:dyDescent="0.3">
      <c r="A975" t="s">
        <v>2027</v>
      </c>
      <c r="B975" s="1">
        <v>45899</v>
      </c>
      <c r="C975" t="s">
        <v>43</v>
      </c>
      <c r="D975" t="s">
        <v>58</v>
      </c>
      <c r="E975" t="s">
        <v>89</v>
      </c>
      <c r="F975" t="s">
        <v>28</v>
      </c>
      <c r="G975" t="s">
        <v>29</v>
      </c>
      <c r="H975" t="s">
        <v>61</v>
      </c>
      <c r="I975">
        <v>5</v>
      </c>
      <c r="J975" t="s">
        <v>2028</v>
      </c>
      <c r="K975">
        <v>64</v>
      </c>
      <c r="L975" t="s">
        <v>80</v>
      </c>
      <c r="M975">
        <v>2</v>
      </c>
      <c r="N975" t="s">
        <v>48</v>
      </c>
      <c r="O975" t="s">
        <v>81</v>
      </c>
      <c r="P975" t="s">
        <v>70</v>
      </c>
      <c r="Q975" s="2">
        <v>21796.47</v>
      </c>
      <c r="R975" s="2">
        <v>2220.58</v>
      </c>
      <c r="S975" t="s">
        <v>36</v>
      </c>
      <c r="T975" t="s">
        <v>52</v>
      </c>
      <c r="U975" t="s">
        <v>75</v>
      </c>
      <c r="V975">
        <v>4.8</v>
      </c>
      <c r="W975" t="s">
        <v>103</v>
      </c>
      <c r="X975" t="s">
        <v>106</v>
      </c>
      <c r="Y975" t="s">
        <v>72</v>
      </c>
    </row>
    <row r="976" spans="1:25" x14ac:dyDescent="0.3">
      <c r="A976" t="s">
        <v>2029</v>
      </c>
      <c r="B976" s="1">
        <v>45900</v>
      </c>
      <c r="C976" t="s">
        <v>43</v>
      </c>
      <c r="D976" t="s">
        <v>58</v>
      </c>
      <c r="E976" t="s">
        <v>4084</v>
      </c>
      <c r="F976" t="s">
        <v>60</v>
      </c>
      <c r="G976" t="s">
        <v>29</v>
      </c>
      <c r="H976" t="s">
        <v>27</v>
      </c>
      <c r="I976">
        <v>11</v>
      </c>
      <c r="J976" t="s">
        <v>2030</v>
      </c>
      <c r="K976">
        <v>65</v>
      </c>
      <c r="L976" t="s">
        <v>63</v>
      </c>
      <c r="M976">
        <v>4</v>
      </c>
      <c r="N976" t="s">
        <v>48</v>
      </c>
      <c r="O976" t="s">
        <v>81</v>
      </c>
      <c r="P976" t="s">
        <v>70</v>
      </c>
      <c r="Q976" s="2">
        <v>27760.25</v>
      </c>
      <c r="R976" s="2">
        <v>3825.51</v>
      </c>
      <c r="S976" t="s">
        <v>94</v>
      </c>
      <c r="T976" t="s">
        <v>37</v>
      </c>
      <c r="U976" t="s">
        <v>83</v>
      </c>
      <c r="V976">
        <v>2.2000000000000002</v>
      </c>
      <c r="W976" t="s">
        <v>76</v>
      </c>
      <c r="X976" t="s">
        <v>55</v>
      </c>
      <c r="Y976" t="s">
        <v>72</v>
      </c>
    </row>
    <row r="977" spans="1:25" x14ac:dyDescent="0.3">
      <c r="A977" t="s">
        <v>2031</v>
      </c>
      <c r="B977" s="1">
        <v>45901</v>
      </c>
      <c r="C977" t="s">
        <v>26</v>
      </c>
      <c r="D977" t="s">
        <v>26</v>
      </c>
      <c r="E977" t="s">
        <v>4085</v>
      </c>
      <c r="F977" t="s">
        <v>60</v>
      </c>
      <c r="G977" t="s">
        <v>29</v>
      </c>
      <c r="H977" t="s">
        <v>59</v>
      </c>
      <c r="I977">
        <v>11</v>
      </c>
      <c r="J977" t="s">
        <v>2032</v>
      </c>
      <c r="K977">
        <v>50</v>
      </c>
      <c r="L977" t="s">
        <v>32</v>
      </c>
      <c r="M977">
        <v>7</v>
      </c>
      <c r="N977" t="s">
        <v>33</v>
      </c>
      <c r="O977" t="s">
        <v>49</v>
      </c>
      <c r="P977" t="s">
        <v>35</v>
      </c>
      <c r="Q977" s="2">
        <v>34269.72</v>
      </c>
      <c r="R977" s="2">
        <v>63.1</v>
      </c>
      <c r="S977" t="s">
        <v>115</v>
      </c>
      <c r="T977" t="s">
        <v>71</v>
      </c>
      <c r="U977" t="s">
        <v>75</v>
      </c>
      <c r="V977">
        <v>1.4</v>
      </c>
      <c r="W977" t="s">
        <v>124</v>
      </c>
      <c r="X977" t="s">
        <v>65</v>
      </c>
      <c r="Y977" t="s">
        <v>72</v>
      </c>
    </row>
    <row r="978" spans="1:25" x14ac:dyDescent="0.3">
      <c r="A978" t="s">
        <v>2033</v>
      </c>
      <c r="B978" s="1">
        <v>45902</v>
      </c>
      <c r="C978" t="s">
        <v>26</v>
      </c>
      <c r="D978" t="s">
        <v>26</v>
      </c>
      <c r="E978" t="s">
        <v>89</v>
      </c>
      <c r="F978" t="s">
        <v>28</v>
      </c>
      <c r="G978" t="s">
        <v>29</v>
      </c>
      <c r="H978" t="s">
        <v>61</v>
      </c>
      <c r="I978">
        <v>14</v>
      </c>
      <c r="J978" t="s">
        <v>2034</v>
      </c>
      <c r="K978">
        <v>60</v>
      </c>
      <c r="L978" t="s">
        <v>63</v>
      </c>
      <c r="M978">
        <v>2</v>
      </c>
      <c r="N978" t="s">
        <v>33</v>
      </c>
      <c r="O978" t="s">
        <v>69</v>
      </c>
      <c r="P978" t="s">
        <v>35</v>
      </c>
      <c r="Q978" s="2">
        <v>48032.22</v>
      </c>
      <c r="R978" s="2">
        <v>143.69999999999999</v>
      </c>
      <c r="S978" t="s">
        <v>51</v>
      </c>
      <c r="T978" t="s">
        <v>37</v>
      </c>
      <c r="U978" t="s">
        <v>53</v>
      </c>
      <c r="V978">
        <v>1.9</v>
      </c>
      <c r="W978" t="s">
        <v>124</v>
      </c>
      <c r="X978" t="s">
        <v>106</v>
      </c>
      <c r="Y978" t="s">
        <v>72</v>
      </c>
    </row>
    <row r="979" spans="1:25" x14ac:dyDescent="0.3">
      <c r="A979" t="s">
        <v>2035</v>
      </c>
      <c r="B979" s="1">
        <v>45903</v>
      </c>
      <c r="C979" t="s">
        <v>43</v>
      </c>
      <c r="D979" t="s">
        <v>58</v>
      </c>
      <c r="E979" t="s">
        <v>89</v>
      </c>
      <c r="F979" t="s">
        <v>28</v>
      </c>
      <c r="G979" t="s">
        <v>29</v>
      </c>
      <c r="H979" t="s">
        <v>61</v>
      </c>
      <c r="I979">
        <v>14</v>
      </c>
      <c r="J979" t="s">
        <v>2036</v>
      </c>
      <c r="K979">
        <v>44</v>
      </c>
      <c r="L979" t="s">
        <v>80</v>
      </c>
      <c r="M979">
        <v>5</v>
      </c>
      <c r="N979" t="s">
        <v>64</v>
      </c>
      <c r="O979" t="s">
        <v>69</v>
      </c>
      <c r="P979" t="s">
        <v>50</v>
      </c>
      <c r="Q979" s="2">
        <v>39417.68</v>
      </c>
      <c r="R979" s="2">
        <v>853.91</v>
      </c>
      <c r="S979" t="s">
        <v>115</v>
      </c>
      <c r="T979" t="s">
        <v>71</v>
      </c>
      <c r="U979" t="s">
        <v>83</v>
      </c>
      <c r="V979">
        <v>1.9</v>
      </c>
      <c r="W979" t="s">
        <v>124</v>
      </c>
      <c r="X979" t="s">
        <v>106</v>
      </c>
      <c r="Y979" t="s">
        <v>41</v>
      </c>
    </row>
    <row r="980" spans="1:25" x14ac:dyDescent="0.3">
      <c r="A980" t="s">
        <v>2037</v>
      </c>
      <c r="B980" s="1">
        <v>45904</v>
      </c>
      <c r="C980" t="s">
        <v>78</v>
      </c>
      <c r="D980" t="s">
        <v>58</v>
      </c>
      <c r="E980" t="s">
        <v>45</v>
      </c>
      <c r="F980" t="s">
        <v>28</v>
      </c>
      <c r="G980" t="s">
        <v>29</v>
      </c>
      <c r="H980" t="s">
        <v>67</v>
      </c>
      <c r="I980">
        <v>3</v>
      </c>
      <c r="J980" t="s">
        <v>2038</v>
      </c>
      <c r="K980">
        <v>46</v>
      </c>
      <c r="L980" t="s">
        <v>32</v>
      </c>
      <c r="M980">
        <v>6</v>
      </c>
      <c r="N980" t="s">
        <v>64</v>
      </c>
      <c r="O980" t="s">
        <v>69</v>
      </c>
      <c r="P980" t="s">
        <v>70</v>
      </c>
      <c r="Q980" s="2">
        <v>23236.560000000001</v>
      </c>
      <c r="R980" s="2">
        <v>1054.58</v>
      </c>
      <c r="S980" t="s">
        <v>94</v>
      </c>
      <c r="T980" t="s">
        <v>52</v>
      </c>
      <c r="U980" t="s">
        <v>53</v>
      </c>
      <c r="V980">
        <v>4</v>
      </c>
      <c r="W980" t="s">
        <v>39</v>
      </c>
      <c r="X980" t="s">
        <v>65</v>
      </c>
      <c r="Y980" t="s">
        <v>41</v>
      </c>
    </row>
    <row r="981" spans="1:25" x14ac:dyDescent="0.3">
      <c r="A981" t="s">
        <v>2039</v>
      </c>
      <c r="B981" s="1">
        <v>45905</v>
      </c>
      <c r="C981" t="s">
        <v>57</v>
      </c>
      <c r="D981" t="s">
        <v>44</v>
      </c>
      <c r="E981" t="s">
        <v>89</v>
      </c>
      <c r="F981" t="s">
        <v>28</v>
      </c>
      <c r="G981" t="s">
        <v>29</v>
      </c>
      <c r="H981" t="s">
        <v>61</v>
      </c>
      <c r="I981">
        <v>5</v>
      </c>
      <c r="J981" t="s">
        <v>2040</v>
      </c>
      <c r="K981">
        <v>54</v>
      </c>
      <c r="L981" t="s">
        <v>80</v>
      </c>
      <c r="M981">
        <v>4</v>
      </c>
      <c r="N981" t="s">
        <v>91</v>
      </c>
      <c r="O981" t="s">
        <v>49</v>
      </c>
      <c r="P981" t="s">
        <v>82</v>
      </c>
      <c r="Q981" s="2">
        <v>38672.39</v>
      </c>
      <c r="R981" s="2">
        <v>3819.78</v>
      </c>
      <c r="S981" t="s">
        <v>115</v>
      </c>
      <c r="T981" t="s">
        <v>71</v>
      </c>
      <c r="U981" t="s">
        <v>75</v>
      </c>
      <c r="V981">
        <v>1.2</v>
      </c>
      <c r="W981" t="s">
        <v>124</v>
      </c>
      <c r="X981" t="s">
        <v>106</v>
      </c>
      <c r="Y981" t="s">
        <v>72</v>
      </c>
    </row>
    <row r="982" spans="1:25" x14ac:dyDescent="0.3">
      <c r="A982" t="s">
        <v>2041</v>
      </c>
      <c r="B982" s="1">
        <v>45906</v>
      </c>
      <c r="C982" t="s">
        <v>57</v>
      </c>
      <c r="D982" t="s">
        <v>44</v>
      </c>
      <c r="E982" t="s">
        <v>4085</v>
      </c>
      <c r="F982" t="s">
        <v>60</v>
      </c>
      <c r="G982" t="s">
        <v>29</v>
      </c>
      <c r="H982" t="s">
        <v>59</v>
      </c>
      <c r="I982">
        <v>8</v>
      </c>
      <c r="J982" t="s">
        <v>2042</v>
      </c>
      <c r="K982">
        <v>22</v>
      </c>
      <c r="L982" t="s">
        <v>32</v>
      </c>
      <c r="M982">
        <v>3</v>
      </c>
      <c r="N982" t="s">
        <v>33</v>
      </c>
      <c r="O982" t="s">
        <v>81</v>
      </c>
      <c r="P982" t="s">
        <v>82</v>
      </c>
      <c r="Q982" s="2">
        <v>47736.24</v>
      </c>
      <c r="R982" s="2">
        <v>3533.47</v>
      </c>
      <c r="S982" t="s">
        <v>94</v>
      </c>
      <c r="T982" t="s">
        <v>71</v>
      </c>
      <c r="U982" t="s">
        <v>83</v>
      </c>
      <c r="V982">
        <v>1.2</v>
      </c>
      <c r="W982" t="s">
        <v>124</v>
      </c>
      <c r="X982" t="s">
        <v>65</v>
      </c>
      <c r="Y982" t="s">
        <v>72</v>
      </c>
    </row>
    <row r="983" spans="1:25" x14ac:dyDescent="0.3">
      <c r="A983" t="s">
        <v>2043</v>
      </c>
      <c r="B983" s="1">
        <v>45907</v>
      </c>
      <c r="C983" t="s">
        <v>57</v>
      </c>
      <c r="D983" t="s">
        <v>44</v>
      </c>
      <c r="E983" t="s">
        <v>4085</v>
      </c>
      <c r="F983" t="s">
        <v>60</v>
      </c>
      <c r="G983" t="s">
        <v>29</v>
      </c>
      <c r="H983" t="s">
        <v>59</v>
      </c>
      <c r="I983">
        <v>10</v>
      </c>
      <c r="J983" t="s">
        <v>2044</v>
      </c>
      <c r="K983">
        <v>46</v>
      </c>
      <c r="L983" t="s">
        <v>80</v>
      </c>
      <c r="M983">
        <v>6</v>
      </c>
      <c r="N983" t="s">
        <v>48</v>
      </c>
      <c r="O983" t="s">
        <v>34</v>
      </c>
      <c r="P983" t="s">
        <v>70</v>
      </c>
      <c r="Q983" s="2">
        <v>27472.12</v>
      </c>
      <c r="R983" s="2">
        <v>3080.44</v>
      </c>
      <c r="S983" t="s">
        <v>94</v>
      </c>
      <c r="T983" t="s">
        <v>71</v>
      </c>
      <c r="U983" t="s">
        <v>83</v>
      </c>
      <c r="V983">
        <v>3.8</v>
      </c>
      <c r="W983" t="s">
        <v>54</v>
      </c>
      <c r="X983" t="s">
        <v>84</v>
      </c>
      <c r="Y983" t="s">
        <v>41</v>
      </c>
    </row>
    <row r="984" spans="1:25" x14ac:dyDescent="0.3">
      <c r="A984" t="s">
        <v>2045</v>
      </c>
      <c r="B984" s="1">
        <v>45908</v>
      </c>
      <c r="C984" t="s">
        <v>26</v>
      </c>
      <c r="D984" t="s">
        <v>26</v>
      </c>
      <c r="E984" t="s">
        <v>4084</v>
      </c>
      <c r="F984" t="s">
        <v>60</v>
      </c>
      <c r="G984" t="s">
        <v>29</v>
      </c>
      <c r="H984" t="s">
        <v>27</v>
      </c>
      <c r="I984">
        <v>6</v>
      </c>
      <c r="J984" t="s">
        <v>2046</v>
      </c>
      <c r="K984">
        <v>49</v>
      </c>
      <c r="L984" t="s">
        <v>80</v>
      </c>
      <c r="M984">
        <v>6</v>
      </c>
      <c r="N984" t="s">
        <v>48</v>
      </c>
      <c r="O984" t="s">
        <v>49</v>
      </c>
      <c r="P984" t="s">
        <v>70</v>
      </c>
      <c r="Q984" s="2">
        <v>23472.36</v>
      </c>
      <c r="R984" s="2">
        <v>4424.29</v>
      </c>
      <c r="S984" t="s">
        <v>115</v>
      </c>
      <c r="T984" t="s">
        <v>52</v>
      </c>
      <c r="U984" t="s">
        <v>38</v>
      </c>
      <c r="V984">
        <v>3.2</v>
      </c>
      <c r="W984" t="s">
        <v>39</v>
      </c>
      <c r="X984" t="s">
        <v>40</v>
      </c>
      <c r="Y984" t="s">
        <v>41</v>
      </c>
    </row>
    <row r="985" spans="1:25" x14ac:dyDescent="0.3">
      <c r="A985" t="s">
        <v>2047</v>
      </c>
      <c r="B985" s="1">
        <v>45909</v>
      </c>
      <c r="C985" t="s">
        <v>26</v>
      </c>
      <c r="D985" t="s">
        <v>26</v>
      </c>
      <c r="E985" t="s">
        <v>4084</v>
      </c>
      <c r="F985" t="s">
        <v>60</v>
      </c>
      <c r="G985" t="s">
        <v>29</v>
      </c>
      <c r="H985" t="s">
        <v>30</v>
      </c>
      <c r="I985">
        <v>7</v>
      </c>
      <c r="J985" t="s">
        <v>2048</v>
      </c>
      <c r="K985">
        <v>23</v>
      </c>
      <c r="L985" t="s">
        <v>32</v>
      </c>
      <c r="M985">
        <v>1</v>
      </c>
      <c r="N985" t="s">
        <v>33</v>
      </c>
      <c r="O985" t="s">
        <v>69</v>
      </c>
      <c r="P985" t="s">
        <v>70</v>
      </c>
      <c r="Q985" s="2">
        <v>8510.84</v>
      </c>
      <c r="R985" s="2">
        <v>1235.74</v>
      </c>
      <c r="S985" t="s">
        <v>94</v>
      </c>
      <c r="T985" t="s">
        <v>71</v>
      </c>
      <c r="U985" t="s">
        <v>75</v>
      </c>
      <c r="V985">
        <v>2.7</v>
      </c>
      <c r="W985" t="s">
        <v>76</v>
      </c>
      <c r="X985" t="s">
        <v>84</v>
      </c>
      <c r="Y985" t="s">
        <v>41</v>
      </c>
    </row>
    <row r="986" spans="1:25" x14ac:dyDescent="0.3">
      <c r="A986" t="s">
        <v>2049</v>
      </c>
      <c r="B986" s="1">
        <v>45910</v>
      </c>
      <c r="C986" t="s">
        <v>78</v>
      </c>
      <c r="D986" t="s">
        <v>58</v>
      </c>
      <c r="E986" t="s">
        <v>4084</v>
      </c>
      <c r="F986" t="s">
        <v>60</v>
      </c>
      <c r="G986" t="s">
        <v>29</v>
      </c>
      <c r="H986" t="s">
        <v>30</v>
      </c>
      <c r="I986">
        <v>11</v>
      </c>
      <c r="J986" t="s">
        <v>2050</v>
      </c>
      <c r="K986">
        <v>19</v>
      </c>
      <c r="L986" t="s">
        <v>63</v>
      </c>
      <c r="M986">
        <v>5</v>
      </c>
      <c r="N986" t="s">
        <v>91</v>
      </c>
      <c r="O986" t="s">
        <v>69</v>
      </c>
      <c r="P986" t="s">
        <v>70</v>
      </c>
      <c r="Q986" s="2">
        <v>45156.67</v>
      </c>
      <c r="R986" s="2">
        <v>4522.0200000000004</v>
      </c>
      <c r="S986" t="s">
        <v>51</v>
      </c>
      <c r="T986" t="s">
        <v>37</v>
      </c>
      <c r="U986" t="s">
        <v>53</v>
      </c>
      <c r="V986">
        <v>3.3</v>
      </c>
      <c r="W986" t="s">
        <v>39</v>
      </c>
      <c r="X986" t="s">
        <v>65</v>
      </c>
      <c r="Y986" t="s">
        <v>72</v>
      </c>
    </row>
    <row r="987" spans="1:25" x14ac:dyDescent="0.3">
      <c r="A987" t="s">
        <v>2051</v>
      </c>
      <c r="B987" s="1">
        <v>45911</v>
      </c>
      <c r="C987" t="s">
        <v>57</v>
      </c>
      <c r="D987" t="s">
        <v>44</v>
      </c>
      <c r="E987" t="s">
        <v>89</v>
      </c>
      <c r="F987" t="s">
        <v>28</v>
      </c>
      <c r="G987" t="s">
        <v>29</v>
      </c>
      <c r="H987" t="s">
        <v>61</v>
      </c>
      <c r="I987">
        <v>8</v>
      </c>
      <c r="J987" t="s">
        <v>2052</v>
      </c>
      <c r="K987">
        <v>23</v>
      </c>
      <c r="L987" t="s">
        <v>32</v>
      </c>
      <c r="M987">
        <v>1</v>
      </c>
      <c r="N987" t="s">
        <v>48</v>
      </c>
      <c r="O987" t="s">
        <v>34</v>
      </c>
      <c r="P987" t="s">
        <v>70</v>
      </c>
      <c r="Q987" s="2">
        <v>16089.54</v>
      </c>
      <c r="R987" s="2">
        <v>4547.3599999999997</v>
      </c>
      <c r="S987" t="s">
        <v>94</v>
      </c>
      <c r="T987" t="s">
        <v>52</v>
      </c>
      <c r="U987" t="s">
        <v>83</v>
      </c>
      <c r="V987">
        <v>3.9</v>
      </c>
      <c r="W987" t="s">
        <v>54</v>
      </c>
      <c r="X987" t="s">
        <v>55</v>
      </c>
      <c r="Y987" t="s">
        <v>41</v>
      </c>
    </row>
    <row r="988" spans="1:25" x14ac:dyDescent="0.3">
      <c r="A988" t="s">
        <v>2053</v>
      </c>
      <c r="B988" s="1">
        <v>45912</v>
      </c>
      <c r="C988" t="s">
        <v>57</v>
      </c>
      <c r="D988" t="s">
        <v>44</v>
      </c>
      <c r="E988" t="s">
        <v>89</v>
      </c>
      <c r="F988" t="s">
        <v>28</v>
      </c>
      <c r="G988" t="s">
        <v>29</v>
      </c>
      <c r="H988" t="s">
        <v>61</v>
      </c>
      <c r="I988">
        <v>14</v>
      </c>
      <c r="J988" t="s">
        <v>2054</v>
      </c>
      <c r="K988">
        <v>63</v>
      </c>
      <c r="L988" t="s">
        <v>32</v>
      </c>
      <c r="M988">
        <v>1</v>
      </c>
      <c r="N988" t="s">
        <v>33</v>
      </c>
      <c r="O988" t="s">
        <v>49</v>
      </c>
      <c r="P988" t="s">
        <v>82</v>
      </c>
      <c r="Q988" s="2">
        <v>7878.11</v>
      </c>
      <c r="R988" s="2">
        <v>2171.3000000000002</v>
      </c>
      <c r="S988" t="s">
        <v>51</v>
      </c>
      <c r="T988" t="s">
        <v>52</v>
      </c>
      <c r="U988" t="s">
        <v>83</v>
      </c>
      <c r="V988">
        <v>1.4</v>
      </c>
      <c r="W988" t="s">
        <v>124</v>
      </c>
      <c r="X988" t="s">
        <v>55</v>
      </c>
      <c r="Y988" t="s">
        <v>72</v>
      </c>
    </row>
    <row r="989" spans="1:25" x14ac:dyDescent="0.3">
      <c r="A989" t="s">
        <v>2055</v>
      </c>
      <c r="B989" s="1">
        <v>45913</v>
      </c>
      <c r="C989" t="s">
        <v>43</v>
      </c>
      <c r="D989" t="s">
        <v>58</v>
      </c>
      <c r="E989" t="s">
        <v>45</v>
      </c>
      <c r="F989" t="s">
        <v>28</v>
      </c>
      <c r="G989" t="s">
        <v>29</v>
      </c>
      <c r="H989" t="s">
        <v>67</v>
      </c>
      <c r="I989">
        <v>9</v>
      </c>
      <c r="J989" t="s">
        <v>2056</v>
      </c>
      <c r="K989">
        <v>60</v>
      </c>
      <c r="L989" t="s">
        <v>32</v>
      </c>
      <c r="M989">
        <v>2</v>
      </c>
      <c r="N989" t="s">
        <v>33</v>
      </c>
      <c r="O989" t="s">
        <v>69</v>
      </c>
      <c r="P989" t="s">
        <v>50</v>
      </c>
      <c r="Q989" s="2">
        <v>29174.16</v>
      </c>
      <c r="R989" s="2">
        <v>471.93</v>
      </c>
      <c r="S989" t="s">
        <v>51</v>
      </c>
      <c r="T989" t="s">
        <v>37</v>
      </c>
      <c r="U989" t="s">
        <v>38</v>
      </c>
      <c r="V989">
        <v>3.2</v>
      </c>
      <c r="W989" t="s">
        <v>39</v>
      </c>
      <c r="X989" t="s">
        <v>40</v>
      </c>
      <c r="Y989" t="s">
        <v>72</v>
      </c>
    </row>
    <row r="990" spans="1:25" x14ac:dyDescent="0.3">
      <c r="A990" t="s">
        <v>2057</v>
      </c>
      <c r="B990" s="1">
        <v>45914</v>
      </c>
      <c r="C990" t="s">
        <v>26</v>
      </c>
      <c r="D990" t="s">
        <v>26</v>
      </c>
      <c r="E990" t="s">
        <v>4084</v>
      </c>
      <c r="F990" t="s">
        <v>60</v>
      </c>
      <c r="G990" t="s">
        <v>29</v>
      </c>
      <c r="H990" t="s">
        <v>30</v>
      </c>
      <c r="I990">
        <v>9</v>
      </c>
      <c r="J990" t="s">
        <v>2058</v>
      </c>
      <c r="K990">
        <v>21</v>
      </c>
      <c r="L990" t="s">
        <v>32</v>
      </c>
      <c r="M990">
        <v>6</v>
      </c>
      <c r="N990" t="s">
        <v>91</v>
      </c>
      <c r="O990" t="s">
        <v>49</v>
      </c>
      <c r="P990" t="s">
        <v>70</v>
      </c>
      <c r="Q990" s="2">
        <v>43065.48</v>
      </c>
      <c r="R990" s="2">
        <v>3632.8</v>
      </c>
      <c r="S990" t="s">
        <v>94</v>
      </c>
      <c r="T990" t="s">
        <v>52</v>
      </c>
      <c r="U990" t="s">
        <v>83</v>
      </c>
      <c r="V990">
        <v>4.3</v>
      </c>
      <c r="W990" t="s">
        <v>54</v>
      </c>
      <c r="X990" t="s">
        <v>65</v>
      </c>
      <c r="Y990" t="s">
        <v>41</v>
      </c>
    </row>
    <row r="991" spans="1:25" x14ac:dyDescent="0.3">
      <c r="A991" t="s">
        <v>2059</v>
      </c>
      <c r="B991" s="1">
        <v>45915</v>
      </c>
      <c r="C991" t="s">
        <v>57</v>
      </c>
      <c r="D991" t="s">
        <v>44</v>
      </c>
      <c r="E991" t="s">
        <v>120</v>
      </c>
      <c r="F991" t="s">
        <v>28</v>
      </c>
      <c r="G991" t="s">
        <v>29</v>
      </c>
      <c r="H991" t="s">
        <v>86</v>
      </c>
      <c r="I991">
        <v>6</v>
      </c>
      <c r="J991" t="s">
        <v>2060</v>
      </c>
      <c r="K991">
        <v>46</v>
      </c>
      <c r="L991" t="s">
        <v>32</v>
      </c>
      <c r="M991">
        <v>5</v>
      </c>
      <c r="N991" t="s">
        <v>33</v>
      </c>
      <c r="O991" t="s">
        <v>81</v>
      </c>
      <c r="P991" t="s">
        <v>70</v>
      </c>
      <c r="Q991" s="2">
        <v>23298.58</v>
      </c>
      <c r="R991" s="2">
        <v>1684.64</v>
      </c>
      <c r="S991" t="s">
        <v>36</v>
      </c>
      <c r="T991" t="s">
        <v>71</v>
      </c>
      <c r="U991" t="s">
        <v>38</v>
      </c>
      <c r="V991">
        <v>2.4</v>
      </c>
      <c r="W991" t="s">
        <v>76</v>
      </c>
      <c r="X991" t="s">
        <v>106</v>
      </c>
      <c r="Y991" t="s">
        <v>72</v>
      </c>
    </row>
    <row r="992" spans="1:25" x14ac:dyDescent="0.3">
      <c r="A992" t="s">
        <v>2061</v>
      </c>
      <c r="B992" s="1">
        <v>45916</v>
      </c>
      <c r="C992" t="s">
        <v>78</v>
      </c>
      <c r="D992" t="s">
        <v>58</v>
      </c>
      <c r="E992" t="s">
        <v>45</v>
      </c>
      <c r="F992" t="s">
        <v>28</v>
      </c>
      <c r="G992" t="s">
        <v>29</v>
      </c>
      <c r="H992" t="s">
        <v>67</v>
      </c>
      <c r="I992">
        <v>6</v>
      </c>
      <c r="J992" t="s">
        <v>2062</v>
      </c>
      <c r="K992">
        <v>42</v>
      </c>
      <c r="L992" t="s">
        <v>80</v>
      </c>
      <c r="M992">
        <v>1</v>
      </c>
      <c r="N992" t="s">
        <v>48</v>
      </c>
      <c r="O992" t="s">
        <v>49</v>
      </c>
      <c r="P992" t="s">
        <v>70</v>
      </c>
      <c r="Q992" s="2">
        <v>40238.04</v>
      </c>
      <c r="R992" s="2">
        <v>3974.65</v>
      </c>
      <c r="S992" t="s">
        <v>51</v>
      </c>
      <c r="T992" t="s">
        <v>52</v>
      </c>
      <c r="U992" t="s">
        <v>83</v>
      </c>
      <c r="V992">
        <v>4.0999999999999996</v>
      </c>
      <c r="W992" t="s">
        <v>54</v>
      </c>
      <c r="X992" t="s">
        <v>84</v>
      </c>
      <c r="Y992" t="s">
        <v>72</v>
      </c>
    </row>
    <row r="993" spans="1:25" x14ac:dyDescent="0.3">
      <c r="A993" t="s">
        <v>2063</v>
      </c>
      <c r="B993" s="1">
        <v>45917</v>
      </c>
      <c r="C993" t="s">
        <v>78</v>
      </c>
      <c r="D993" t="s">
        <v>58</v>
      </c>
      <c r="E993" t="s">
        <v>120</v>
      </c>
      <c r="F993" t="s">
        <v>28</v>
      </c>
      <c r="G993" t="s">
        <v>29</v>
      </c>
      <c r="H993" t="s">
        <v>86</v>
      </c>
      <c r="I993">
        <v>6</v>
      </c>
      <c r="J993" t="s">
        <v>2064</v>
      </c>
      <c r="K993">
        <v>26</v>
      </c>
      <c r="L993" t="s">
        <v>80</v>
      </c>
      <c r="M993">
        <v>3</v>
      </c>
      <c r="N993" t="s">
        <v>64</v>
      </c>
      <c r="O993" t="s">
        <v>81</v>
      </c>
      <c r="P993" t="s">
        <v>35</v>
      </c>
      <c r="Q993" s="2">
        <v>42637.82</v>
      </c>
      <c r="R993" s="2">
        <v>818.45</v>
      </c>
      <c r="S993" t="s">
        <v>51</v>
      </c>
      <c r="T993" t="s">
        <v>37</v>
      </c>
      <c r="U993" t="s">
        <v>83</v>
      </c>
      <c r="V993">
        <v>4.4000000000000004</v>
      </c>
      <c r="W993" t="s">
        <v>54</v>
      </c>
      <c r="X993" t="s">
        <v>84</v>
      </c>
      <c r="Y993" t="s">
        <v>41</v>
      </c>
    </row>
    <row r="994" spans="1:25" x14ac:dyDescent="0.3">
      <c r="A994" t="s">
        <v>2065</v>
      </c>
      <c r="B994" s="1">
        <v>45918</v>
      </c>
      <c r="C994" t="s">
        <v>57</v>
      </c>
      <c r="D994" t="s">
        <v>44</v>
      </c>
      <c r="E994" t="s">
        <v>89</v>
      </c>
      <c r="F994" t="s">
        <v>28</v>
      </c>
      <c r="G994" t="s">
        <v>29</v>
      </c>
      <c r="H994" t="s">
        <v>61</v>
      </c>
      <c r="I994">
        <v>13</v>
      </c>
      <c r="J994" t="s">
        <v>2066</v>
      </c>
      <c r="K994">
        <v>20</v>
      </c>
      <c r="L994" t="s">
        <v>63</v>
      </c>
      <c r="M994">
        <v>4</v>
      </c>
      <c r="N994" t="s">
        <v>91</v>
      </c>
      <c r="O994" t="s">
        <v>34</v>
      </c>
      <c r="P994" t="s">
        <v>82</v>
      </c>
      <c r="Q994" s="2">
        <v>25448.16</v>
      </c>
      <c r="R994" s="2">
        <v>2697.58</v>
      </c>
      <c r="S994" t="s">
        <v>115</v>
      </c>
      <c r="T994" t="s">
        <v>52</v>
      </c>
      <c r="U994" t="s">
        <v>75</v>
      </c>
      <c r="V994">
        <v>4.3</v>
      </c>
      <c r="W994" t="s">
        <v>54</v>
      </c>
      <c r="X994" t="s">
        <v>40</v>
      </c>
      <c r="Y994" t="s">
        <v>72</v>
      </c>
    </row>
    <row r="995" spans="1:25" x14ac:dyDescent="0.3">
      <c r="A995" t="s">
        <v>2067</v>
      </c>
      <c r="B995" s="1">
        <v>45919</v>
      </c>
      <c r="C995" t="s">
        <v>26</v>
      </c>
      <c r="D995" t="s">
        <v>26</v>
      </c>
      <c r="E995" t="s">
        <v>45</v>
      </c>
      <c r="F995" t="s">
        <v>28</v>
      </c>
      <c r="G995" t="s">
        <v>29</v>
      </c>
      <c r="H995" t="s">
        <v>67</v>
      </c>
      <c r="I995">
        <v>7</v>
      </c>
      <c r="J995" t="s">
        <v>2068</v>
      </c>
      <c r="K995">
        <v>43</v>
      </c>
      <c r="L995" t="s">
        <v>63</v>
      </c>
      <c r="M995">
        <v>7</v>
      </c>
      <c r="N995" t="s">
        <v>33</v>
      </c>
      <c r="O995" t="s">
        <v>81</v>
      </c>
      <c r="P995" t="s">
        <v>82</v>
      </c>
      <c r="Q995" s="2">
        <v>31592.98</v>
      </c>
      <c r="R995" s="2">
        <v>2540.37</v>
      </c>
      <c r="S995" t="s">
        <v>51</v>
      </c>
      <c r="T995" t="s">
        <v>37</v>
      </c>
      <c r="U995" t="s">
        <v>83</v>
      </c>
      <c r="V995">
        <v>3.6</v>
      </c>
      <c r="W995" t="s">
        <v>39</v>
      </c>
      <c r="X995" t="s">
        <v>40</v>
      </c>
      <c r="Y995" t="s">
        <v>41</v>
      </c>
    </row>
    <row r="996" spans="1:25" x14ac:dyDescent="0.3">
      <c r="A996" t="s">
        <v>2069</v>
      </c>
      <c r="B996" s="1">
        <v>45920</v>
      </c>
      <c r="C996" t="s">
        <v>78</v>
      </c>
      <c r="D996" t="s">
        <v>58</v>
      </c>
      <c r="E996" t="s">
        <v>45</v>
      </c>
      <c r="F996" t="s">
        <v>28</v>
      </c>
      <c r="G996" t="s">
        <v>29</v>
      </c>
      <c r="H996" t="s">
        <v>67</v>
      </c>
      <c r="I996">
        <v>7</v>
      </c>
      <c r="J996" t="s">
        <v>2070</v>
      </c>
      <c r="K996">
        <v>65</v>
      </c>
      <c r="L996" t="s">
        <v>32</v>
      </c>
      <c r="M996">
        <v>5</v>
      </c>
      <c r="N996" t="s">
        <v>91</v>
      </c>
      <c r="O996" t="s">
        <v>81</v>
      </c>
      <c r="P996" t="s">
        <v>50</v>
      </c>
      <c r="Q996" s="2">
        <v>29026.05</v>
      </c>
      <c r="R996" s="2">
        <v>501.57</v>
      </c>
      <c r="S996" t="s">
        <v>51</v>
      </c>
      <c r="T996" t="s">
        <v>52</v>
      </c>
      <c r="U996" t="s">
        <v>38</v>
      </c>
      <c r="V996">
        <v>3.9</v>
      </c>
      <c r="W996" t="s">
        <v>39</v>
      </c>
      <c r="X996" t="s">
        <v>40</v>
      </c>
      <c r="Y996" t="s">
        <v>41</v>
      </c>
    </row>
    <row r="997" spans="1:25" x14ac:dyDescent="0.3">
      <c r="A997" t="s">
        <v>2071</v>
      </c>
      <c r="B997" s="1">
        <v>45921</v>
      </c>
      <c r="C997" t="s">
        <v>43</v>
      </c>
      <c r="D997" t="s">
        <v>58</v>
      </c>
      <c r="E997" t="s">
        <v>4085</v>
      </c>
      <c r="F997" t="s">
        <v>60</v>
      </c>
      <c r="G997" t="s">
        <v>29</v>
      </c>
      <c r="H997" t="s">
        <v>46</v>
      </c>
      <c r="I997">
        <v>10</v>
      </c>
      <c r="J997" t="s">
        <v>2072</v>
      </c>
      <c r="K997">
        <v>60</v>
      </c>
      <c r="L997" t="s">
        <v>63</v>
      </c>
      <c r="M997">
        <v>2</v>
      </c>
      <c r="N997" t="s">
        <v>33</v>
      </c>
      <c r="O997" t="s">
        <v>34</v>
      </c>
      <c r="P997" t="s">
        <v>35</v>
      </c>
      <c r="Q997" s="2">
        <v>47263.81</v>
      </c>
      <c r="R997" s="2">
        <v>1816.66</v>
      </c>
      <c r="S997" t="s">
        <v>51</v>
      </c>
      <c r="T997" t="s">
        <v>37</v>
      </c>
      <c r="U997" t="s">
        <v>38</v>
      </c>
      <c r="V997">
        <v>4.2</v>
      </c>
      <c r="W997" t="s">
        <v>39</v>
      </c>
      <c r="X997" t="s">
        <v>40</v>
      </c>
      <c r="Y997" t="s">
        <v>41</v>
      </c>
    </row>
    <row r="998" spans="1:25" x14ac:dyDescent="0.3">
      <c r="A998" t="s">
        <v>2073</v>
      </c>
      <c r="B998" s="1">
        <v>45922</v>
      </c>
      <c r="C998" t="s">
        <v>78</v>
      </c>
      <c r="D998" t="s">
        <v>58</v>
      </c>
      <c r="E998" t="s">
        <v>89</v>
      </c>
      <c r="F998" t="s">
        <v>28</v>
      </c>
      <c r="G998" t="s">
        <v>29</v>
      </c>
      <c r="H998" t="s">
        <v>61</v>
      </c>
      <c r="I998">
        <v>11</v>
      </c>
      <c r="J998" t="s">
        <v>2074</v>
      </c>
      <c r="K998">
        <v>44</v>
      </c>
      <c r="L998" t="s">
        <v>63</v>
      </c>
      <c r="M998">
        <v>5</v>
      </c>
      <c r="N998" t="s">
        <v>64</v>
      </c>
      <c r="O998" t="s">
        <v>69</v>
      </c>
      <c r="P998" t="s">
        <v>35</v>
      </c>
      <c r="Q998" s="2">
        <v>37647.760000000002</v>
      </c>
      <c r="R998" s="2">
        <v>423.78</v>
      </c>
      <c r="S998" t="s">
        <v>51</v>
      </c>
      <c r="T998" t="s">
        <v>52</v>
      </c>
      <c r="U998" t="s">
        <v>38</v>
      </c>
      <c r="V998">
        <v>3.9</v>
      </c>
      <c r="W998" t="s">
        <v>39</v>
      </c>
      <c r="X998" t="s">
        <v>40</v>
      </c>
      <c r="Y998" t="s">
        <v>72</v>
      </c>
    </row>
    <row r="999" spans="1:25" x14ac:dyDescent="0.3">
      <c r="A999" t="s">
        <v>2075</v>
      </c>
      <c r="B999" s="1">
        <v>45923</v>
      </c>
      <c r="C999" t="s">
        <v>117</v>
      </c>
      <c r="D999" t="s">
        <v>4083</v>
      </c>
      <c r="E999" t="s">
        <v>89</v>
      </c>
      <c r="F999" t="s">
        <v>28</v>
      </c>
      <c r="G999" t="s">
        <v>29</v>
      </c>
      <c r="H999" t="s">
        <v>61</v>
      </c>
      <c r="I999">
        <v>4</v>
      </c>
      <c r="J999" t="s">
        <v>2076</v>
      </c>
      <c r="K999">
        <v>53</v>
      </c>
      <c r="L999" t="s">
        <v>32</v>
      </c>
      <c r="M999">
        <v>6</v>
      </c>
      <c r="N999" t="s">
        <v>91</v>
      </c>
      <c r="O999" t="s">
        <v>34</v>
      </c>
      <c r="P999" t="s">
        <v>35</v>
      </c>
      <c r="Q999" s="2">
        <v>46640.43</v>
      </c>
      <c r="R999" s="2">
        <v>2323.6999999999998</v>
      </c>
      <c r="S999" t="s">
        <v>36</v>
      </c>
      <c r="T999" t="s">
        <v>71</v>
      </c>
      <c r="U999" t="s">
        <v>53</v>
      </c>
      <c r="V999">
        <v>2.8</v>
      </c>
      <c r="W999" t="s">
        <v>76</v>
      </c>
      <c r="X999" t="s">
        <v>40</v>
      </c>
      <c r="Y999" t="s">
        <v>41</v>
      </c>
    </row>
    <row r="1000" spans="1:25" x14ac:dyDescent="0.3">
      <c r="A1000" t="s">
        <v>2077</v>
      </c>
      <c r="B1000" s="1">
        <v>45924</v>
      </c>
      <c r="C1000" t="s">
        <v>117</v>
      </c>
      <c r="D1000" t="s">
        <v>4083</v>
      </c>
      <c r="E1000" t="s">
        <v>45</v>
      </c>
      <c r="F1000" t="s">
        <v>28</v>
      </c>
      <c r="G1000" t="s">
        <v>29</v>
      </c>
      <c r="H1000" t="s">
        <v>67</v>
      </c>
      <c r="I1000">
        <v>13</v>
      </c>
      <c r="J1000" t="s">
        <v>2078</v>
      </c>
      <c r="K1000">
        <v>49</v>
      </c>
      <c r="L1000" t="s">
        <v>80</v>
      </c>
      <c r="M1000">
        <v>2</v>
      </c>
      <c r="N1000" t="s">
        <v>33</v>
      </c>
      <c r="O1000" t="s">
        <v>49</v>
      </c>
      <c r="P1000" t="s">
        <v>50</v>
      </c>
      <c r="Q1000" s="2">
        <v>14900.45</v>
      </c>
      <c r="R1000" s="2">
        <v>4214.5200000000004</v>
      </c>
      <c r="S1000" t="s">
        <v>51</v>
      </c>
      <c r="T1000" t="s">
        <v>37</v>
      </c>
      <c r="U1000" t="s">
        <v>83</v>
      </c>
      <c r="V1000">
        <v>1.6</v>
      </c>
      <c r="W1000" t="s">
        <v>124</v>
      </c>
      <c r="X1000" t="s">
        <v>106</v>
      </c>
      <c r="Y1000" t="s">
        <v>41</v>
      </c>
    </row>
    <row r="1001" spans="1:25" x14ac:dyDescent="0.3">
      <c r="A1001" t="s">
        <v>2079</v>
      </c>
      <c r="B1001" s="1">
        <v>45925</v>
      </c>
      <c r="C1001" t="s">
        <v>26</v>
      </c>
      <c r="D1001" t="s">
        <v>26</v>
      </c>
      <c r="E1001" t="s">
        <v>89</v>
      </c>
      <c r="F1001" t="s">
        <v>28</v>
      </c>
      <c r="G1001" t="s">
        <v>29</v>
      </c>
      <c r="H1001" t="s">
        <v>61</v>
      </c>
      <c r="I1001">
        <v>9</v>
      </c>
      <c r="J1001" t="s">
        <v>2080</v>
      </c>
      <c r="K1001">
        <v>18</v>
      </c>
      <c r="L1001" t="s">
        <v>80</v>
      </c>
      <c r="M1001">
        <v>4</v>
      </c>
      <c r="N1001" t="s">
        <v>64</v>
      </c>
      <c r="O1001" t="s">
        <v>34</v>
      </c>
      <c r="P1001" t="s">
        <v>50</v>
      </c>
      <c r="Q1001" s="2">
        <v>18960.66</v>
      </c>
      <c r="R1001" s="2">
        <v>1351.02</v>
      </c>
      <c r="S1001" t="s">
        <v>94</v>
      </c>
      <c r="T1001" t="s">
        <v>37</v>
      </c>
      <c r="U1001" t="s">
        <v>75</v>
      </c>
      <c r="V1001">
        <v>2.2000000000000002</v>
      </c>
      <c r="W1001" t="s">
        <v>76</v>
      </c>
      <c r="X1001" t="s">
        <v>106</v>
      </c>
      <c r="Y1001" t="s">
        <v>72</v>
      </c>
    </row>
    <row r="1002" spans="1:25" x14ac:dyDescent="0.3">
      <c r="A1002" t="s">
        <v>2081</v>
      </c>
      <c r="B1002" s="1">
        <v>45926</v>
      </c>
      <c r="C1002" t="s">
        <v>57</v>
      </c>
      <c r="D1002" t="s">
        <v>44</v>
      </c>
      <c r="E1002" t="s">
        <v>45</v>
      </c>
      <c r="F1002" t="s">
        <v>28</v>
      </c>
      <c r="G1002" t="s">
        <v>29</v>
      </c>
      <c r="H1002" t="s">
        <v>67</v>
      </c>
      <c r="I1002">
        <v>3</v>
      </c>
      <c r="J1002" t="s">
        <v>2082</v>
      </c>
      <c r="K1002">
        <v>33</v>
      </c>
      <c r="L1002" t="s">
        <v>63</v>
      </c>
      <c r="M1002">
        <v>3</v>
      </c>
      <c r="N1002" t="s">
        <v>48</v>
      </c>
      <c r="O1002" t="s">
        <v>49</v>
      </c>
      <c r="P1002" t="s">
        <v>50</v>
      </c>
      <c r="Q1002" s="2">
        <v>8191.11</v>
      </c>
      <c r="R1002" s="2">
        <v>3824.31</v>
      </c>
      <c r="S1002" t="s">
        <v>36</v>
      </c>
      <c r="T1002" t="s">
        <v>52</v>
      </c>
      <c r="U1002" t="s">
        <v>75</v>
      </c>
      <c r="V1002">
        <v>1.8</v>
      </c>
      <c r="W1002" t="s">
        <v>124</v>
      </c>
      <c r="X1002" t="s">
        <v>84</v>
      </c>
      <c r="Y1002" t="s">
        <v>41</v>
      </c>
    </row>
    <row r="1003" spans="1:25" x14ac:dyDescent="0.3">
      <c r="A1003" t="s">
        <v>2083</v>
      </c>
      <c r="B1003" s="1">
        <v>45927</v>
      </c>
      <c r="C1003" t="s">
        <v>26</v>
      </c>
      <c r="D1003" t="s">
        <v>26</v>
      </c>
      <c r="E1003" t="s">
        <v>4085</v>
      </c>
      <c r="F1003" t="s">
        <v>60</v>
      </c>
      <c r="G1003" t="s">
        <v>29</v>
      </c>
      <c r="H1003" t="s">
        <v>46</v>
      </c>
      <c r="I1003">
        <v>3</v>
      </c>
      <c r="J1003" t="s">
        <v>2084</v>
      </c>
      <c r="K1003">
        <v>68</v>
      </c>
      <c r="L1003" t="s">
        <v>80</v>
      </c>
      <c r="M1003">
        <v>1</v>
      </c>
      <c r="N1003" t="s">
        <v>33</v>
      </c>
      <c r="O1003" t="s">
        <v>69</v>
      </c>
      <c r="P1003" t="s">
        <v>35</v>
      </c>
      <c r="Q1003" s="2">
        <v>27495.86</v>
      </c>
      <c r="R1003" s="2">
        <v>917.14</v>
      </c>
      <c r="S1003" t="s">
        <v>51</v>
      </c>
      <c r="T1003" t="s">
        <v>52</v>
      </c>
      <c r="U1003" t="s">
        <v>53</v>
      </c>
      <c r="V1003">
        <v>2.4</v>
      </c>
      <c r="W1003" t="s">
        <v>76</v>
      </c>
      <c r="X1003" t="s">
        <v>84</v>
      </c>
      <c r="Y1003" t="s">
        <v>72</v>
      </c>
    </row>
    <row r="1004" spans="1:25" x14ac:dyDescent="0.3">
      <c r="A1004" t="s">
        <v>2085</v>
      </c>
      <c r="B1004" s="1">
        <v>45928</v>
      </c>
      <c r="C1004" t="s">
        <v>26</v>
      </c>
      <c r="D1004" t="s">
        <v>26</v>
      </c>
      <c r="E1004" t="s">
        <v>45</v>
      </c>
      <c r="F1004" t="s">
        <v>28</v>
      </c>
      <c r="G1004" t="s">
        <v>29</v>
      </c>
      <c r="H1004" t="s">
        <v>67</v>
      </c>
      <c r="I1004">
        <v>6</v>
      </c>
      <c r="J1004" t="s">
        <v>2086</v>
      </c>
      <c r="K1004">
        <v>65</v>
      </c>
      <c r="L1004" t="s">
        <v>80</v>
      </c>
      <c r="M1004">
        <v>5</v>
      </c>
      <c r="N1004" t="s">
        <v>64</v>
      </c>
      <c r="O1004" t="s">
        <v>49</v>
      </c>
      <c r="P1004" t="s">
        <v>82</v>
      </c>
      <c r="Q1004" s="2">
        <v>44326.57</v>
      </c>
      <c r="R1004" s="2">
        <v>3368.67</v>
      </c>
      <c r="S1004" t="s">
        <v>94</v>
      </c>
      <c r="T1004" t="s">
        <v>52</v>
      </c>
      <c r="U1004" t="s">
        <v>83</v>
      </c>
      <c r="V1004">
        <v>3</v>
      </c>
      <c r="W1004" t="s">
        <v>76</v>
      </c>
      <c r="X1004" t="s">
        <v>40</v>
      </c>
      <c r="Y1004" t="s">
        <v>72</v>
      </c>
    </row>
    <row r="1005" spans="1:25" x14ac:dyDescent="0.3">
      <c r="A1005" t="s">
        <v>2087</v>
      </c>
      <c r="B1005" s="1">
        <v>45929</v>
      </c>
      <c r="C1005" t="s">
        <v>26</v>
      </c>
      <c r="D1005" t="s">
        <v>26</v>
      </c>
      <c r="E1005" t="s">
        <v>89</v>
      </c>
      <c r="F1005" t="s">
        <v>28</v>
      </c>
      <c r="G1005" t="s">
        <v>29</v>
      </c>
      <c r="H1005" t="s">
        <v>61</v>
      </c>
      <c r="I1005">
        <v>12</v>
      </c>
      <c r="J1005" t="s">
        <v>2088</v>
      </c>
      <c r="K1005">
        <v>28</v>
      </c>
      <c r="L1005" t="s">
        <v>63</v>
      </c>
      <c r="M1005">
        <v>2</v>
      </c>
      <c r="N1005" t="s">
        <v>64</v>
      </c>
      <c r="O1005" t="s">
        <v>34</v>
      </c>
      <c r="P1005" t="s">
        <v>35</v>
      </c>
      <c r="Q1005" s="2">
        <v>19708.099999999999</v>
      </c>
      <c r="R1005" s="2">
        <v>4577.6899999999996</v>
      </c>
      <c r="S1005" t="s">
        <v>94</v>
      </c>
      <c r="T1005" t="s">
        <v>71</v>
      </c>
      <c r="U1005" t="s">
        <v>38</v>
      </c>
      <c r="V1005">
        <v>4.8</v>
      </c>
      <c r="W1005" t="s">
        <v>103</v>
      </c>
      <c r="X1005" t="s">
        <v>84</v>
      </c>
      <c r="Y1005" t="s">
        <v>41</v>
      </c>
    </row>
    <row r="1006" spans="1:25" x14ac:dyDescent="0.3">
      <c r="A1006" t="s">
        <v>2089</v>
      </c>
      <c r="B1006" s="1">
        <v>45930</v>
      </c>
      <c r="C1006" t="s">
        <v>26</v>
      </c>
      <c r="D1006" t="s">
        <v>26</v>
      </c>
      <c r="E1006" t="s">
        <v>89</v>
      </c>
      <c r="F1006" t="s">
        <v>28</v>
      </c>
      <c r="G1006" t="s">
        <v>29</v>
      </c>
      <c r="H1006" t="s">
        <v>61</v>
      </c>
      <c r="I1006">
        <v>9</v>
      </c>
      <c r="J1006" t="s">
        <v>2090</v>
      </c>
      <c r="K1006">
        <v>43</v>
      </c>
      <c r="L1006" t="s">
        <v>32</v>
      </c>
      <c r="M1006">
        <v>4</v>
      </c>
      <c r="N1006" t="s">
        <v>91</v>
      </c>
      <c r="O1006" t="s">
        <v>34</v>
      </c>
      <c r="P1006" t="s">
        <v>50</v>
      </c>
      <c r="Q1006" s="2">
        <v>10772.69</v>
      </c>
      <c r="R1006" s="2">
        <v>1619.64</v>
      </c>
      <c r="S1006" t="s">
        <v>36</v>
      </c>
      <c r="T1006" t="s">
        <v>52</v>
      </c>
      <c r="U1006" t="s">
        <v>53</v>
      </c>
      <c r="V1006">
        <v>4.8</v>
      </c>
      <c r="W1006" t="s">
        <v>103</v>
      </c>
      <c r="X1006" t="s">
        <v>40</v>
      </c>
      <c r="Y1006" t="s">
        <v>41</v>
      </c>
    </row>
    <row r="1007" spans="1:25" x14ac:dyDescent="0.3">
      <c r="A1007" t="s">
        <v>2091</v>
      </c>
      <c r="B1007" s="1">
        <v>45931</v>
      </c>
      <c r="C1007" t="s">
        <v>43</v>
      </c>
      <c r="D1007" t="s">
        <v>58</v>
      </c>
      <c r="E1007" t="s">
        <v>45</v>
      </c>
      <c r="F1007" t="s">
        <v>28</v>
      </c>
      <c r="G1007" t="s">
        <v>29</v>
      </c>
      <c r="H1007" t="s">
        <v>67</v>
      </c>
      <c r="I1007">
        <v>4</v>
      </c>
      <c r="J1007" t="s">
        <v>2092</v>
      </c>
      <c r="K1007">
        <v>57</v>
      </c>
      <c r="L1007" t="s">
        <v>63</v>
      </c>
      <c r="M1007">
        <v>1</v>
      </c>
      <c r="N1007" t="s">
        <v>33</v>
      </c>
      <c r="O1007" t="s">
        <v>69</v>
      </c>
      <c r="P1007" t="s">
        <v>35</v>
      </c>
      <c r="Q1007" s="2">
        <v>8080.08</v>
      </c>
      <c r="R1007" s="2">
        <v>4502.0600000000004</v>
      </c>
      <c r="S1007" t="s">
        <v>36</v>
      </c>
      <c r="T1007" t="s">
        <v>37</v>
      </c>
      <c r="U1007" t="s">
        <v>53</v>
      </c>
      <c r="V1007">
        <v>4.0999999999999996</v>
      </c>
      <c r="W1007" t="s">
        <v>54</v>
      </c>
      <c r="X1007" t="s">
        <v>106</v>
      </c>
      <c r="Y1007" t="s">
        <v>72</v>
      </c>
    </row>
    <row r="1008" spans="1:25" x14ac:dyDescent="0.3">
      <c r="A1008" t="s">
        <v>2093</v>
      </c>
      <c r="B1008" s="1">
        <v>45932</v>
      </c>
      <c r="C1008" t="s">
        <v>43</v>
      </c>
      <c r="D1008" t="s">
        <v>58</v>
      </c>
      <c r="E1008" t="s">
        <v>45</v>
      </c>
      <c r="F1008" t="s">
        <v>28</v>
      </c>
      <c r="G1008" t="s">
        <v>29</v>
      </c>
      <c r="H1008" t="s">
        <v>67</v>
      </c>
      <c r="I1008">
        <v>13</v>
      </c>
      <c r="J1008" t="s">
        <v>2094</v>
      </c>
      <c r="K1008">
        <v>18</v>
      </c>
      <c r="L1008" t="s">
        <v>63</v>
      </c>
      <c r="M1008">
        <v>7</v>
      </c>
      <c r="N1008" t="s">
        <v>48</v>
      </c>
      <c r="O1008" t="s">
        <v>34</v>
      </c>
      <c r="P1008" t="s">
        <v>70</v>
      </c>
      <c r="Q1008" s="2">
        <v>25137.51</v>
      </c>
      <c r="R1008" s="2">
        <v>2527.1</v>
      </c>
      <c r="S1008" t="s">
        <v>94</v>
      </c>
      <c r="T1008" t="s">
        <v>52</v>
      </c>
      <c r="U1008" t="s">
        <v>38</v>
      </c>
      <c r="V1008">
        <v>4.9000000000000004</v>
      </c>
      <c r="W1008" t="s">
        <v>103</v>
      </c>
      <c r="X1008" t="s">
        <v>55</v>
      </c>
      <c r="Y1008" t="s">
        <v>41</v>
      </c>
    </row>
    <row r="1009" spans="1:25" x14ac:dyDescent="0.3">
      <c r="A1009" t="s">
        <v>2095</v>
      </c>
      <c r="B1009" s="1">
        <v>45933</v>
      </c>
      <c r="C1009" t="s">
        <v>78</v>
      </c>
      <c r="D1009" t="s">
        <v>58</v>
      </c>
      <c r="E1009" t="s">
        <v>45</v>
      </c>
      <c r="F1009" t="s">
        <v>28</v>
      </c>
      <c r="G1009" t="s">
        <v>29</v>
      </c>
      <c r="H1009" t="s">
        <v>67</v>
      </c>
      <c r="I1009">
        <v>4</v>
      </c>
      <c r="J1009" t="s">
        <v>2096</v>
      </c>
      <c r="K1009">
        <v>43</v>
      </c>
      <c r="L1009" t="s">
        <v>63</v>
      </c>
      <c r="M1009">
        <v>4</v>
      </c>
      <c r="N1009" t="s">
        <v>33</v>
      </c>
      <c r="O1009" t="s">
        <v>69</v>
      </c>
      <c r="P1009" t="s">
        <v>35</v>
      </c>
      <c r="Q1009" s="2">
        <v>12380.98</v>
      </c>
      <c r="R1009" s="2">
        <v>1584.03</v>
      </c>
      <c r="S1009" t="s">
        <v>36</v>
      </c>
      <c r="T1009" t="s">
        <v>71</v>
      </c>
      <c r="U1009" t="s">
        <v>53</v>
      </c>
      <c r="V1009">
        <v>5</v>
      </c>
      <c r="W1009" t="s">
        <v>103</v>
      </c>
      <c r="X1009" t="s">
        <v>106</v>
      </c>
      <c r="Y1009" t="s">
        <v>72</v>
      </c>
    </row>
    <row r="1010" spans="1:25" x14ac:dyDescent="0.3">
      <c r="A1010" t="s">
        <v>2097</v>
      </c>
      <c r="B1010" s="1">
        <v>45934</v>
      </c>
      <c r="C1010" t="s">
        <v>117</v>
      </c>
      <c r="D1010" t="s">
        <v>4083</v>
      </c>
      <c r="E1010" t="s">
        <v>4084</v>
      </c>
      <c r="F1010" t="s">
        <v>60</v>
      </c>
      <c r="G1010" t="s">
        <v>29</v>
      </c>
      <c r="H1010" t="s">
        <v>30</v>
      </c>
      <c r="I1010">
        <v>3</v>
      </c>
      <c r="J1010" t="s">
        <v>2098</v>
      </c>
      <c r="K1010">
        <v>45</v>
      </c>
      <c r="L1010" t="s">
        <v>32</v>
      </c>
      <c r="M1010">
        <v>3</v>
      </c>
      <c r="N1010" t="s">
        <v>64</v>
      </c>
      <c r="O1010" t="s">
        <v>69</v>
      </c>
      <c r="P1010" t="s">
        <v>35</v>
      </c>
      <c r="Q1010" s="2">
        <v>20574.68</v>
      </c>
      <c r="R1010" s="2">
        <v>4482.54</v>
      </c>
      <c r="S1010" t="s">
        <v>36</v>
      </c>
      <c r="T1010" t="s">
        <v>52</v>
      </c>
      <c r="U1010" t="s">
        <v>53</v>
      </c>
      <c r="V1010">
        <v>4.5</v>
      </c>
      <c r="W1010" t="s">
        <v>103</v>
      </c>
      <c r="X1010" t="s">
        <v>65</v>
      </c>
      <c r="Y1010" t="s">
        <v>41</v>
      </c>
    </row>
    <row r="1011" spans="1:25" x14ac:dyDescent="0.3">
      <c r="A1011" t="s">
        <v>2099</v>
      </c>
      <c r="B1011" s="1">
        <v>45935</v>
      </c>
      <c r="C1011" t="s">
        <v>26</v>
      </c>
      <c r="D1011" t="s">
        <v>26</v>
      </c>
      <c r="E1011" t="s">
        <v>89</v>
      </c>
      <c r="F1011" t="s">
        <v>28</v>
      </c>
      <c r="G1011" t="s">
        <v>29</v>
      </c>
      <c r="H1011" t="s">
        <v>61</v>
      </c>
      <c r="I1011">
        <v>12</v>
      </c>
      <c r="J1011" t="s">
        <v>2100</v>
      </c>
      <c r="K1011">
        <v>26</v>
      </c>
      <c r="L1011" t="s">
        <v>32</v>
      </c>
      <c r="M1011">
        <v>1</v>
      </c>
      <c r="N1011" t="s">
        <v>48</v>
      </c>
      <c r="O1011" t="s">
        <v>34</v>
      </c>
      <c r="P1011" t="s">
        <v>82</v>
      </c>
      <c r="Q1011" s="2">
        <v>41899.089999999997</v>
      </c>
      <c r="R1011" s="2">
        <v>160.19</v>
      </c>
      <c r="S1011" t="s">
        <v>115</v>
      </c>
      <c r="T1011" t="s">
        <v>52</v>
      </c>
      <c r="U1011" t="s">
        <v>38</v>
      </c>
      <c r="V1011">
        <v>1.3</v>
      </c>
      <c r="W1011" t="s">
        <v>124</v>
      </c>
      <c r="X1011" t="s">
        <v>106</v>
      </c>
      <c r="Y1011" t="s">
        <v>72</v>
      </c>
    </row>
    <row r="1012" spans="1:25" x14ac:dyDescent="0.3">
      <c r="A1012" t="s">
        <v>2101</v>
      </c>
      <c r="B1012" s="1">
        <v>45936</v>
      </c>
      <c r="C1012" t="s">
        <v>78</v>
      </c>
      <c r="D1012" t="s">
        <v>58</v>
      </c>
      <c r="E1012" t="s">
        <v>89</v>
      </c>
      <c r="F1012" t="s">
        <v>28</v>
      </c>
      <c r="G1012" t="s">
        <v>29</v>
      </c>
      <c r="H1012" t="s">
        <v>61</v>
      </c>
      <c r="I1012">
        <v>4</v>
      </c>
      <c r="J1012" t="s">
        <v>2102</v>
      </c>
      <c r="K1012">
        <v>61</v>
      </c>
      <c r="L1012" t="s">
        <v>32</v>
      </c>
      <c r="M1012">
        <v>1</v>
      </c>
      <c r="N1012" t="s">
        <v>64</v>
      </c>
      <c r="O1012" t="s">
        <v>81</v>
      </c>
      <c r="P1012" t="s">
        <v>82</v>
      </c>
      <c r="Q1012" s="2">
        <v>22282.13</v>
      </c>
      <c r="R1012" s="2">
        <v>140.09</v>
      </c>
      <c r="S1012" t="s">
        <v>36</v>
      </c>
      <c r="T1012" t="s">
        <v>37</v>
      </c>
      <c r="U1012" t="s">
        <v>83</v>
      </c>
      <c r="V1012">
        <v>2.7</v>
      </c>
      <c r="W1012" t="s">
        <v>76</v>
      </c>
      <c r="X1012" t="s">
        <v>65</v>
      </c>
      <c r="Y1012" t="s">
        <v>41</v>
      </c>
    </row>
    <row r="1013" spans="1:25" x14ac:dyDescent="0.3">
      <c r="A1013" t="s">
        <v>2103</v>
      </c>
      <c r="B1013" s="1">
        <v>45937</v>
      </c>
      <c r="C1013" t="s">
        <v>117</v>
      </c>
      <c r="D1013" t="s">
        <v>4083</v>
      </c>
      <c r="E1013" t="s">
        <v>4084</v>
      </c>
      <c r="F1013" t="s">
        <v>60</v>
      </c>
      <c r="G1013" t="s">
        <v>29</v>
      </c>
      <c r="H1013" t="s">
        <v>27</v>
      </c>
      <c r="I1013">
        <v>9</v>
      </c>
      <c r="J1013" t="s">
        <v>2104</v>
      </c>
      <c r="K1013">
        <v>39</v>
      </c>
      <c r="L1013" t="s">
        <v>32</v>
      </c>
      <c r="M1013">
        <v>7</v>
      </c>
      <c r="N1013" t="s">
        <v>91</v>
      </c>
      <c r="O1013" t="s">
        <v>49</v>
      </c>
      <c r="P1013" t="s">
        <v>82</v>
      </c>
      <c r="Q1013" s="2">
        <v>32444.19</v>
      </c>
      <c r="R1013" s="2">
        <v>2999.15</v>
      </c>
      <c r="S1013" t="s">
        <v>115</v>
      </c>
      <c r="T1013" t="s">
        <v>52</v>
      </c>
      <c r="U1013" t="s">
        <v>75</v>
      </c>
      <c r="V1013">
        <v>3.1</v>
      </c>
      <c r="W1013" t="s">
        <v>76</v>
      </c>
      <c r="X1013" t="s">
        <v>84</v>
      </c>
      <c r="Y1013" t="s">
        <v>41</v>
      </c>
    </row>
    <row r="1014" spans="1:25" x14ac:dyDescent="0.3">
      <c r="A1014" t="s">
        <v>2105</v>
      </c>
      <c r="B1014" s="1">
        <v>45938</v>
      </c>
      <c r="C1014" t="s">
        <v>57</v>
      </c>
      <c r="D1014" t="s">
        <v>44</v>
      </c>
      <c r="E1014" t="s">
        <v>45</v>
      </c>
      <c r="F1014" t="s">
        <v>28</v>
      </c>
      <c r="G1014" t="s">
        <v>29</v>
      </c>
      <c r="H1014" t="s">
        <v>67</v>
      </c>
      <c r="I1014">
        <v>11</v>
      </c>
      <c r="J1014" t="s">
        <v>2106</v>
      </c>
      <c r="K1014">
        <v>25</v>
      </c>
      <c r="L1014" t="s">
        <v>63</v>
      </c>
      <c r="M1014">
        <v>1</v>
      </c>
      <c r="N1014" t="s">
        <v>33</v>
      </c>
      <c r="O1014" t="s">
        <v>81</v>
      </c>
      <c r="P1014" t="s">
        <v>70</v>
      </c>
      <c r="Q1014" s="2">
        <v>27597.200000000001</v>
      </c>
      <c r="R1014" s="2">
        <v>3983.75</v>
      </c>
      <c r="S1014" t="s">
        <v>36</v>
      </c>
      <c r="T1014" t="s">
        <v>71</v>
      </c>
      <c r="U1014" t="s">
        <v>75</v>
      </c>
      <c r="V1014">
        <v>1.5</v>
      </c>
      <c r="W1014" t="s">
        <v>124</v>
      </c>
      <c r="X1014" t="s">
        <v>106</v>
      </c>
      <c r="Y1014" t="s">
        <v>72</v>
      </c>
    </row>
    <row r="1015" spans="1:25" x14ac:dyDescent="0.3">
      <c r="A1015" t="s">
        <v>2107</v>
      </c>
      <c r="B1015" s="1">
        <v>45939</v>
      </c>
      <c r="C1015" t="s">
        <v>43</v>
      </c>
      <c r="D1015" t="s">
        <v>58</v>
      </c>
      <c r="E1015" t="s">
        <v>4085</v>
      </c>
      <c r="F1015" t="s">
        <v>60</v>
      </c>
      <c r="G1015" t="s">
        <v>29</v>
      </c>
      <c r="H1015" t="s">
        <v>46</v>
      </c>
      <c r="I1015">
        <v>8</v>
      </c>
      <c r="J1015" t="s">
        <v>2108</v>
      </c>
      <c r="K1015">
        <v>66</v>
      </c>
      <c r="L1015" t="s">
        <v>80</v>
      </c>
      <c r="M1015">
        <v>2</v>
      </c>
      <c r="N1015" t="s">
        <v>64</v>
      </c>
      <c r="O1015" t="s">
        <v>69</v>
      </c>
      <c r="P1015" t="s">
        <v>82</v>
      </c>
      <c r="Q1015" s="2">
        <v>37334</v>
      </c>
      <c r="R1015" s="2">
        <v>3757.73</v>
      </c>
      <c r="S1015" t="s">
        <v>36</v>
      </c>
      <c r="T1015" t="s">
        <v>52</v>
      </c>
      <c r="U1015" t="s">
        <v>38</v>
      </c>
      <c r="V1015">
        <v>4.2</v>
      </c>
      <c r="W1015" t="s">
        <v>54</v>
      </c>
      <c r="X1015" t="s">
        <v>55</v>
      </c>
      <c r="Y1015" t="s">
        <v>41</v>
      </c>
    </row>
    <row r="1016" spans="1:25" x14ac:dyDescent="0.3">
      <c r="A1016" t="s">
        <v>2109</v>
      </c>
      <c r="B1016" s="1">
        <v>45940</v>
      </c>
      <c r="C1016" t="s">
        <v>117</v>
      </c>
      <c r="D1016" t="s">
        <v>4083</v>
      </c>
      <c r="E1016" t="s">
        <v>45</v>
      </c>
      <c r="F1016" t="s">
        <v>28</v>
      </c>
      <c r="G1016" t="s">
        <v>29</v>
      </c>
      <c r="H1016" t="s">
        <v>67</v>
      </c>
      <c r="I1016">
        <v>12</v>
      </c>
      <c r="J1016" t="s">
        <v>2110</v>
      </c>
      <c r="K1016">
        <v>59</v>
      </c>
      <c r="L1016" t="s">
        <v>63</v>
      </c>
      <c r="M1016">
        <v>1</v>
      </c>
      <c r="N1016" t="s">
        <v>64</v>
      </c>
      <c r="O1016" t="s">
        <v>49</v>
      </c>
      <c r="P1016" t="s">
        <v>70</v>
      </c>
      <c r="Q1016" s="2">
        <v>12027.42</v>
      </c>
      <c r="R1016" s="2">
        <v>397.35</v>
      </c>
      <c r="S1016" t="s">
        <v>94</v>
      </c>
      <c r="T1016" t="s">
        <v>52</v>
      </c>
      <c r="U1016" t="s">
        <v>38</v>
      </c>
      <c r="V1016">
        <v>1.6</v>
      </c>
      <c r="W1016" t="s">
        <v>124</v>
      </c>
      <c r="X1016" t="s">
        <v>106</v>
      </c>
      <c r="Y1016" t="s">
        <v>41</v>
      </c>
    </row>
    <row r="1017" spans="1:25" x14ac:dyDescent="0.3">
      <c r="A1017" t="s">
        <v>2111</v>
      </c>
      <c r="B1017" s="1">
        <v>45941</v>
      </c>
      <c r="C1017" t="s">
        <v>57</v>
      </c>
      <c r="D1017" t="s">
        <v>44</v>
      </c>
      <c r="E1017" t="s">
        <v>45</v>
      </c>
      <c r="F1017" t="s">
        <v>28</v>
      </c>
      <c r="G1017" t="s">
        <v>29</v>
      </c>
      <c r="H1017" t="s">
        <v>67</v>
      </c>
      <c r="I1017">
        <v>4</v>
      </c>
      <c r="J1017" t="s">
        <v>2112</v>
      </c>
      <c r="K1017">
        <v>44</v>
      </c>
      <c r="L1017" t="s">
        <v>32</v>
      </c>
      <c r="M1017">
        <v>4</v>
      </c>
      <c r="N1017" t="s">
        <v>33</v>
      </c>
      <c r="O1017" t="s">
        <v>81</v>
      </c>
      <c r="P1017" t="s">
        <v>50</v>
      </c>
      <c r="Q1017" s="2">
        <v>46419.85</v>
      </c>
      <c r="R1017" s="2">
        <v>4751.26</v>
      </c>
      <c r="S1017" t="s">
        <v>115</v>
      </c>
      <c r="T1017" t="s">
        <v>37</v>
      </c>
      <c r="U1017" t="s">
        <v>83</v>
      </c>
      <c r="V1017">
        <v>2.5</v>
      </c>
      <c r="W1017" t="s">
        <v>76</v>
      </c>
      <c r="X1017" t="s">
        <v>106</v>
      </c>
      <c r="Y1017" t="s">
        <v>72</v>
      </c>
    </row>
    <row r="1018" spans="1:25" x14ac:dyDescent="0.3">
      <c r="A1018" t="s">
        <v>2113</v>
      </c>
      <c r="B1018" s="1">
        <v>45942</v>
      </c>
      <c r="C1018" t="s">
        <v>117</v>
      </c>
      <c r="D1018" t="s">
        <v>4083</v>
      </c>
      <c r="E1018" t="s">
        <v>4084</v>
      </c>
      <c r="F1018" t="s">
        <v>60</v>
      </c>
      <c r="G1018" t="s">
        <v>29</v>
      </c>
      <c r="H1018" t="s">
        <v>27</v>
      </c>
      <c r="I1018">
        <v>14</v>
      </c>
      <c r="J1018" t="s">
        <v>2114</v>
      </c>
      <c r="K1018">
        <v>56</v>
      </c>
      <c r="L1018" t="s">
        <v>80</v>
      </c>
      <c r="M1018">
        <v>2</v>
      </c>
      <c r="N1018" t="s">
        <v>48</v>
      </c>
      <c r="O1018" t="s">
        <v>34</v>
      </c>
      <c r="P1018" t="s">
        <v>82</v>
      </c>
      <c r="Q1018" s="2">
        <v>33963.480000000003</v>
      </c>
      <c r="R1018" s="2">
        <v>3515.32</v>
      </c>
      <c r="S1018" t="s">
        <v>36</v>
      </c>
      <c r="T1018" t="s">
        <v>52</v>
      </c>
      <c r="U1018" t="s">
        <v>53</v>
      </c>
      <c r="V1018">
        <v>1.3</v>
      </c>
      <c r="W1018" t="s">
        <v>124</v>
      </c>
      <c r="X1018" t="s">
        <v>106</v>
      </c>
      <c r="Y1018" t="s">
        <v>72</v>
      </c>
    </row>
    <row r="1019" spans="1:25" x14ac:dyDescent="0.3">
      <c r="A1019" t="s">
        <v>2115</v>
      </c>
      <c r="B1019" s="1">
        <v>45943</v>
      </c>
      <c r="C1019" t="s">
        <v>43</v>
      </c>
      <c r="D1019" t="s">
        <v>58</v>
      </c>
      <c r="E1019" t="s">
        <v>89</v>
      </c>
      <c r="F1019" t="s">
        <v>28</v>
      </c>
      <c r="G1019" t="s">
        <v>29</v>
      </c>
      <c r="H1019" t="s">
        <v>61</v>
      </c>
      <c r="I1019">
        <v>12</v>
      </c>
      <c r="J1019" t="s">
        <v>2116</v>
      </c>
      <c r="K1019">
        <v>36</v>
      </c>
      <c r="L1019" t="s">
        <v>63</v>
      </c>
      <c r="M1019">
        <v>1</v>
      </c>
      <c r="N1019" t="s">
        <v>64</v>
      </c>
      <c r="O1019" t="s">
        <v>81</v>
      </c>
      <c r="P1019" t="s">
        <v>35</v>
      </c>
      <c r="Q1019" s="2">
        <v>17192.919999999998</v>
      </c>
      <c r="R1019" s="2">
        <v>4745.5600000000004</v>
      </c>
      <c r="S1019" t="s">
        <v>51</v>
      </c>
      <c r="T1019" t="s">
        <v>37</v>
      </c>
      <c r="U1019" t="s">
        <v>83</v>
      </c>
      <c r="V1019">
        <v>3.1</v>
      </c>
      <c r="W1019" t="s">
        <v>76</v>
      </c>
      <c r="X1019" t="s">
        <v>40</v>
      </c>
      <c r="Y1019" t="s">
        <v>72</v>
      </c>
    </row>
    <row r="1020" spans="1:25" x14ac:dyDescent="0.3">
      <c r="A1020" t="s">
        <v>2117</v>
      </c>
      <c r="B1020" s="1">
        <v>45944</v>
      </c>
      <c r="C1020" t="s">
        <v>43</v>
      </c>
      <c r="D1020" t="s">
        <v>58</v>
      </c>
      <c r="E1020" t="s">
        <v>45</v>
      </c>
      <c r="F1020" t="s">
        <v>28</v>
      </c>
      <c r="G1020" t="s">
        <v>29</v>
      </c>
      <c r="H1020" t="s">
        <v>67</v>
      </c>
      <c r="I1020">
        <v>12</v>
      </c>
      <c r="J1020" t="s">
        <v>2118</v>
      </c>
      <c r="K1020">
        <v>42</v>
      </c>
      <c r="L1020" t="s">
        <v>80</v>
      </c>
      <c r="M1020">
        <v>4</v>
      </c>
      <c r="N1020" t="s">
        <v>33</v>
      </c>
      <c r="O1020" t="s">
        <v>49</v>
      </c>
      <c r="P1020" t="s">
        <v>35</v>
      </c>
      <c r="Q1020" s="2">
        <v>10546.42</v>
      </c>
      <c r="R1020" s="2">
        <v>1645.49</v>
      </c>
      <c r="S1020" t="s">
        <v>36</v>
      </c>
      <c r="T1020" t="s">
        <v>37</v>
      </c>
      <c r="U1020" t="s">
        <v>53</v>
      </c>
      <c r="V1020">
        <v>3.4</v>
      </c>
      <c r="W1020" t="s">
        <v>39</v>
      </c>
      <c r="X1020" t="s">
        <v>106</v>
      </c>
      <c r="Y1020" t="s">
        <v>41</v>
      </c>
    </row>
    <row r="1021" spans="1:25" x14ac:dyDescent="0.3">
      <c r="A1021" t="s">
        <v>2119</v>
      </c>
      <c r="B1021" s="1">
        <v>45945</v>
      </c>
      <c r="C1021" t="s">
        <v>78</v>
      </c>
      <c r="D1021" t="s">
        <v>58</v>
      </c>
      <c r="E1021" t="s">
        <v>89</v>
      </c>
      <c r="F1021" t="s">
        <v>28</v>
      </c>
      <c r="G1021" t="s">
        <v>29</v>
      </c>
      <c r="H1021" t="s">
        <v>61</v>
      </c>
      <c r="I1021">
        <v>11</v>
      </c>
      <c r="J1021" t="s">
        <v>2120</v>
      </c>
      <c r="K1021">
        <v>55</v>
      </c>
      <c r="L1021" t="s">
        <v>32</v>
      </c>
      <c r="M1021">
        <v>4</v>
      </c>
      <c r="N1021" t="s">
        <v>91</v>
      </c>
      <c r="O1021" t="s">
        <v>49</v>
      </c>
      <c r="P1021" t="s">
        <v>70</v>
      </c>
      <c r="Q1021" s="2">
        <v>11737.65</v>
      </c>
      <c r="R1021" s="2">
        <v>3469.7</v>
      </c>
      <c r="S1021" t="s">
        <v>94</v>
      </c>
      <c r="T1021" t="s">
        <v>52</v>
      </c>
      <c r="U1021" t="s">
        <v>53</v>
      </c>
      <c r="V1021">
        <v>3.9</v>
      </c>
      <c r="W1021" t="s">
        <v>39</v>
      </c>
      <c r="X1021" t="s">
        <v>106</v>
      </c>
      <c r="Y1021" t="s">
        <v>41</v>
      </c>
    </row>
    <row r="1022" spans="1:25" x14ac:dyDescent="0.3">
      <c r="A1022" t="s">
        <v>2121</v>
      </c>
      <c r="B1022" s="1">
        <v>45946</v>
      </c>
      <c r="C1022" t="s">
        <v>26</v>
      </c>
      <c r="D1022" t="s">
        <v>26</v>
      </c>
      <c r="E1022" t="s">
        <v>120</v>
      </c>
      <c r="F1022" t="s">
        <v>28</v>
      </c>
      <c r="G1022" t="s">
        <v>29</v>
      </c>
      <c r="H1022" t="s">
        <v>86</v>
      </c>
      <c r="I1022">
        <v>9</v>
      </c>
      <c r="J1022" t="s">
        <v>2122</v>
      </c>
      <c r="K1022">
        <v>38</v>
      </c>
      <c r="L1022" t="s">
        <v>80</v>
      </c>
      <c r="M1022">
        <v>5</v>
      </c>
      <c r="N1022" t="s">
        <v>91</v>
      </c>
      <c r="O1022" t="s">
        <v>49</v>
      </c>
      <c r="P1022" t="s">
        <v>82</v>
      </c>
      <c r="Q1022" s="2">
        <v>40219.83</v>
      </c>
      <c r="R1022" s="2">
        <v>4299.6899999999996</v>
      </c>
      <c r="S1022" t="s">
        <v>94</v>
      </c>
      <c r="T1022" t="s">
        <v>37</v>
      </c>
      <c r="U1022" t="s">
        <v>83</v>
      </c>
      <c r="V1022">
        <v>2.4</v>
      </c>
      <c r="W1022" t="s">
        <v>76</v>
      </c>
      <c r="X1022" t="s">
        <v>55</v>
      </c>
      <c r="Y1022" t="s">
        <v>72</v>
      </c>
    </row>
    <row r="1023" spans="1:25" x14ac:dyDescent="0.3">
      <c r="A1023" t="s">
        <v>2123</v>
      </c>
      <c r="B1023" s="1">
        <v>45947</v>
      </c>
      <c r="C1023" t="s">
        <v>117</v>
      </c>
      <c r="D1023" t="s">
        <v>4083</v>
      </c>
      <c r="E1023" t="s">
        <v>89</v>
      </c>
      <c r="F1023" t="s">
        <v>28</v>
      </c>
      <c r="G1023" t="s">
        <v>29</v>
      </c>
      <c r="H1023" t="s">
        <v>61</v>
      </c>
      <c r="I1023">
        <v>13</v>
      </c>
      <c r="J1023" t="s">
        <v>2124</v>
      </c>
      <c r="K1023">
        <v>41</v>
      </c>
      <c r="L1023" t="s">
        <v>80</v>
      </c>
      <c r="M1023">
        <v>4</v>
      </c>
      <c r="N1023" t="s">
        <v>33</v>
      </c>
      <c r="O1023" t="s">
        <v>49</v>
      </c>
      <c r="P1023" t="s">
        <v>35</v>
      </c>
      <c r="Q1023" s="2">
        <v>31464.95</v>
      </c>
      <c r="R1023" s="2">
        <v>1902.32</v>
      </c>
      <c r="S1023" t="s">
        <v>94</v>
      </c>
      <c r="T1023" t="s">
        <v>37</v>
      </c>
      <c r="U1023" t="s">
        <v>38</v>
      </c>
      <c r="V1023">
        <v>3.4</v>
      </c>
      <c r="W1023" t="s">
        <v>76</v>
      </c>
      <c r="X1023" t="s">
        <v>65</v>
      </c>
      <c r="Y1023" t="s">
        <v>72</v>
      </c>
    </row>
    <row r="1024" spans="1:25" x14ac:dyDescent="0.3">
      <c r="A1024" t="s">
        <v>2125</v>
      </c>
      <c r="B1024" s="1">
        <v>45948</v>
      </c>
      <c r="C1024" t="s">
        <v>117</v>
      </c>
      <c r="D1024" t="s">
        <v>4083</v>
      </c>
      <c r="E1024" t="s">
        <v>4085</v>
      </c>
      <c r="F1024" t="s">
        <v>60</v>
      </c>
      <c r="G1024" t="s">
        <v>29</v>
      </c>
      <c r="H1024" t="s">
        <v>46</v>
      </c>
      <c r="I1024">
        <v>3</v>
      </c>
      <c r="J1024" t="s">
        <v>2126</v>
      </c>
      <c r="K1024">
        <v>41</v>
      </c>
      <c r="L1024" t="s">
        <v>32</v>
      </c>
      <c r="M1024">
        <v>7</v>
      </c>
      <c r="N1024" t="s">
        <v>64</v>
      </c>
      <c r="O1024" t="s">
        <v>81</v>
      </c>
      <c r="P1024" t="s">
        <v>50</v>
      </c>
      <c r="Q1024" s="2">
        <v>22134.12</v>
      </c>
      <c r="R1024" s="2">
        <v>4824.3</v>
      </c>
      <c r="S1024" t="s">
        <v>115</v>
      </c>
      <c r="T1024" t="s">
        <v>52</v>
      </c>
      <c r="U1024" t="s">
        <v>38</v>
      </c>
      <c r="V1024">
        <v>3.9</v>
      </c>
      <c r="W1024" t="s">
        <v>39</v>
      </c>
      <c r="X1024" t="s">
        <v>65</v>
      </c>
      <c r="Y1024" t="s">
        <v>41</v>
      </c>
    </row>
    <row r="1025" spans="1:25" x14ac:dyDescent="0.3">
      <c r="A1025" t="s">
        <v>2127</v>
      </c>
      <c r="B1025" s="1">
        <v>45949</v>
      </c>
      <c r="C1025" t="s">
        <v>57</v>
      </c>
      <c r="D1025" t="s">
        <v>44</v>
      </c>
      <c r="E1025" t="s">
        <v>4085</v>
      </c>
      <c r="F1025" t="s">
        <v>60</v>
      </c>
      <c r="G1025" t="s">
        <v>29</v>
      </c>
      <c r="H1025" t="s">
        <v>46</v>
      </c>
      <c r="I1025">
        <v>14</v>
      </c>
      <c r="J1025" t="s">
        <v>2128</v>
      </c>
      <c r="K1025">
        <v>36</v>
      </c>
      <c r="L1025" t="s">
        <v>80</v>
      </c>
      <c r="M1025">
        <v>6</v>
      </c>
      <c r="N1025" t="s">
        <v>33</v>
      </c>
      <c r="O1025" t="s">
        <v>34</v>
      </c>
      <c r="P1025" t="s">
        <v>82</v>
      </c>
      <c r="Q1025" s="2">
        <v>19980.54</v>
      </c>
      <c r="R1025" s="2">
        <v>1324.96</v>
      </c>
      <c r="S1025" t="s">
        <v>115</v>
      </c>
      <c r="T1025" t="s">
        <v>52</v>
      </c>
      <c r="U1025" t="s">
        <v>83</v>
      </c>
      <c r="V1025">
        <v>4</v>
      </c>
      <c r="W1025" t="s">
        <v>54</v>
      </c>
      <c r="X1025" t="s">
        <v>55</v>
      </c>
      <c r="Y1025" t="s">
        <v>72</v>
      </c>
    </row>
    <row r="1026" spans="1:25" x14ac:dyDescent="0.3">
      <c r="A1026" t="s">
        <v>2129</v>
      </c>
      <c r="B1026" s="1">
        <v>45950</v>
      </c>
      <c r="C1026" t="s">
        <v>43</v>
      </c>
      <c r="D1026" t="s">
        <v>58</v>
      </c>
      <c r="E1026" t="s">
        <v>45</v>
      </c>
      <c r="F1026" t="s">
        <v>28</v>
      </c>
      <c r="G1026" t="s">
        <v>29</v>
      </c>
      <c r="H1026" t="s">
        <v>67</v>
      </c>
      <c r="I1026">
        <v>11</v>
      </c>
      <c r="J1026" t="s">
        <v>2130</v>
      </c>
      <c r="K1026">
        <v>67</v>
      </c>
      <c r="L1026" t="s">
        <v>63</v>
      </c>
      <c r="M1026">
        <v>3</v>
      </c>
      <c r="N1026" t="s">
        <v>33</v>
      </c>
      <c r="O1026" t="s">
        <v>34</v>
      </c>
      <c r="P1026" t="s">
        <v>50</v>
      </c>
      <c r="Q1026" s="2">
        <v>43509.11</v>
      </c>
      <c r="R1026" s="2">
        <v>1578.07</v>
      </c>
      <c r="S1026" t="s">
        <v>115</v>
      </c>
      <c r="T1026" t="s">
        <v>71</v>
      </c>
      <c r="U1026" t="s">
        <v>53</v>
      </c>
      <c r="V1026">
        <v>2.2000000000000002</v>
      </c>
      <c r="W1026" t="s">
        <v>76</v>
      </c>
      <c r="X1026" t="s">
        <v>84</v>
      </c>
      <c r="Y1026" t="s">
        <v>72</v>
      </c>
    </row>
    <row r="1027" spans="1:25" x14ac:dyDescent="0.3">
      <c r="A1027" t="s">
        <v>2131</v>
      </c>
      <c r="B1027" s="1">
        <v>45951</v>
      </c>
      <c r="C1027" t="s">
        <v>117</v>
      </c>
      <c r="D1027" t="s">
        <v>4083</v>
      </c>
      <c r="E1027" t="s">
        <v>89</v>
      </c>
      <c r="F1027" t="s">
        <v>28</v>
      </c>
      <c r="G1027" t="s">
        <v>29</v>
      </c>
      <c r="H1027" t="s">
        <v>61</v>
      </c>
      <c r="I1027">
        <v>4</v>
      </c>
      <c r="J1027" t="s">
        <v>2132</v>
      </c>
      <c r="K1027">
        <v>64</v>
      </c>
      <c r="L1027" t="s">
        <v>80</v>
      </c>
      <c r="M1027">
        <v>1</v>
      </c>
      <c r="N1027" t="s">
        <v>64</v>
      </c>
      <c r="O1027" t="s">
        <v>49</v>
      </c>
      <c r="P1027" t="s">
        <v>35</v>
      </c>
      <c r="Q1027" s="2">
        <v>44364.31</v>
      </c>
      <c r="R1027" s="2">
        <v>4601.6400000000003</v>
      </c>
      <c r="S1027" t="s">
        <v>51</v>
      </c>
      <c r="T1027" t="s">
        <v>71</v>
      </c>
      <c r="U1027" t="s">
        <v>53</v>
      </c>
      <c r="V1027">
        <v>1.3</v>
      </c>
      <c r="W1027" t="s">
        <v>124</v>
      </c>
      <c r="X1027" t="s">
        <v>106</v>
      </c>
      <c r="Y1027" t="s">
        <v>72</v>
      </c>
    </row>
    <row r="1028" spans="1:25" x14ac:dyDescent="0.3">
      <c r="A1028" t="s">
        <v>2133</v>
      </c>
      <c r="B1028" s="1">
        <v>45952</v>
      </c>
      <c r="C1028" t="s">
        <v>43</v>
      </c>
      <c r="D1028" t="s">
        <v>58</v>
      </c>
      <c r="E1028" t="s">
        <v>45</v>
      </c>
      <c r="F1028" t="s">
        <v>28</v>
      </c>
      <c r="G1028" t="s">
        <v>29</v>
      </c>
      <c r="H1028" t="s">
        <v>67</v>
      </c>
      <c r="I1028">
        <v>6</v>
      </c>
      <c r="J1028" t="s">
        <v>2134</v>
      </c>
      <c r="K1028">
        <v>19</v>
      </c>
      <c r="L1028" t="s">
        <v>63</v>
      </c>
      <c r="M1028">
        <v>7</v>
      </c>
      <c r="N1028" t="s">
        <v>48</v>
      </c>
      <c r="O1028" t="s">
        <v>34</v>
      </c>
      <c r="P1028" t="s">
        <v>82</v>
      </c>
      <c r="Q1028" s="2">
        <v>31156.79</v>
      </c>
      <c r="R1028" s="2">
        <v>4848.3</v>
      </c>
      <c r="S1028" t="s">
        <v>115</v>
      </c>
      <c r="T1028" t="s">
        <v>37</v>
      </c>
      <c r="U1028" t="s">
        <v>53</v>
      </c>
      <c r="V1028">
        <v>1.2</v>
      </c>
      <c r="W1028" t="s">
        <v>124</v>
      </c>
      <c r="X1028" t="s">
        <v>84</v>
      </c>
      <c r="Y1028" t="s">
        <v>41</v>
      </c>
    </row>
    <row r="1029" spans="1:25" x14ac:dyDescent="0.3">
      <c r="A1029" t="s">
        <v>2135</v>
      </c>
      <c r="B1029" s="1">
        <v>45953</v>
      </c>
      <c r="C1029" t="s">
        <v>117</v>
      </c>
      <c r="D1029" t="s">
        <v>4083</v>
      </c>
      <c r="E1029" t="s">
        <v>4084</v>
      </c>
      <c r="F1029" t="s">
        <v>60</v>
      </c>
      <c r="G1029" t="s">
        <v>29</v>
      </c>
      <c r="H1029" t="s">
        <v>30</v>
      </c>
      <c r="I1029">
        <v>11</v>
      </c>
      <c r="J1029" t="s">
        <v>2136</v>
      </c>
      <c r="K1029">
        <v>31</v>
      </c>
      <c r="L1029" t="s">
        <v>80</v>
      </c>
      <c r="M1029">
        <v>1</v>
      </c>
      <c r="N1029" t="s">
        <v>48</v>
      </c>
      <c r="O1029" t="s">
        <v>81</v>
      </c>
      <c r="P1029" t="s">
        <v>70</v>
      </c>
      <c r="Q1029" s="2">
        <v>28604.48</v>
      </c>
      <c r="R1029" s="2">
        <v>1425.98</v>
      </c>
      <c r="S1029" t="s">
        <v>94</v>
      </c>
      <c r="T1029" t="s">
        <v>37</v>
      </c>
      <c r="U1029" t="s">
        <v>53</v>
      </c>
      <c r="V1029">
        <v>4.0999999999999996</v>
      </c>
      <c r="W1029" t="s">
        <v>54</v>
      </c>
      <c r="X1029" t="s">
        <v>55</v>
      </c>
      <c r="Y1029" t="s">
        <v>41</v>
      </c>
    </row>
    <row r="1030" spans="1:25" x14ac:dyDescent="0.3">
      <c r="A1030" t="s">
        <v>2137</v>
      </c>
      <c r="B1030" s="1">
        <v>45954</v>
      </c>
      <c r="C1030" t="s">
        <v>78</v>
      </c>
      <c r="D1030" t="s">
        <v>58</v>
      </c>
      <c r="E1030" t="s">
        <v>4085</v>
      </c>
      <c r="F1030" t="s">
        <v>60</v>
      </c>
      <c r="G1030" t="s">
        <v>29</v>
      </c>
      <c r="H1030" t="s">
        <v>59</v>
      </c>
      <c r="I1030">
        <v>6</v>
      </c>
      <c r="J1030" t="s">
        <v>2138</v>
      </c>
      <c r="K1030">
        <v>49</v>
      </c>
      <c r="L1030" t="s">
        <v>80</v>
      </c>
      <c r="M1030">
        <v>1</v>
      </c>
      <c r="N1030" t="s">
        <v>91</v>
      </c>
      <c r="O1030" t="s">
        <v>34</v>
      </c>
      <c r="P1030" t="s">
        <v>35</v>
      </c>
      <c r="Q1030" s="2">
        <v>41740.160000000003</v>
      </c>
      <c r="R1030" s="2">
        <v>681.95</v>
      </c>
      <c r="S1030" t="s">
        <v>115</v>
      </c>
      <c r="T1030" t="s">
        <v>52</v>
      </c>
      <c r="U1030" t="s">
        <v>83</v>
      </c>
      <c r="V1030">
        <v>2.5</v>
      </c>
      <c r="W1030" t="s">
        <v>76</v>
      </c>
      <c r="X1030" t="s">
        <v>84</v>
      </c>
      <c r="Y1030" t="s">
        <v>72</v>
      </c>
    </row>
    <row r="1031" spans="1:25" x14ac:dyDescent="0.3">
      <c r="A1031" t="s">
        <v>2139</v>
      </c>
      <c r="B1031" s="1">
        <v>45955</v>
      </c>
      <c r="C1031" t="s">
        <v>26</v>
      </c>
      <c r="D1031" t="s">
        <v>26</v>
      </c>
      <c r="E1031" t="s">
        <v>45</v>
      </c>
      <c r="F1031" t="s">
        <v>28</v>
      </c>
      <c r="G1031" t="s">
        <v>29</v>
      </c>
      <c r="H1031" t="s">
        <v>67</v>
      </c>
      <c r="I1031">
        <v>5</v>
      </c>
      <c r="J1031" t="s">
        <v>2140</v>
      </c>
      <c r="K1031">
        <v>59</v>
      </c>
      <c r="L1031" t="s">
        <v>32</v>
      </c>
      <c r="M1031">
        <v>4</v>
      </c>
      <c r="N1031" t="s">
        <v>48</v>
      </c>
      <c r="O1031" t="s">
        <v>69</v>
      </c>
      <c r="P1031" t="s">
        <v>50</v>
      </c>
      <c r="Q1031" s="2">
        <v>38720.080000000002</v>
      </c>
      <c r="R1031" s="2">
        <v>3795.28</v>
      </c>
      <c r="S1031" t="s">
        <v>115</v>
      </c>
      <c r="T1031" t="s">
        <v>71</v>
      </c>
      <c r="U1031" t="s">
        <v>75</v>
      </c>
      <c r="V1031">
        <v>1.5</v>
      </c>
      <c r="W1031" t="s">
        <v>124</v>
      </c>
      <c r="X1031" t="s">
        <v>65</v>
      </c>
      <c r="Y1031" t="s">
        <v>41</v>
      </c>
    </row>
    <row r="1032" spans="1:25" x14ac:dyDescent="0.3">
      <c r="A1032" t="s">
        <v>2141</v>
      </c>
      <c r="B1032" s="1">
        <v>45956</v>
      </c>
      <c r="C1032" t="s">
        <v>117</v>
      </c>
      <c r="D1032" t="s">
        <v>4083</v>
      </c>
      <c r="E1032" t="s">
        <v>4084</v>
      </c>
      <c r="F1032" t="s">
        <v>60</v>
      </c>
      <c r="G1032" t="s">
        <v>29</v>
      </c>
      <c r="H1032" t="s">
        <v>27</v>
      </c>
      <c r="I1032">
        <v>3</v>
      </c>
      <c r="J1032" t="s">
        <v>2142</v>
      </c>
      <c r="K1032">
        <v>49</v>
      </c>
      <c r="L1032" t="s">
        <v>32</v>
      </c>
      <c r="M1032">
        <v>4</v>
      </c>
      <c r="N1032" t="s">
        <v>33</v>
      </c>
      <c r="O1032" t="s">
        <v>34</v>
      </c>
      <c r="P1032" t="s">
        <v>82</v>
      </c>
      <c r="Q1032" s="2">
        <v>23014.63</v>
      </c>
      <c r="R1032" s="2">
        <v>4648.33</v>
      </c>
      <c r="S1032" t="s">
        <v>36</v>
      </c>
      <c r="T1032" t="s">
        <v>71</v>
      </c>
      <c r="U1032" t="s">
        <v>38</v>
      </c>
      <c r="V1032">
        <v>1.7</v>
      </c>
      <c r="W1032" t="s">
        <v>124</v>
      </c>
      <c r="X1032" t="s">
        <v>40</v>
      </c>
      <c r="Y1032" t="s">
        <v>41</v>
      </c>
    </row>
    <row r="1033" spans="1:25" x14ac:dyDescent="0.3">
      <c r="A1033" t="s">
        <v>2143</v>
      </c>
      <c r="B1033" s="1">
        <v>45957</v>
      </c>
      <c r="C1033" t="s">
        <v>43</v>
      </c>
      <c r="D1033" t="s">
        <v>58</v>
      </c>
      <c r="E1033" t="s">
        <v>45</v>
      </c>
      <c r="F1033" t="s">
        <v>28</v>
      </c>
      <c r="G1033" t="s">
        <v>29</v>
      </c>
      <c r="H1033" t="s">
        <v>67</v>
      </c>
      <c r="I1033">
        <v>9</v>
      </c>
      <c r="J1033" t="s">
        <v>2144</v>
      </c>
      <c r="K1033">
        <v>45</v>
      </c>
      <c r="L1033" t="s">
        <v>63</v>
      </c>
      <c r="M1033">
        <v>1</v>
      </c>
      <c r="N1033" t="s">
        <v>64</v>
      </c>
      <c r="O1033" t="s">
        <v>49</v>
      </c>
      <c r="P1033" t="s">
        <v>50</v>
      </c>
      <c r="Q1033" s="2">
        <v>8723.24</v>
      </c>
      <c r="R1033" s="2">
        <v>3003.57</v>
      </c>
      <c r="S1033" t="s">
        <v>115</v>
      </c>
      <c r="T1033" t="s">
        <v>52</v>
      </c>
      <c r="U1033" t="s">
        <v>38</v>
      </c>
      <c r="V1033">
        <v>4.0999999999999996</v>
      </c>
      <c r="W1033" t="s">
        <v>39</v>
      </c>
      <c r="X1033" t="s">
        <v>84</v>
      </c>
      <c r="Y1033" t="s">
        <v>72</v>
      </c>
    </row>
    <row r="1034" spans="1:25" x14ac:dyDescent="0.3">
      <c r="A1034" t="s">
        <v>2145</v>
      </c>
      <c r="B1034" s="1">
        <v>45958</v>
      </c>
      <c r="C1034" t="s">
        <v>78</v>
      </c>
      <c r="D1034" t="s">
        <v>58</v>
      </c>
      <c r="E1034" t="s">
        <v>89</v>
      </c>
      <c r="F1034" t="s">
        <v>28</v>
      </c>
      <c r="G1034" t="s">
        <v>29</v>
      </c>
      <c r="H1034" t="s">
        <v>61</v>
      </c>
      <c r="I1034">
        <v>8</v>
      </c>
      <c r="J1034" t="s">
        <v>2146</v>
      </c>
      <c r="K1034">
        <v>65</v>
      </c>
      <c r="L1034" t="s">
        <v>32</v>
      </c>
      <c r="M1034">
        <v>6</v>
      </c>
      <c r="N1034" t="s">
        <v>91</v>
      </c>
      <c r="O1034" t="s">
        <v>34</v>
      </c>
      <c r="P1034" t="s">
        <v>50</v>
      </c>
      <c r="Q1034" s="2">
        <v>39582.5</v>
      </c>
      <c r="R1034" s="2">
        <v>3172.59</v>
      </c>
      <c r="S1034" t="s">
        <v>36</v>
      </c>
      <c r="T1034" t="s">
        <v>52</v>
      </c>
      <c r="U1034" t="s">
        <v>75</v>
      </c>
      <c r="V1034">
        <v>3.4</v>
      </c>
      <c r="W1034" t="s">
        <v>76</v>
      </c>
      <c r="X1034" t="s">
        <v>40</v>
      </c>
      <c r="Y1034" t="s">
        <v>41</v>
      </c>
    </row>
    <row r="1035" spans="1:25" x14ac:dyDescent="0.3">
      <c r="A1035" t="s">
        <v>2147</v>
      </c>
      <c r="B1035" s="1">
        <v>45959</v>
      </c>
      <c r="C1035" t="s">
        <v>117</v>
      </c>
      <c r="D1035" t="s">
        <v>4083</v>
      </c>
      <c r="E1035" t="s">
        <v>89</v>
      </c>
      <c r="F1035" t="s">
        <v>28</v>
      </c>
      <c r="G1035" t="s">
        <v>29</v>
      </c>
      <c r="H1035" t="s">
        <v>61</v>
      </c>
      <c r="I1035">
        <v>12</v>
      </c>
      <c r="J1035" t="s">
        <v>2148</v>
      </c>
      <c r="K1035">
        <v>56</v>
      </c>
      <c r="L1035" t="s">
        <v>32</v>
      </c>
      <c r="M1035">
        <v>2</v>
      </c>
      <c r="N1035" t="s">
        <v>48</v>
      </c>
      <c r="O1035" t="s">
        <v>34</v>
      </c>
      <c r="P1035" t="s">
        <v>70</v>
      </c>
      <c r="Q1035" s="2">
        <v>12591.55</v>
      </c>
      <c r="R1035" s="2">
        <v>3814.72</v>
      </c>
      <c r="S1035" t="s">
        <v>115</v>
      </c>
      <c r="T1035" t="s">
        <v>52</v>
      </c>
      <c r="U1035" t="s">
        <v>53</v>
      </c>
      <c r="V1035">
        <v>3</v>
      </c>
      <c r="W1035" t="s">
        <v>76</v>
      </c>
      <c r="X1035" t="s">
        <v>84</v>
      </c>
      <c r="Y1035" t="s">
        <v>72</v>
      </c>
    </row>
    <row r="1036" spans="1:25" x14ac:dyDescent="0.3">
      <c r="A1036" t="s">
        <v>2149</v>
      </c>
      <c r="B1036" s="1">
        <v>45960</v>
      </c>
      <c r="C1036" t="s">
        <v>57</v>
      </c>
      <c r="D1036" t="s">
        <v>44</v>
      </c>
      <c r="E1036" t="s">
        <v>89</v>
      </c>
      <c r="F1036" t="s">
        <v>28</v>
      </c>
      <c r="G1036" t="s">
        <v>29</v>
      </c>
      <c r="H1036" t="s">
        <v>61</v>
      </c>
      <c r="I1036">
        <v>6</v>
      </c>
      <c r="J1036" t="s">
        <v>2150</v>
      </c>
      <c r="K1036">
        <v>57</v>
      </c>
      <c r="L1036" t="s">
        <v>32</v>
      </c>
      <c r="M1036">
        <v>2</v>
      </c>
      <c r="N1036" t="s">
        <v>33</v>
      </c>
      <c r="O1036" t="s">
        <v>34</v>
      </c>
      <c r="P1036" t="s">
        <v>70</v>
      </c>
      <c r="Q1036" s="2">
        <v>5736.96</v>
      </c>
      <c r="R1036" s="2">
        <v>765.42</v>
      </c>
      <c r="S1036" t="s">
        <v>36</v>
      </c>
      <c r="T1036" t="s">
        <v>52</v>
      </c>
      <c r="U1036" t="s">
        <v>75</v>
      </c>
      <c r="V1036">
        <v>3.5</v>
      </c>
      <c r="W1036" t="s">
        <v>54</v>
      </c>
      <c r="X1036" t="s">
        <v>55</v>
      </c>
      <c r="Y1036" t="s">
        <v>41</v>
      </c>
    </row>
    <row r="1037" spans="1:25" x14ac:dyDescent="0.3">
      <c r="A1037" t="s">
        <v>2151</v>
      </c>
      <c r="B1037" s="1">
        <v>45961</v>
      </c>
      <c r="C1037" t="s">
        <v>26</v>
      </c>
      <c r="D1037" t="s">
        <v>26</v>
      </c>
      <c r="E1037" t="s">
        <v>89</v>
      </c>
      <c r="F1037" t="s">
        <v>28</v>
      </c>
      <c r="G1037" t="s">
        <v>29</v>
      </c>
      <c r="H1037" t="s">
        <v>61</v>
      </c>
      <c r="I1037">
        <v>8</v>
      </c>
      <c r="J1037" t="s">
        <v>2152</v>
      </c>
      <c r="K1037">
        <v>59</v>
      </c>
      <c r="L1037" t="s">
        <v>32</v>
      </c>
      <c r="M1037">
        <v>3</v>
      </c>
      <c r="N1037" t="s">
        <v>91</v>
      </c>
      <c r="O1037" t="s">
        <v>34</v>
      </c>
      <c r="P1037" t="s">
        <v>35</v>
      </c>
      <c r="Q1037" s="2">
        <v>42948.62</v>
      </c>
      <c r="R1037" s="2">
        <v>4867.34</v>
      </c>
      <c r="S1037" t="s">
        <v>94</v>
      </c>
      <c r="T1037" t="s">
        <v>71</v>
      </c>
      <c r="U1037" t="s">
        <v>75</v>
      </c>
      <c r="V1037">
        <v>1.5</v>
      </c>
      <c r="W1037" t="s">
        <v>124</v>
      </c>
      <c r="X1037" t="s">
        <v>40</v>
      </c>
      <c r="Y1037" t="s">
        <v>72</v>
      </c>
    </row>
    <row r="1038" spans="1:25" x14ac:dyDescent="0.3">
      <c r="A1038" t="s">
        <v>2153</v>
      </c>
      <c r="B1038" s="1">
        <v>45962</v>
      </c>
      <c r="C1038" t="s">
        <v>117</v>
      </c>
      <c r="D1038" t="s">
        <v>4083</v>
      </c>
      <c r="E1038" t="s">
        <v>120</v>
      </c>
      <c r="F1038" t="s">
        <v>28</v>
      </c>
      <c r="G1038" t="s">
        <v>29</v>
      </c>
      <c r="H1038" t="s">
        <v>86</v>
      </c>
      <c r="I1038">
        <v>8</v>
      </c>
      <c r="J1038" t="s">
        <v>2154</v>
      </c>
      <c r="K1038">
        <v>64</v>
      </c>
      <c r="L1038" t="s">
        <v>32</v>
      </c>
      <c r="M1038">
        <v>5</v>
      </c>
      <c r="N1038" t="s">
        <v>64</v>
      </c>
      <c r="O1038" t="s">
        <v>69</v>
      </c>
      <c r="P1038" t="s">
        <v>70</v>
      </c>
      <c r="Q1038" s="2">
        <v>31021.42</v>
      </c>
      <c r="R1038" s="2">
        <v>1821.65</v>
      </c>
      <c r="S1038" t="s">
        <v>115</v>
      </c>
      <c r="T1038" t="s">
        <v>52</v>
      </c>
      <c r="U1038" t="s">
        <v>75</v>
      </c>
      <c r="V1038">
        <v>2.2999999999999998</v>
      </c>
      <c r="W1038" t="s">
        <v>76</v>
      </c>
      <c r="X1038" t="s">
        <v>84</v>
      </c>
      <c r="Y1038" t="s">
        <v>72</v>
      </c>
    </row>
    <row r="1039" spans="1:25" x14ac:dyDescent="0.3">
      <c r="A1039" t="s">
        <v>2155</v>
      </c>
      <c r="B1039" s="1">
        <v>45963</v>
      </c>
      <c r="C1039" t="s">
        <v>78</v>
      </c>
      <c r="D1039" t="s">
        <v>58</v>
      </c>
      <c r="E1039" t="s">
        <v>4084</v>
      </c>
      <c r="F1039" t="s">
        <v>60</v>
      </c>
      <c r="G1039" t="s">
        <v>29</v>
      </c>
      <c r="H1039" t="s">
        <v>27</v>
      </c>
      <c r="I1039">
        <v>6</v>
      </c>
      <c r="J1039" t="s">
        <v>2156</v>
      </c>
      <c r="K1039">
        <v>57</v>
      </c>
      <c r="L1039" t="s">
        <v>63</v>
      </c>
      <c r="M1039">
        <v>7</v>
      </c>
      <c r="N1039" t="s">
        <v>48</v>
      </c>
      <c r="O1039" t="s">
        <v>81</v>
      </c>
      <c r="P1039" t="s">
        <v>70</v>
      </c>
      <c r="Q1039" s="2">
        <v>45124.97</v>
      </c>
      <c r="R1039" s="2">
        <v>3141.2</v>
      </c>
      <c r="S1039" t="s">
        <v>94</v>
      </c>
      <c r="T1039" t="s">
        <v>52</v>
      </c>
      <c r="U1039" t="s">
        <v>38</v>
      </c>
      <c r="V1039">
        <v>2.5</v>
      </c>
      <c r="W1039" t="s">
        <v>76</v>
      </c>
      <c r="X1039" t="s">
        <v>55</v>
      </c>
      <c r="Y1039" t="s">
        <v>72</v>
      </c>
    </row>
    <row r="1040" spans="1:25" x14ac:dyDescent="0.3">
      <c r="A1040" t="s">
        <v>2157</v>
      </c>
      <c r="B1040" s="1">
        <v>45964</v>
      </c>
      <c r="C1040" t="s">
        <v>57</v>
      </c>
      <c r="D1040" t="s">
        <v>44</v>
      </c>
      <c r="E1040" t="s">
        <v>4084</v>
      </c>
      <c r="F1040" t="s">
        <v>60</v>
      </c>
      <c r="G1040" t="s">
        <v>29</v>
      </c>
      <c r="H1040" t="s">
        <v>27</v>
      </c>
      <c r="I1040">
        <v>8</v>
      </c>
      <c r="J1040" t="s">
        <v>2158</v>
      </c>
      <c r="K1040">
        <v>30</v>
      </c>
      <c r="L1040" t="s">
        <v>63</v>
      </c>
      <c r="M1040">
        <v>3</v>
      </c>
      <c r="N1040" t="s">
        <v>33</v>
      </c>
      <c r="O1040" t="s">
        <v>49</v>
      </c>
      <c r="P1040" t="s">
        <v>35</v>
      </c>
      <c r="Q1040" s="2">
        <v>26806.46</v>
      </c>
      <c r="R1040" s="2">
        <v>2343.08</v>
      </c>
      <c r="S1040" t="s">
        <v>115</v>
      </c>
      <c r="T1040" t="s">
        <v>71</v>
      </c>
      <c r="U1040" t="s">
        <v>38</v>
      </c>
      <c r="V1040">
        <v>2.2999999999999998</v>
      </c>
      <c r="W1040" t="s">
        <v>76</v>
      </c>
      <c r="X1040" t="s">
        <v>65</v>
      </c>
      <c r="Y1040" t="s">
        <v>41</v>
      </c>
    </row>
    <row r="1041" spans="1:25" x14ac:dyDescent="0.3">
      <c r="A1041" t="s">
        <v>2159</v>
      </c>
      <c r="B1041" s="1">
        <v>45965</v>
      </c>
      <c r="C1041" t="s">
        <v>78</v>
      </c>
      <c r="D1041" t="s">
        <v>58</v>
      </c>
      <c r="E1041" t="s">
        <v>89</v>
      </c>
      <c r="F1041" t="s">
        <v>28</v>
      </c>
      <c r="G1041" t="s">
        <v>29</v>
      </c>
      <c r="H1041" t="s">
        <v>61</v>
      </c>
      <c r="I1041">
        <v>12</v>
      </c>
      <c r="J1041" t="s">
        <v>2160</v>
      </c>
      <c r="K1041">
        <v>29</v>
      </c>
      <c r="L1041" t="s">
        <v>32</v>
      </c>
      <c r="M1041">
        <v>1</v>
      </c>
      <c r="N1041" t="s">
        <v>64</v>
      </c>
      <c r="O1041" t="s">
        <v>49</v>
      </c>
      <c r="P1041" t="s">
        <v>35</v>
      </c>
      <c r="Q1041" s="2">
        <v>46691.65</v>
      </c>
      <c r="R1041" s="2">
        <v>2340.9</v>
      </c>
      <c r="S1041" t="s">
        <v>51</v>
      </c>
      <c r="T1041" t="s">
        <v>52</v>
      </c>
      <c r="U1041" t="s">
        <v>75</v>
      </c>
      <c r="V1041">
        <v>4.5</v>
      </c>
      <c r="W1041" t="s">
        <v>103</v>
      </c>
      <c r="X1041" t="s">
        <v>106</v>
      </c>
      <c r="Y1041" t="s">
        <v>72</v>
      </c>
    </row>
    <row r="1042" spans="1:25" x14ac:dyDescent="0.3">
      <c r="A1042" t="s">
        <v>2161</v>
      </c>
      <c r="B1042" s="1">
        <v>45966</v>
      </c>
      <c r="C1042" t="s">
        <v>78</v>
      </c>
      <c r="D1042" t="s">
        <v>58</v>
      </c>
      <c r="E1042" t="s">
        <v>120</v>
      </c>
      <c r="F1042" t="s">
        <v>28</v>
      </c>
      <c r="G1042" t="s">
        <v>29</v>
      </c>
      <c r="H1042" t="s">
        <v>86</v>
      </c>
      <c r="I1042">
        <v>13</v>
      </c>
      <c r="J1042" t="s">
        <v>2162</v>
      </c>
      <c r="K1042">
        <v>25</v>
      </c>
      <c r="L1042" t="s">
        <v>32</v>
      </c>
      <c r="M1042">
        <v>7</v>
      </c>
      <c r="N1042" t="s">
        <v>33</v>
      </c>
      <c r="O1042" t="s">
        <v>34</v>
      </c>
      <c r="P1042" t="s">
        <v>35</v>
      </c>
      <c r="Q1042" s="2">
        <v>20928.73</v>
      </c>
      <c r="R1042" s="2">
        <v>3513.72</v>
      </c>
      <c r="S1042" t="s">
        <v>51</v>
      </c>
      <c r="T1042" t="s">
        <v>71</v>
      </c>
      <c r="U1042" t="s">
        <v>75</v>
      </c>
      <c r="V1042">
        <v>3.3</v>
      </c>
      <c r="W1042" t="s">
        <v>76</v>
      </c>
      <c r="X1042" t="s">
        <v>55</v>
      </c>
      <c r="Y1042" t="s">
        <v>41</v>
      </c>
    </row>
    <row r="1043" spans="1:25" x14ac:dyDescent="0.3">
      <c r="A1043" t="s">
        <v>2163</v>
      </c>
      <c r="B1043" s="1">
        <v>45967</v>
      </c>
      <c r="C1043" t="s">
        <v>57</v>
      </c>
      <c r="D1043" t="s">
        <v>44</v>
      </c>
      <c r="E1043" t="s">
        <v>89</v>
      </c>
      <c r="F1043" t="s">
        <v>28</v>
      </c>
      <c r="G1043" t="s">
        <v>29</v>
      </c>
      <c r="H1043" t="s">
        <v>61</v>
      </c>
      <c r="I1043">
        <v>10</v>
      </c>
      <c r="J1043" t="s">
        <v>2164</v>
      </c>
      <c r="K1043">
        <v>32</v>
      </c>
      <c r="L1043" t="s">
        <v>63</v>
      </c>
      <c r="M1043">
        <v>1</v>
      </c>
      <c r="N1043" t="s">
        <v>33</v>
      </c>
      <c r="O1043" t="s">
        <v>81</v>
      </c>
      <c r="P1043" t="s">
        <v>35</v>
      </c>
      <c r="Q1043" s="2">
        <v>37603.49</v>
      </c>
      <c r="R1043" s="2">
        <v>4973.3100000000004</v>
      </c>
      <c r="S1043" t="s">
        <v>94</v>
      </c>
      <c r="T1043" t="s">
        <v>71</v>
      </c>
      <c r="U1043" t="s">
        <v>75</v>
      </c>
      <c r="V1043">
        <v>3.9</v>
      </c>
      <c r="W1043" t="s">
        <v>54</v>
      </c>
      <c r="X1043" t="s">
        <v>55</v>
      </c>
      <c r="Y1043" t="s">
        <v>72</v>
      </c>
    </row>
    <row r="1044" spans="1:25" x14ac:dyDescent="0.3">
      <c r="A1044" t="s">
        <v>2165</v>
      </c>
      <c r="B1044" s="1">
        <v>45968</v>
      </c>
      <c r="C1044" t="s">
        <v>78</v>
      </c>
      <c r="D1044" t="s">
        <v>58</v>
      </c>
      <c r="E1044" t="s">
        <v>120</v>
      </c>
      <c r="F1044" t="s">
        <v>28</v>
      </c>
      <c r="G1044" t="s">
        <v>29</v>
      </c>
      <c r="H1044" t="s">
        <v>86</v>
      </c>
      <c r="I1044">
        <v>5</v>
      </c>
      <c r="J1044" t="s">
        <v>2166</v>
      </c>
      <c r="K1044">
        <v>43</v>
      </c>
      <c r="L1044" t="s">
        <v>80</v>
      </c>
      <c r="M1044">
        <v>1</v>
      </c>
      <c r="N1044" t="s">
        <v>33</v>
      </c>
      <c r="O1044" t="s">
        <v>34</v>
      </c>
      <c r="P1044" t="s">
        <v>50</v>
      </c>
      <c r="Q1044" s="2">
        <v>18544.39</v>
      </c>
      <c r="R1044" s="2">
        <v>3295.3</v>
      </c>
      <c r="S1044" t="s">
        <v>94</v>
      </c>
      <c r="T1044" t="s">
        <v>52</v>
      </c>
      <c r="U1044" t="s">
        <v>53</v>
      </c>
      <c r="V1044">
        <v>1.9</v>
      </c>
      <c r="W1044" t="s">
        <v>124</v>
      </c>
      <c r="X1044" t="s">
        <v>65</v>
      </c>
      <c r="Y1044" t="s">
        <v>41</v>
      </c>
    </row>
    <row r="1045" spans="1:25" x14ac:dyDescent="0.3">
      <c r="A1045" t="s">
        <v>2167</v>
      </c>
      <c r="B1045" s="1">
        <v>45969</v>
      </c>
      <c r="C1045" t="s">
        <v>57</v>
      </c>
      <c r="D1045" t="s">
        <v>44</v>
      </c>
      <c r="E1045" t="s">
        <v>89</v>
      </c>
      <c r="F1045" t="s">
        <v>28</v>
      </c>
      <c r="G1045" t="s">
        <v>29</v>
      </c>
      <c r="H1045" t="s">
        <v>61</v>
      </c>
      <c r="I1045">
        <v>6</v>
      </c>
      <c r="J1045" t="s">
        <v>2168</v>
      </c>
      <c r="K1045">
        <v>29</v>
      </c>
      <c r="L1045" t="s">
        <v>63</v>
      </c>
      <c r="M1045">
        <v>5</v>
      </c>
      <c r="N1045" t="s">
        <v>64</v>
      </c>
      <c r="O1045" t="s">
        <v>69</v>
      </c>
      <c r="P1045" t="s">
        <v>50</v>
      </c>
      <c r="Q1045" s="2">
        <v>5052.3599999999997</v>
      </c>
      <c r="R1045" s="2">
        <v>3970.3</v>
      </c>
      <c r="S1045" t="s">
        <v>51</v>
      </c>
      <c r="T1045" t="s">
        <v>52</v>
      </c>
      <c r="U1045" t="s">
        <v>53</v>
      </c>
      <c r="V1045">
        <v>2.1</v>
      </c>
      <c r="W1045" t="s">
        <v>76</v>
      </c>
      <c r="X1045" t="s">
        <v>40</v>
      </c>
      <c r="Y1045" t="s">
        <v>72</v>
      </c>
    </row>
    <row r="1046" spans="1:25" x14ac:dyDescent="0.3">
      <c r="A1046" t="s">
        <v>2169</v>
      </c>
      <c r="B1046" s="1">
        <v>45970</v>
      </c>
      <c r="C1046" t="s">
        <v>117</v>
      </c>
      <c r="D1046" t="s">
        <v>4083</v>
      </c>
      <c r="E1046" t="s">
        <v>4085</v>
      </c>
      <c r="F1046" t="s">
        <v>60</v>
      </c>
      <c r="G1046" t="s">
        <v>29</v>
      </c>
      <c r="H1046" t="s">
        <v>46</v>
      </c>
      <c r="I1046">
        <v>12</v>
      </c>
      <c r="J1046" t="s">
        <v>2170</v>
      </c>
      <c r="K1046">
        <v>60</v>
      </c>
      <c r="L1046" t="s">
        <v>80</v>
      </c>
      <c r="M1046">
        <v>4</v>
      </c>
      <c r="N1046" t="s">
        <v>91</v>
      </c>
      <c r="O1046" t="s">
        <v>81</v>
      </c>
      <c r="P1046" t="s">
        <v>35</v>
      </c>
      <c r="Q1046" s="2">
        <v>22088.5</v>
      </c>
      <c r="R1046" s="2">
        <v>138.08000000000001</v>
      </c>
      <c r="S1046" t="s">
        <v>51</v>
      </c>
      <c r="T1046" t="s">
        <v>37</v>
      </c>
      <c r="U1046" t="s">
        <v>53</v>
      </c>
      <c r="V1046">
        <v>1.9</v>
      </c>
      <c r="W1046" t="s">
        <v>124</v>
      </c>
      <c r="X1046" t="s">
        <v>84</v>
      </c>
      <c r="Y1046" t="s">
        <v>72</v>
      </c>
    </row>
    <row r="1047" spans="1:25" x14ac:dyDescent="0.3">
      <c r="A1047" t="s">
        <v>2171</v>
      </c>
      <c r="B1047" s="1">
        <v>45971</v>
      </c>
      <c r="C1047" t="s">
        <v>57</v>
      </c>
      <c r="D1047" t="s">
        <v>44</v>
      </c>
      <c r="E1047" t="s">
        <v>4085</v>
      </c>
      <c r="F1047" t="s">
        <v>60</v>
      </c>
      <c r="G1047" t="s">
        <v>29</v>
      </c>
      <c r="H1047" t="s">
        <v>46</v>
      </c>
      <c r="I1047">
        <v>14</v>
      </c>
      <c r="J1047" t="s">
        <v>2172</v>
      </c>
      <c r="K1047">
        <v>68</v>
      </c>
      <c r="L1047" t="s">
        <v>32</v>
      </c>
      <c r="M1047">
        <v>5</v>
      </c>
      <c r="N1047" t="s">
        <v>33</v>
      </c>
      <c r="O1047" t="s">
        <v>81</v>
      </c>
      <c r="P1047" t="s">
        <v>35</v>
      </c>
      <c r="Q1047" s="2">
        <v>38199.449999999997</v>
      </c>
      <c r="R1047" s="2">
        <v>4052.14</v>
      </c>
      <c r="S1047" t="s">
        <v>36</v>
      </c>
      <c r="T1047" t="s">
        <v>37</v>
      </c>
      <c r="U1047" t="s">
        <v>38</v>
      </c>
      <c r="V1047">
        <v>3.8</v>
      </c>
      <c r="W1047" t="s">
        <v>54</v>
      </c>
      <c r="X1047" t="s">
        <v>40</v>
      </c>
      <c r="Y1047" t="s">
        <v>41</v>
      </c>
    </row>
    <row r="1048" spans="1:25" x14ac:dyDescent="0.3">
      <c r="A1048" t="s">
        <v>2173</v>
      </c>
      <c r="B1048" s="1">
        <v>45972</v>
      </c>
      <c r="C1048" t="s">
        <v>57</v>
      </c>
      <c r="D1048" t="s">
        <v>44</v>
      </c>
      <c r="E1048" t="s">
        <v>45</v>
      </c>
      <c r="F1048" t="s">
        <v>28</v>
      </c>
      <c r="G1048" t="s">
        <v>29</v>
      </c>
      <c r="H1048" t="s">
        <v>67</v>
      </c>
      <c r="I1048">
        <v>3</v>
      </c>
      <c r="J1048" t="s">
        <v>2174</v>
      </c>
      <c r="K1048">
        <v>63</v>
      </c>
      <c r="L1048" t="s">
        <v>32</v>
      </c>
      <c r="M1048">
        <v>3</v>
      </c>
      <c r="N1048" t="s">
        <v>91</v>
      </c>
      <c r="O1048" t="s">
        <v>81</v>
      </c>
      <c r="P1048" t="s">
        <v>82</v>
      </c>
      <c r="Q1048" s="2">
        <v>11751.09</v>
      </c>
      <c r="R1048" s="2">
        <v>1499.88</v>
      </c>
      <c r="S1048" t="s">
        <v>115</v>
      </c>
      <c r="T1048" t="s">
        <v>71</v>
      </c>
      <c r="U1048" t="s">
        <v>83</v>
      </c>
      <c r="V1048">
        <v>2.4</v>
      </c>
      <c r="W1048" t="s">
        <v>76</v>
      </c>
      <c r="X1048" t="s">
        <v>55</v>
      </c>
      <c r="Y1048" t="s">
        <v>72</v>
      </c>
    </row>
    <row r="1049" spans="1:25" x14ac:dyDescent="0.3">
      <c r="A1049" t="s">
        <v>2175</v>
      </c>
      <c r="B1049" s="1">
        <v>45973</v>
      </c>
      <c r="C1049" t="s">
        <v>26</v>
      </c>
      <c r="D1049" t="s">
        <v>26</v>
      </c>
      <c r="E1049" t="s">
        <v>89</v>
      </c>
      <c r="F1049" t="s">
        <v>28</v>
      </c>
      <c r="G1049" t="s">
        <v>29</v>
      </c>
      <c r="H1049" t="s">
        <v>61</v>
      </c>
      <c r="I1049">
        <v>6</v>
      </c>
      <c r="J1049" t="s">
        <v>2176</v>
      </c>
      <c r="K1049">
        <v>44</v>
      </c>
      <c r="L1049" t="s">
        <v>63</v>
      </c>
      <c r="M1049">
        <v>4</v>
      </c>
      <c r="N1049" t="s">
        <v>91</v>
      </c>
      <c r="O1049" t="s">
        <v>81</v>
      </c>
      <c r="P1049" t="s">
        <v>82</v>
      </c>
      <c r="Q1049" s="2">
        <v>27716.09</v>
      </c>
      <c r="R1049" s="2">
        <v>633.51</v>
      </c>
      <c r="S1049" t="s">
        <v>51</v>
      </c>
      <c r="T1049" t="s">
        <v>71</v>
      </c>
      <c r="U1049" t="s">
        <v>75</v>
      </c>
      <c r="V1049">
        <v>2.6</v>
      </c>
      <c r="W1049" t="s">
        <v>76</v>
      </c>
      <c r="X1049" t="s">
        <v>84</v>
      </c>
      <c r="Y1049" t="s">
        <v>72</v>
      </c>
    </row>
    <row r="1050" spans="1:25" x14ac:dyDescent="0.3">
      <c r="A1050" t="s">
        <v>2177</v>
      </c>
      <c r="B1050" s="1">
        <v>45974</v>
      </c>
      <c r="C1050" t="s">
        <v>57</v>
      </c>
      <c r="D1050" t="s">
        <v>44</v>
      </c>
      <c r="E1050" t="s">
        <v>4084</v>
      </c>
      <c r="F1050" t="s">
        <v>60</v>
      </c>
      <c r="G1050" t="s">
        <v>29</v>
      </c>
      <c r="H1050" t="s">
        <v>30</v>
      </c>
      <c r="I1050">
        <v>13</v>
      </c>
      <c r="J1050" t="s">
        <v>2178</v>
      </c>
      <c r="K1050">
        <v>35</v>
      </c>
      <c r="L1050" t="s">
        <v>32</v>
      </c>
      <c r="M1050">
        <v>4</v>
      </c>
      <c r="N1050" t="s">
        <v>48</v>
      </c>
      <c r="O1050" t="s">
        <v>34</v>
      </c>
      <c r="P1050" t="s">
        <v>82</v>
      </c>
      <c r="Q1050" s="2">
        <v>14554.47</v>
      </c>
      <c r="R1050" s="2">
        <v>566.66999999999996</v>
      </c>
      <c r="S1050" t="s">
        <v>94</v>
      </c>
      <c r="T1050" t="s">
        <v>37</v>
      </c>
      <c r="U1050" t="s">
        <v>75</v>
      </c>
      <c r="V1050">
        <v>3.8</v>
      </c>
      <c r="W1050" t="s">
        <v>39</v>
      </c>
      <c r="X1050" t="s">
        <v>106</v>
      </c>
      <c r="Y1050" t="s">
        <v>41</v>
      </c>
    </row>
    <row r="1051" spans="1:25" x14ac:dyDescent="0.3">
      <c r="A1051" t="s">
        <v>2179</v>
      </c>
      <c r="B1051" s="1">
        <v>45975</v>
      </c>
      <c r="C1051" t="s">
        <v>57</v>
      </c>
      <c r="D1051" t="s">
        <v>44</v>
      </c>
      <c r="E1051" t="s">
        <v>45</v>
      </c>
      <c r="F1051" t="s">
        <v>28</v>
      </c>
      <c r="G1051" t="s">
        <v>29</v>
      </c>
      <c r="H1051" t="s">
        <v>67</v>
      </c>
      <c r="I1051">
        <v>12</v>
      </c>
      <c r="J1051" t="s">
        <v>2180</v>
      </c>
      <c r="K1051">
        <v>62</v>
      </c>
      <c r="L1051" t="s">
        <v>80</v>
      </c>
      <c r="M1051">
        <v>3</v>
      </c>
      <c r="N1051" t="s">
        <v>48</v>
      </c>
      <c r="O1051" t="s">
        <v>69</v>
      </c>
      <c r="P1051" t="s">
        <v>70</v>
      </c>
      <c r="Q1051" s="2">
        <v>8358.09</v>
      </c>
      <c r="R1051" s="2">
        <v>3399.37</v>
      </c>
      <c r="S1051" t="s">
        <v>94</v>
      </c>
      <c r="T1051" t="s">
        <v>71</v>
      </c>
      <c r="U1051" t="s">
        <v>83</v>
      </c>
      <c r="V1051">
        <v>4.9000000000000004</v>
      </c>
      <c r="W1051" t="s">
        <v>103</v>
      </c>
      <c r="X1051" t="s">
        <v>106</v>
      </c>
      <c r="Y1051" t="s">
        <v>41</v>
      </c>
    </row>
    <row r="1052" spans="1:25" x14ac:dyDescent="0.3">
      <c r="A1052" t="s">
        <v>2181</v>
      </c>
      <c r="B1052" s="1">
        <v>45976</v>
      </c>
      <c r="C1052" t="s">
        <v>117</v>
      </c>
      <c r="D1052" t="s">
        <v>4083</v>
      </c>
      <c r="E1052" t="s">
        <v>4085</v>
      </c>
      <c r="F1052" t="s">
        <v>60</v>
      </c>
      <c r="G1052" t="s">
        <v>29</v>
      </c>
      <c r="H1052" t="s">
        <v>59</v>
      </c>
      <c r="I1052">
        <v>12</v>
      </c>
      <c r="J1052" t="s">
        <v>2182</v>
      </c>
      <c r="K1052">
        <v>53</v>
      </c>
      <c r="L1052" t="s">
        <v>80</v>
      </c>
      <c r="M1052">
        <v>4</v>
      </c>
      <c r="N1052" t="s">
        <v>91</v>
      </c>
      <c r="O1052" t="s">
        <v>81</v>
      </c>
      <c r="P1052" t="s">
        <v>50</v>
      </c>
      <c r="Q1052" s="2">
        <v>32785.339999999997</v>
      </c>
      <c r="R1052" s="2">
        <v>4988.08</v>
      </c>
      <c r="S1052" t="s">
        <v>51</v>
      </c>
      <c r="T1052" t="s">
        <v>37</v>
      </c>
      <c r="U1052" t="s">
        <v>75</v>
      </c>
      <c r="V1052">
        <v>1.6</v>
      </c>
      <c r="W1052" t="s">
        <v>124</v>
      </c>
      <c r="X1052" t="s">
        <v>84</v>
      </c>
      <c r="Y1052" t="s">
        <v>72</v>
      </c>
    </row>
    <row r="1053" spans="1:25" x14ac:dyDescent="0.3">
      <c r="A1053" t="s">
        <v>2183</v>
      </c>
      <c r="B1053" s="1">
        <v>45977</v>
      </c>
      <c r="C1053" t="s">
        <v>26</v>
      </c>
      <c r="D1053" t="s">
        <v>26</v>
      </c>
      <c r="E1053" t="s">
        <v>89</v>
      </c>
      <c r="F1053" t="s">
        <v>28</v>
      </c>
      <c r="G1053" t="s">
        <v>29</v>
      </c>
      <c r="H1053" t="s">
        <v>61</v>
      </c>
      <c r="I1053">
        <v>14</v>
      </c>
      <c r="J1053" t="s">
        <v>2184</v>
      </c>
      <c r="K1053">
        <v>66</v>
      </c>
      <c r="L1053" t="s">
        <v>63</v>
      </c>
      <c r="M1053">
        <v>7</v>
      </c>
      <c r="N1053" t="s">
        <v>48</v>
      </c>
      <c r="O1053" t="s">
        <v>49</v>
      </c>
      <c r="P1053" t="s">
        <v>50</v>
      </c>
      <c r="Q1053" s="2">
        <v>47838.54</v>
      </c>
      <c r="R1053" s="2">
        <v>3330.98</v>
      </c>
      <c r="S1053" t="s">
        <v>94</v>
      </c>
      <c r="T1053" t="s">
        <v>52</v>
      </c>
      <c r="U1053" t="s">
        <v>53</v>
      </c>
      <c r="V1053">
        <v>1.3</v>
      </c>
      <c r="W1053" t="s">
        <v>124</v>
      </c>
      <c r="X1053" t="s">
        <v>55</v>
      </c>
      <c r="Y1053" t="s">
        <v>72</v>
      </c>
    </row>
    <row r="1054" spans="1:25" x14ac:dyDescent="0.3">
      <c r="A1054" t="s">
        <v>2185</v>
      </c>
      <c r="B1054" s="1">
        <v>45978</v>
      </c>
      <c r="C1054" t="s">
        <v>43</v>
      </c>
      <c r="D1054" t="s">
        <v>58</v>
      </c>
      <c r="E1054" t="s">
        <v>45</v>
      </c>
      <c r="F1054" t="s">
        <v>28</v>
      </c>
      <c r="G1054" t="s">
        <v>29</v>
      </c>
      <c r="H1054" t="s">
        <v>67</v>
      </c>
      <c r="I1054">
        <v>11</v>
      </c>
      <c r="J1054" t="s">
        <v>2186</v>
      </c>
      <c r="K1054">
        <v>68</v>
      </c>
      <c r="L1054" t="s">
        <v>80</v>
      </c>
      <c r="M1054">
        <v>2</v>
      </c>
      <c r="N1054" t="s">
        <v>48</v>
      </c>
      <c r="O1054" t="s">
        <v>49</v>
      </c>
      <c r="P1054" t="s">
        <v>82</v>
      </c>
      <c r="Q1054" s="2">
        <v>18981.689999999999</v>
      </c>
      <c r="R1054" s="2">
        <v>1311.74</v>
      </c>
      <c r="S1054" t="s">
        <v>115</v>
      </c>
      <c r="T1054" t="s">
        <v>52</v>
      </c>
      <c r="U1054" t="s">
        <v>53</v>
      </c>
      <c r="V1054">
        <v>1.8</v>
      </c>
      <c r="W1054" t="s">
        <v>124</v>
      </c>
      <c r="X1054" t="s">
        <v>65</v>
      </c>
      <c r="Y1054" t="s">
        <v>41</v>
      </c>
    </row>
    <row r="1055" spans="1:25" x14ac:dyDescent="0.3">
      <c r="A1055" t="s">
        <v>2187</v>
      </c>
      <c r="B1055" s="1">
        <v>45979</v>
      </c>
      <c r="C1055" t="s">
        <v>117</v>
      </c>
      <c r="D1055" t="s">
        <v>4083</v>
      </c>
      <c r="E1055" t="s">
        <v>89</v>
      </c>
      <c r="F1055" t="s">
        <v>28</v>
      </c>
      <c r="G1055" t="s">
        <v>29</v>
      </c>
      <c r="H1055" t="s">
        <v>61</v>
      </c>
      <c r="I1055">
        <v>10</v>
      </c>
      <c r="J1055" t="s">
        <v>2188</v>
      </c>
      <c r="K1055">
        <v>44</v>
      </c>
      <c r="L1055" t="s">
        <v>63</v>
      </c>
      <c r="M1055">
        <v>3</v>
      </c>
      <c r="N1055" t="s">
        <v>91</v>
      </c>
      <c r="O1055" t="s">
        <v>69</v>
      </c>
      <c r="P1055" t="s">
        <v>82</v>
      </c>
      <c r="Q1055" s="2">
        <v>31129.06</v>
      </c>
      <c r="R1055" s="2">
        <v>1016.53</v>
      </c>
      <c r="S1055" t="s">
        <v>36</v>
      </c>
      <c r="T1055" t="s">
        <v>52</v>
      </c>
      <c r="U1055" t="s">
        <v>83</v>
      </c>
      <c r="V1055">
        <v>3.9</v>
      </c>
      <c r="W1055" t="s">
        <v>54</v>
      </c>
      <c r="X1055" t="s">
        <v>40</v>
      </c>
      <c r="Y1055" t="s">
        <v>72</v>
      </c>
    </row>
    <row r="1056" spans="1:25" x14ac:dyDescent="0.3">
      <c r="A1056" t="s">
        <v>2189</v>
      </c>
      <c r="B1056" s="1">
        <v>45980</v>
      </c>
      <c r="C1056" t="s">
        <v>117</v>
      </c>
      <c r="D1056" t="s">
        <v>4083</v>
      </c>
      <c r="E1056" t="s">
        <v>4085</v>
      </c>
      <c r="F1056" t="s">
        <v>60</v>
      </c>
      <c r="G1056" t="s">
        <v>29</v>
      </c>
      <c r="H1056" t="s">
        <v>46</v>
      </c>
      <c r="I1056">
        <v>13</v>
      </c>
      <c r="J1056" t="s">
        <v>2190</v>
      </c>
      <c r="K1056">
        <v>26</v>
      </c>
      <c r="L1056" t="s">
        <v>63</v>
      </c>
      <c r="M1056">
        <v>3</v>
      </c>
      <c r="N1056" t="s">
        <v>64</v>
      </c>
      <c r="O1056" t="s">
        <v>49</v>
      </c>
      <c r="P1056" t="s">
        <v>50</v>
      </c>
      <c r="Q1056" s="2">
        <v>47912.15</v>
      </c>
      <c r="R1056" s="2">
        <v>2629.79</v>
      </c>
      <c r="S1056" t="s">
        <v>115</v>
      </c>
      <c r="T1056" t="s">
        <v>71</v>
      </c>
      <c r="U1056" t="s">
        <v>53</v>
      </c>
      <c r="V1056">
        <v>1.8</v>
      </c>
      <c r="W1056" t="s">
        <v>124</v>
      </c>
      <c r="X1056" t="s">
        <v>40</v>
      </c>
      <c r="Y1056" t="s">
        <v>72</v>
      </c>
    </row>
    <row r="1057" spans="1:25" x14ac:dyDescent="0.3">
      <c r="A1057" t="s">
        <v>2191</v>
      </c>
      <c r="B1057" s="1">
        <v>45981</v>
      </c>
      <c r="C1057" t="s">
        <v>43</v>
      </c>
      <c r="D1057" t="s">
        <v>58</v>
      </c>
      <c r="E1057" t="s">
        <v>45</v>
      </c>
      <c r="F1057" t="s">
        <v>28</v>
      </c>
      <c r="G1057" t="s">
        <v>29</v>
      </c>
      <c r="H1057" t="s">
        <v>67</v>
      </c>
      <c r="I1057">
        <v>6</v>
      </c>
      <c r="J1057" t="s">
        <v>2192</v>
      </c>
      <c r="K1057">
        <v>56</v>
      </c>
      <c r="L1057" t="s">
        <v>80</v>
      </c>
      <c r="M1057">
        <v>2</v>
      </c>
      <c r="N1057" t="s">
        <v>48</v>
      </c>
      <c r="O1057" t="s">
        <v>34</v>
      </c>
      <c r="P1057" t="s">
        <v>70</v>
      </c>
      <c r="Q1057" s="2">
        <v>34271.75</v>
      </c>
      <c r="R1057" s="2">
        <v>325.2</v>
      </c>
      <c r="S1057" t="s">
        <v>36</v>
      </c>
      <c r="T1057" t="s">
        <v>52</v>
      </c>
      <c r="U1057" t="s">
        <v>83</v>
      </c>
      <c r="V1057">
        <v>3.3</v>
      </c>
      <c r="W1057" t="s">
        <v>76</v>
      </c>
      <c r="X1057" t="s">
        <v>65</v>
      </c>
      <c r="Y1057" t="s">
        <v>41</v>
      </c>
    </row>
    <row r="1058" spans="1:25" x14ac:dyDescent="0.3">
      <c r="A1058" t="s">
        <v>2193</v>
      </c>
      <c r="B1058" s="1">
        <v>45982</v>
      </c>
      <c r="C1058" t="s">
        <v>57</v>
      </c>
      <c r="D1058" t="s">
        <v>44</v>
      </c>
      <c r="E1058" t="s">
        <v>4085</v>
      </c>
      <c r="F1058" t="s">
        <v>60</v>
      </c>
      <c r="G1058" t="s">
        <v>29</v>
      </c>
      <c r="H1058" t="s">
        <v>46</v>
      </c>
      <c r="I1058">
        <v>14</v>
      </c>
      <c r="J1058" t="s">
        <v>2194</v>
      </c>
      <c r="K1058">
        <v>18</v>
      </c>
      <c r="L1058" t="s">
        <v>80</v>
      </c>
      <c r="M1058">
        <v>5</v>
      </c>
      <c r="N1058" t="s">
        <v>48</v>
      </c>
      <c r="O1058" t="s">
        <v>34</v>
      </c>
      <c r="P1058" t="s">
        <v>82</v>
      </c>
      <c r="Q1058" s="2">
        <v>35290.1</v>
      </c>
      <c r="R1058" s="2">
        <v>1996.65</v>
      </c>
      <c r="S1058" t="s">
        <v>36</v>
      </c>
      <c r="T1058" t="s">
        <v>71</v>
      </c>
      <c r="U1058" t="s">
        <v>53</v>
      </c>
      <c r="V1058">
        <v>3.4</v>
      </c>
      <c r="W1058" t="s">
        <v>76</v>
      </c>
      <c r="X1058" t="s">
        <v>65</v>
      </c>
      <c r="Y1058" t="s">
        <v>72</v>
      </c>
    </row>
    <row r="1059" spans="1:25" x14ac:dyDescent="0.3">
      <c r="A1059" t="s">
        <v>2195</v>
      </c>
      <c r="B1059" s="1">
        <v>45983</v>
      </c>
      <c r="C1059" t="s">
        <v>78</v>
      </c>
      <c r="D1059" t="s">
        <v>58</v>
      </c>
      <c r="E1059" t="s">
        <v>120</v>
      </c>
      <c r="F1059" t="s">
        <v>28</v>
      </c>
      <c r="G1059" t="s">
        <v>29</v>
      </c>
      <c r="H1059" t="s">
        <v>86</v>
      </c>
      <c r="I1059">
        <v>9</v>
      </c>
      <c r="J1059" t="s">
        <v>2196</v>
      </c>
      <c r="K1059">
        <v>24</v>
      </c>
      <c r="L1059" t="s">
        <v>80</v>
      </c>
      <c r="M1059">
        <v>5</v>
      </c>
      <c r="N1059" t="s">
        <v>64</v>
      </c>
      <c r="O1059" t="s">
        <v>69</v>
      </c>
      <c r="P1059" t="s">
        <v>35</v>
      </c>
      <c r="Q1059" s="2">
        <v>13051.78</v>
      </c>
      <c r="R1059" s="2">
        <v>3331.17</v>
      </c>
      <c r="S1059" t="s">
        <v>51</v>
      </c>
      <c r="T1059" t="s">
        <v>52</v>
      </c>
      <c r="U1059" t="s">
        <v>75</v>
      </c>
      <c r="V1059">
        <v>2.2000000000000002</v>
      </c>
      <c r="W1059" t="s">
        <v>76</v>
      </c>
      <c r="X1059" t="s">
        <v>106</v>
      </c>
      <c r="Y1059" t="s">
        <v>72</v>
      </c>
    </row>
    <row r="1060" spans="1:25" x14ac:dyDescent="0.3">
      <c r="A1060" t="s">
        <v>2197</v>
      </c>
      <c r="B1060" s="1">
        <v>45984</v>
      </c>
      <c r="C1060" t="s">
        <v>26</v>
      </c>
      <c r="D1060" t="s">
        <v>26</v>
      </c>
      <c r="E1060" t="s">
        <v>4085</v>
      </c>
      <c r="F1060" t="s">
        <v>60</v>
      </c>
      <c r="G1060" t="s">
        <v>29</v>
      </c>
      <c r="H1060" t="s">
        <v>46</v>
      </c>
      <c r="I1060">
        <v>12</v>
      </c>
      <c r="J1060" t="s">
        <v>2198</v>
      </c>
      <c r="K1060">
        <v>43</v>
      </c>
      <c r="L1060" t="s">
        <v>80</v>
      </c>
      <c r="M1060">
        <v>5</v>
      </c>
      <c r="N1060" t="s">
        <v>64</v>
      </c>
      <c r="O1060" t="s">
        <v>81</v>
      </c>
      <c r="P1060" t="s">
        <v>82</v>
      </c>
      <c r="Q1060" s="2">
        <v>27167.439999999999</v>
      </c>
      <c r="R1060" s="2">
        <v>4838.3100000000004</v>
      </c>
      <c r="S1060" t="s">
        <v>94</v>
      </c>
      <c r="T1060" t="s">
        <v>71</v>
      </c>
      <c r="U1060" t="s">
        <v>38</v>
      </c>
      <c r="V1060">
        <v>1.3</v>
      </c>
      <c r="W1060" t="s">
        <v>124</v>
      </c>
      <c r="X1060" t="s">
        <v>65</v>
      </c>
      <c r="Y1060" t="s">
        <v>41</v>
      </c>
    </row>
    <row r="1061" spans="1:25" x14ac:dyDescent="0.3">
      <c r="A1061" t="s">
        <v>2199</v>
      </c>
      <c r="B1061" s="1">
        <v>45985</v>
      </c>
      <c r="C1061" t="s">
        <v>78</v>
      </c>
      <c r="D1061" t="s">
        <v>58</v>
      </c>
      <c r="E1061" t="s">
        <v>89</v>
      </c>
      <c r="F1061" t="s">
        <v>28</v>
      </c>
      <c r="G1061" t="s">
        <v>29</v>
      </c>
      <c r="H1061" t="s">
        <v>61</v>
      </c>
      <c r="I1061">
        <v>5</v>
      </c>
      <c r="J1061" t="s">
        <v>2200</v>
      </c>
      <c r="K1061">
        <v>24</v>
      </c>
      <c r="L1061" t="s">
        <v>80</v>
      </c>
      <c r="M1061">
        <v>4</v>
      </c>
      <c r="N1061" t="s">
        <v>64</v>
      </c>
      <c r="O1061" t="s">
        <v>49</v>
      </c>
      <c r="P1061" t="s">
        <v>50</v>
      </c>
      <c r="Q1061" s="2">
        <v>21518.720000000001</v>
      </c>
      <c r="R1061" s="2">
        <v>2128.27</v>
      </c>
      <c r="S1061" t="s">
        <v>36</v>
      </c>
      <c r="T1061" t="s">
        <v>71</v>
      </c>
      <c r="U1061" t="s">
        <v>53</v>
      </c>
      <c r="V1061">
        <v>2.6</v>
      </c>
      <c r="W1061" t="s">
        <v>76</v>
      </c>
      <c r="X1061" t="s">
        <v>84</v>
      </c>
      <c r="Y1061" t="s">
        <v>72</v>
      </c>
    </row>
    <row r="1062" spans="1:25" x14ac:dyDescent="0.3">
      <c r="A1062" t="s">
        <v>2201</v>
      </c>
      <c r="B1062" s="1">
        <v>45986</v>
      </c>
      <c r="C1062" t="s">
        <v>43</v>
      </c>
      <c r="D1062" t="s">
        <v>58</v>
      </c>
      <c r="E1062" t="s">
        <v>4084</v>
      </c>
      <c r="F1062" t="s">
        <v>60</v>
      </c>
      <c r="G1062" t="s">
        <v>29</v>
      </c>
      <c r="H1062" t="s">
        <v>27</v>
      </c>
      <c r="I1062">
        <v>11</v>
      </c>
      <c r="J1062" t="s">
        <v>2202</v>
      </c>
      <c r="K1062">
        <v>69</v>
      </c>
      <c r="L1062" t="s">
        <v>80</v>
      </c>
      <c r="M1062">
        <v>2</v>
      </c>
      <c r="N1062" t="s">
        <v>91</v>
      </c>
      <c r="O1062" t="s">
        <v>49</v>
      </c>
      <c r="P1062" t="s">
        <v>50</v>
      </c>
      <c r="Q1062" s="2">
        <v>26193.06</v>
      </c>
      <c r="R1062" s="2">
        <v>1001.12</v>
      </c>
      <c r="S1062" t="s">
        <v>51</v>
      </c>
      <c r="T1062" t="s">
        <v>37</v>
      </c>
      <c r="U1062" t="s">
        <v>83</v>
      </c>
      <c r="V1062">
        <v>1.7</v>
      </c>
      <c r="W1062" t="s">
        <v>124</v>
      </c>
      <c r="X1062" t="s">
        <v>106</v>
      </c>
      <c r="Y1062" t="s">
        <v>72</v>
      </c>
    </row>
    <row r="1063" spans="1:25" x14ac:dyDescent="0.3">
      <c r="A1063" t="s">
        <v>2203</v>
      </c>
      <c r="B1063" s="1">
        <v>45987</v>
      </c>
      <c r="C1063" t="s">
        <v>117</v>
      </c>
      <c r="D1063" t="s">
        <v>4083</v>
      </c>
      <c r="E1063" t="s">
        <v>4085</v>
      </c>
      <c r="F1063" t="s">
        <v>60</v>
      </c>
      <c r="G1063" t="s">
        <v>29</v>
      </c>
      <c r="H1063" t="s">
        <v>46</v>
      </c>
      <c r="I1063">
        <v>12</v>
      </c>
      <c r="J1063" t="s">
        <v>2204</v>
      </c>
      <c r="K1063">
        <v>24</v>
      </c>
      <c r="L1063" t="s">
        <v>80</v>
      </c>
      <c r="M1063">
        <v>7</v>
      </c>
      <c r="N1063" t="s">
        <v>64</v>
      </c>
      <c r="O1063" t="s">
        <v>69</v>
      </c>
      <c r="P1063" t="s">
        <v>82</v>
      </c>
      <c r="Q1063" s="2">
        <v>41037.199999999997</v>
      </c>
      <c r="R1063" s="2">
        <v>4086.81</v>
      </c>
      <c r="S1063" t="s">
        <v>94</v>
      </c>
      <c r="T1063" t="s">
        <v>37</v>
      </c>
      <c r="U1063" t="s">
        <v>38</v>
      </c>
      <c r="V1063">
        <v>1.7</v>
      </c>
      <c r="W1063" t="s">
        <v>124</v>
      </c>
      <c r="X1063" t="s">
        <v>55</v>
      </c>
      <c r="Y1063" t="s">
        <v>72</v>
      </c>
    </row>
    <row r="1064" spans="1:25" x14ac:dyDescent="0.3">
      <c r="A1064" t="s">
        <v>2205</v>
      </c>
      <c r="B1064" s="1">
        <v>45988</v>
      </c>
      <c r="C1064" t="s">
        <v>117</v>
      </c>
      <c r="D1064" t="s">
        <v>4083</v>
      </c>
      <c r="E1064" t="s">
        <v>4084</v>
      </c>
      <c r="F1064" t="s">
        <v>60</v>
      </c>
      <c r="G1064" t="s">
        <v>29</v>
      </c>
      <c r="H1064" t="s">
        <v>30</v>
      </c>
      <c r="I1064">
        <v>6</v>
      </c>
      <c r="J1064" t="s">
        <v>2206</v>
      </c>
      <c r="K1064">
        <v>25</v>
      </c>
      <c r="L1064" t="s">
        <v>32</v>
      </c>
      <c r="M1064">
        <v>3</v>
      </c>
      <c r="N1064" t="s">
        <v>91</v>
      </c>
      <c r="O1064" t="s">
        <v>69</v>
      </c>
      <c r="P1064" t="s">
        <v>82</v>
      </c>
      <c r="Q1064" s="2">
        <v>25731.45</v>
      </c>
      <c r="R1064" s="2">
        <v>3721</v>
      </c>
      <c r="S1064" t="s">
        <v>94</v>
      </c>
      <c r="T1064" t="s">
        <v>37</v>
      </c>
      <c r="U1064" t="s">
        <v>75</v>
      </c>
      <c r="V1064">
        <v>3.1</v>
      </c>
      <c r="W1064" t="s">
        <v>76</v>
      </c>
      <c r="X1064" t="s">
        <v>106</v>
      </c>
      <c r="Y1064" t="s">
        <v>72</v>
      </c>
    </row>
    <row r="1065" spans="1:25" x14ac:dyDescent="0.3">
      <c r="A1065" t="s">
        <v>2207</v>
      </c>
      <c r="B1065" s="1">
        <v>45989</v>
      </c>
      <c r="C1065" t="s">
        <v>26</v>
      </c>
      <c r="D1065" t="s">
        <v>26</v>
      </c>
      <c r="E1065" t="s">
        <v>120</v>
      </c>
      <c r="F1065" t="s">
        <v>28</v>
      </c>
      <c r="G1065" t="s">
        <v>29</v>
      </c>
      <c r="H1065" t="s">
        <v>86</v>
      </c>
      <c r="I1065">
        <v>4</v>
      </c>
      <c r="J1065" t="s">
        <v>2208</v>
      </c>
      <c r="K1065">
        <v>33</v>
      </c>
      <c r="L1065" t="s">
        <v>63</v>
      </c>
      <c r="M1065">
        <v>3</v>
      </c>
      <c r="N1065" t="s">
        <v>33</v>
      </c>
      <c r="O1065" t="s">
        <v>49</v>
      </c>
      <c r="P1065" t="s">
        <v>35</v>
      </c>
      <c r="Q1065" s="2">
        <v>7828.28</v>
      </c>
      <c r="R1065" s="2">
        <v>4298.5200000000004</v>
      </c>
      <c r="S1065" t="s">
        <v>36</v>
      </c>
      <c r="T1065" t="s">
        <v>71</v>
      </c>
      <c r="U1065" t="s">
        <v>38</v>
      </c>
      <c r="V1065">
        <v>3.7</v>
      </c>
      <c r="W1065" t="s">
        <v>54</v>
      </c>
      <c r="X1065" t="s">
        <v>106</v>
      </c>
      <c r="Y1065" t="s">
        <v>72</v>
      </c>
    </row>
    <row r="1066" spans="1:25" x14ac:dyDescent="0.3">
      <c r="A1066" t="s">
        <v>2209</v>
      </c>
      <c r="B1066" s="1">
        <v>45990</v>
      </c>
      <c r="C1066" t="s">
        <v>117</v>
      </c>
      <c r="D1066" t="s">
        <v>4083</v>
      </c>
      <c r="E1066" t="s">
        <v>45</v>
      </c>
      <c r="F1066" t="s">
        <v>28</v>
      </c>
      <c r="G1066" t="s">
        <v>29</v>
      </c>
      <c r="H1066" t="s">
        <v>67</v>
      </c>
      <c r="I1066">
        <v>12</v>
      </c>
      <c r="J1066" t="s">
        <v>2210</v>
      </c>
      <c r="K1066">
        <v>20</v>
      </c>
      <c r="L1066" t="s">
        <v>63</v>
      </c>
      <c r="M1066">
        <v>3</v>
      </c>
      <c r="N1066" t="s">
        <v>33</v>
      </c>
      <c r="O1066" t="s">
        <v>81</v>
      </c>
      <c r="P1066" t="s">
        <v>35</v>
      </c>
      <c r="Q1066" s="2">
        <v>45749.37</v>
      </c>
      <c r="R1066" s="2">
        <v>1073.5899999999999</v>
      </c>
      <c r="S1066" t="s">
        <v>94</v>
      </c>
      <c r="T1066" t="s">
        <v>37</v>
      </c>
      <c r="U1066" t="s">
        <v>83</v>
      </c>
      <c r="V1066">
        <v>1.3</v>
      </c>
      <c r="W1066" t="s">
        <v>124</v>
      </c>
      <c r="X1066" t="s">
        <v>40</v>
      </c>
      <c r="Y1066" t="s">
        <v>41</v>
      </c>
    </row>
    <row r="1067" spans="1:25" x14ac:dyDescent="0.3">
      <c r="A1067" t="s">
        <v>2211</v>
      </c>
      <c r="B1067" s="1">
        <v>45991</v>
      </c>
      <c r="C1067" t="s">
        <v>117</v>
      </c>
      <c r="D1067" t="s">
        <v>4083</v>
      </c>
      <c r="E1067" t="s">
        <v>45</v>
      </c>
      <c r="F1067" t="s">
        <v>28</v>
      </c>
      <c r="G1067" t="s">
        <v>29</v>
      </c>
      <c r="H1067" t="s">
        <v>67</v>
      </c>
      <c r="I1067">
        <v>7</v>
      </c>
      <c r="J1067" t="s">
        <v>2212</v>
      </c>
      <c r="K1067">
        <v>62</v>
      </c>
      <c r="L1067" t="s">
        <v>80</v>
      </c>
      <c r="M1067">
        <v>4</v>
      </c>
      <c r="N1067" t="s">
        <v>64</v>
      </c>
      <c r="O1067" t="s">
        <v>69</v>
      </c>
      <c r="P1067" t="s">
        <v>70</v>
      </c>
      <c r="Q1067" s="2">
        <v>29516.71</v>
      </c>
      <c r="R1067" s="2">
        <v>2024.16</v>
      </c>
      <c r="S1067" t="s">
        <v>115</v>
      </c>
      <c r="T1067" t="s">
        <v>37</v>
      </c>
      <c r="U1067" t="s">
        <v>75</v>
      </c>
      <c r="V1067">
        <v>3.3</v>
      </c>
      <c r="W1067" t="s">
        <v>76</v>
      </c>
      <c r="X1067" t="s">
        <v>65</v>
      </c>
      <c r="Y1067" t="s">
        <v>72</v>
      </c>
    </row>
    <row r="1068" spans="1:25" x14ac:dyDescent="0.3">
      <c r="A1068" t="s">
        <v>2213</v>
      </c>
      <c r="B1068" s="1">
        <v>45992</v>
      </c>
      <c r="C1068" t="s">
        <v>26</v>
      </c>
      <c r="D1068" t="s">
        <v>26</v>
      </c>
      <c r="E1068" t="s">
        <v>4084</v>
      </c>
      <c r="F1068" t="s">
        <v>60</v>
      </c>
      <c r="G1068" t="s">
        <v>29</v>
      </c>
      <c r="H1068" t="s">
        <v>27</v>
      </c>
      <c r="I1068">
        <v>4</v>
      </c>
      <c r="J1068" t="s">
        <v>2214</v>
      </c>
      <c r="K1068">
        <v>27</v>
      </c>
      <c r="L1068" t="s">
        <v>63</v>
      </c>
      <c r="M1068">
        <v>4</v>
      </c>
      <c r="N1068" t="s">
        <v>64</v>
      </c>
      <c r="O1068" t="s">
        <v>34</v>
      </c>
      <c r="P1068" t="s">
        <v>70</v>
      </c>
      <c r="Q1068" s="2">
        <v>46602.25</v>
      </c>
      <c r="R1068" s="2">
        <v>4907.7700000000004</v>
      </c>
      <c r="S1068" t="s">
        <v>94</v>
      </c>
      <c r="T1068" t="s">
        <v>37</v>
      </c>
      <c r="U1068" t="s">
        <v>75</v>
      </c>
      <c r="V1068">
        <v>2</v>
      </c>
      <c r="W1068" t="s">
        <v>76</v>
      </c>
      <c r="X1068" t="s">
        <v>84</v>
      </c>
      <c r="Y1068" t="s">
        <v>72</v>
      </c>
    </row>
    <row r="1069" spans="1:25" x14ac:dyDescent="0.3">
      <c r="A1069" t="s">
        <v>2215</v>
      </c>
      <c r="B1069" s="1">
        <v>45993</v>
      </c>
      <c r="C1069" t="s">
        <v>26</v>
      </c>
      <c r="D1069" t="s">
        <v>26</v>
      </c>
      <c r="E1069" t="s">
        <v>45</v>
      </c>
      <c r="F1069" t="s">
        <v>28</v>
      </c>
      <c r="G1069" t="s">
        <v>29</v>
      </c>
      <c r="H1069" t="s">
        <v>67</v>
      </c>
      <c r="I1069">
        <v>12</v>
      </c>
      <c r="J1069" t="s">
        <v>2216</v>
      </c>
      <c r="K1069">
        <v>67</v>
      </c>
      <c r="L1069" t="s">
        <v>80</v>
      </c>
      <c r="M1069">
        <v>6</v>
      </c>
      <c r="N1069" t="s">
        <v>33</v>
      </c>
      <c r="O1069" t="s">
        <v>49</v>
      </c>
      <c r="P1069" t="s">
        <v>35</v>
      </c>
      <c r="Q1069" s="2">
        <v>30755.95</v>
      </c>
      <c r="R1069" s="2">
        <v>790.21</v>
      </c>
      <c r="S1069" t="s">
        <v>115</v>
      </c>
      <c r="T1069" t="s">
        <v>71</v>
      </c>
      <c r="U1069" t="s">
        <v>53</v>
      </c>
      <c r="V1069">
        <v>3.7</v>
      </c>
      <c r="W1069" t="s">
        <v>54</v>
      </c>
      <c r="X1069" t="s">
        <v>65</v>
      </c>
      <c r="Y1069" t="s">
        <v>41</v>
      </c>
    </row>
    <row r="1070" spans="1:25" x14ac:dyDescent="0.3">
      <c r="A1070" t="s">
        <v>2217</v>
      </c>
      <c r="B1070" s="1">
        <v>45994</v>
      </c>
      <c r="C1070" t="s">
        <v>43</v>
      </c>
      <c r="D1070" t="s">
        <v>58</v>
      </c>
      <c r="E1070" t="s">
        <v>4085</v>
      </c>
      <c r="F1070" t="s">
        <v>60</v>
      </c>
      <c r="G1070" t="s">
        <v>29</v>
      </c>
      <c r="H1070" t="s">
        <v>59</v>
      </c>
      <c r="I1070">
        <v>8</v>
      </c>
      <c r="J1070" t="s">
        <v>2218</v>
      </c>
      <c r="K1070">
        <v>24</v>
      </c>
      <c r="L1070" t="s">
        <v>32</v>
      </c>
      <c r="M1070">
        <v>7</v>
      </c>
      <c r="N1070" t="s">
        <v>91</v>
      </c>
      <c r="O1070" t="s">
        <v>69</v>
      </c>
      <c r="P1070" t="s">
        <v>70</v>
      </c>
      <c r="Q1070" s="2">
        <v>8133.63</v>
      </c>
      <c r="R1070" s="2">
        <v>3357.25</v>
      </c>
      <c r="S1070" t="s">
        <v>94</v>
      </c>
      <c r="T1070" t="s">
        <v>71</v>
      </c>
      <c r="U1070" t="s">
        <v>38</v>
      </c>
      <c r="V1070">
        <v>4.2</v>
      </c>
      <c r="W1070" t="s">
        <v>39</v>
      </c>
      <c r="X1070" t="s">
        <v>40</v>
      </c>
      <c r="Y1070" t="s">
        <v>72</v>
      </c>
    </row>
    <row r="1071" spans="1:25" x14ac:dyDescent="0.3">
      <c r="A1071" t="s">
        <v>2219</v>
      </c>
      <c r="B1071" s="1">
        <v>45995</v>
      </c>
      <c r="C1071" t="s">
        <v>117</v>
      </c>
      <c r="D1071" t="s">
        <v>4083</v>
      </c>
      <c r="E1071" t="s">
        <v>4084</v>
      </c>
      <c r="F1071" t="s">
        <v>60</v>
      </c>
      <c r="G1071" t="s">
        <v>29</v>
      </c>
      <c r="H1071" t="s">
        <v>27</v>
      </c>
      <c r="I1071">
        <v>13</v>
      </c>
      <c r="J1071" t="s">
        <v>2220</v>
      </c>
      <c r="K1071">
        <v>38</v>
      </c>
      <c r="L1071" t="s">
        <v>63</v>
      </c>
      <c r="M1071">
        <v>5</v>
      </c>
      <c r="N1071" t="s">
        <v>91</v>
      </c>
      <c r="O1071" t="s">
        <v>69</v>
      </c>
      <c r="P1071" t="s">
        <v>70</v>
      </c>
      <c r="Q1071" s="2">
        <v>29879.119999999999</v>
      </c>
      <c r="R1071" s="2">
        <v>1185.92</v>
      </c>
      <c r="S1071" t="s">
        <v>36</v>
      </c>
      <c r="T1071" t="s">
        <v>37</v>
      </c>
      <c r="U1071" t="s">
        <v>53</v>
      </c>
      <c r="V1071">
        <v>4.2</v>
      </c>
      <c r="W1071" t="s">
        <v>54</v>
      </c>
      <c r="X1071" t="s">
        <v>65</v>
      </c>
      <c r="Y1071" t="s">
        <v>72</v>
      </c>
    </row>
    <row r="1072" spans="1:25" x14ac:dyDescent="0.3">
      <c r="A1072" t="s">
        <v>2221</v>
      </c>
      <c r="B1072" s="1">
        <v>45996</v>
      </c>
      <c r="C1072" t="s">
        <v>117</v>
      </c>
      <c r="D1072" t="s">
        <v>4083</v>
      </c>
      <c r="E1072" t="s">
        <v>89</v>
      </c>
      <c r="F1072" t="s">
        <v>28</v>
      </c>
      <c r="G1072" t="s">
        <v>29</v>
      </c>
      <c r="H1072" t="s">
        <v>61</v>
      </c>
      <c r="I1072">
        <v>12</v>
      </c>
      <c r="J1072" t="s">
        <v>2222</v>
      </c>
      <c r="K1072">
        <v>54</v>
      </c>
      <c r="L1072" t="s">
        <v>63</v>
      </c>
      <c r="M1072">
        <v>6</v>
      </c>
      <c r="N1072" t="s">
        <v>64</v>
      </c>
      <c r="O1072" t="s">
        <v>69</v>
      </c>
      <c r="P1072" t="s">
        <v>82</v>
      </c>
      <c r="Q1072" s="2">
        <v>30908.25</v>
      </c>
      <c r="R1072" s="2">
        <v>2500.8000000000002</v>
      </c>
      <c r="S1072" t="s">
        <v>36</v>
      </c>
      <c r="T1072" t="s">
        <v>37</v>
      </c>
      <c r="U1072" t="s">
        <v>75</v>
      </c>
      <c r="V1072">
        <v>2.5</v>
      </c>
      <c r="W1072" t="s">
        <v>76</v>
      </c>
      <c r="X1072" t="s">
        <v>84</v>
      </c>
      <c r="Y1072" t="s">
        <v>72</v>
      </c>
    </row>
    <row r="1073" spans="1:25" x14ac:dyDescent="0.3">
      <c r="A1073" t="s">
        <v>2223</v>
      </c>
      <c r="B1073" s="1">
        <v>45997</v>
      </c>
      <c r="C1073" t="s">
        <v>43</v>
      </c>
      <c r="D1073" t="s">
        <v>58</v>
      </c>
      <c r="E1073" t="s">
        <v>4085</v>
      </c>
      <c r="F1073" t="s">
        <v>60</v>
      </c>
      <c r="G1073" t="s">
        <v>29</v>
      </c>
      <c r="H1073" t="s">
        <v>46</v>
      </c>
      <c r="I1073">
        <v>3</v>
      </c>
      <c r="J1073" t="s">
        <v>2224</v>
      </c>
      <c r="K1073">
        <v>48</v>
      </c>
      <c r="L1073" t="s">
        <v>32</v>
      </c>
      <c r="M1073">
        <v>6</v>
      </c>
      <c r="N1073" t="s">
        <v>64</v>
      </c>
      <c r="O1073" t="s">
        <v>49</v>
      </c>
      <c r="P1073" t="s">
        <v>35</v>
      </c>
      <c r="Q1073" s="2">
        <v>14645.29</v>
      </c>
      <c r="R1073" s="2">
        <v>4002.55</v>
      </c>
      <c r="S1073" t="s">
        <v>51</v>
      </c>
      <c r="T1073" t="s">
        <v>71</v>
      </c>
      <c r="U1073" t="s">
        <v>53</v>
      </c>
      <c r="V1073">
        <v>3.3</v>
      </c>
      <c r="W1073" t="s">
        <v>76</v>
      </c>
      <c r="X1073" t="s">
        <v>65</v>
      </c>
      <c r="Y1073" t="s">
        <v>41</v>
      </c>
    </row>
    <row r="1074" spans="1:25" x14ac:dyDescent="0.3">
      <c r="A1074" t="s">
        <v>2225</v>
      </c>
      <c r="B1074" s="1">
        <v>45998</v>
      </c>
      <c r="C1074" t="s">
        <v>57</v>
      </c>
      <c r="D1074" t="s">
        <v>44</v>
      </c>
      <c r="E1074" t="s">
        <v>4085</v>
      </c>
      <c r="F1074" t="s">
        <v>60</v>
      </c>
      <c r="G1074" t="s">
        <v>29</v>
      </c>
      <c r="H1074" t="s">
        <v>59</v>
      </c>
      <c r="I1074">
        <v>8</v>
      </c>
      <c r="J1074" t="s">
        <v>2226</v>
      </c>
      <c r="K1074">
        <v>40</v>
      </c>
      <c r="L1074" t="s">
        <v>32</v>
      </c>
      <c r="M1074">
        <v>4</v>
      </c>
      <c r="N1074" t="s">
        <v>64</v>
      </c>
      <c r="O1074" t="s">
        <v>34</v>
      </c>
      <c r="P1074" t="s">
        <v>82</v>
      </c>
      <c r="Q1074" s="2">
        <v>26196.31</v>
      </c>
      <c r="R1074" s="2">
        <v>2442.9299999999998</v>
      </c>
      <c r="S1074" t="s">
        <v>115</v>
      </c>
      <c r="T1074" t="s">
        <v>71</v>
      </c>
      <c r="U1074" t="s">
        <v>53</v>
      </c>
      <c r="V1074">
        <v>4.2</v>
      </c>
      <c r="W1074" t="s">
        <v>54</v>
      </c>
      <c r="X1074" t="s">
        <v>40</v>
      </c>
      <c r="Y1074" t="s">
        <v>72</v>
      </c>
    </row>
    <row r="1075" spans="1:25" x14ac:dyDescent="0.3">
      <c r="A1075" t="s">
        <v>2227</v>
      </c>
      <c r="B1075" s="1">
        <v>45999</v>
      </c>
      <c r="C1075" t="s">
        <v>57</v>
      </c>
      <c r="D1075" t="s">
        <v>44</v>
      </c>
      <c r="E1075" t="s">
        <v>4085</v>
      </c>
      <c r="F1075" t="s">
        <v>60</v>
      </c>
      <c r="G1075" t="s">
        <v>29</v>
      </c>
      <c r="H1075" t="s">
        <v>46</v>
      </c>
      <c r="I1075">
        <v>6</v>
      </c>
      <c r="J1075" t="s">
        <v>2228</v>
      </c>
      <c r="K1075">
        <v>44</v>
      </c>
      <c r="L1075" t="s">
        <v>32</v>
      </c>
      <c r="M1075">
        <v>5</v>
      </c>
      <c r="N1075" t="s">
        <v>33</v>
      </c>
      <c r="O1075" t="s">
        <v>34</v>
      </c>
      <c r="P1075" t="s">
        <v>82</v>
      </c>
      <c r="Q1075" s="2">
        <v>25674.87</v>
      </c>
      <c r="R1075" s="2">
        <v>4027.41</v>
      </c>
      <c r="S1075" t="s">
        <v>115</v>
      </c>
      <c r="T1075" t="s">
        <v>37</v>
      </c>
      <c r="U1075" t="s">
        <v>83</v>
      </c>
      <c r="V1075">
        <v>1.2</v>
      </c>
      <c r="W1075" t="s">
        <v>124</v>
      </c>
      <c r="X1075" t="s">
        <v>84</v>
      </c>
      <c r="Y1075" t="s">
        <v>41</v>
      </c>
    </row>
    <row r="1076" spans="1:25" x14ac:dyDescent="0.3">
      <c r="A1076" t="s">
        <v>2229</v>
      </c>
      <c r="B1076" s="1">
        <v>46000</v>
      </c>
      <c r="C1076" t="s">
        <v>57</v>
      </c>
      <c r="D1076" t="s">
        <v>44</v>
      </c>
      <c r="E1076" t="s">
        <v>89</v>
      </c>
      <c r="F1076" t="s">
        <v>28</v>
      </c>
      <c r="G1076" t="s">
        <v>29</v>
      </c>
      <c r="H1076" t="s">
        <v>61</v>
      </c>
      <c r="I1076">
        <v>5</v>
      </c>
      <c r="J1076" t="s">
        <v>2230</v>
      </c>
      <c r="K1076">
        <v>39</v>
      </c>
      <c r="L1076" t="s">
        <v>63</v>
      </c>
      <c r="M1076">
        <v>5</v>
      </c>
      <c r="N1076" t="s">
        <v>48</v>
      </c>
      <c r="O1076" t="s">
        <v>49</v>
      </c>
      <c r="P1076" t="s">
        <v>70</v>
      </c>
      <c r="Q1076" s="2">
        <v>33029.43</v>
      </c>
      <c r="R1076" s="2">
        <v>2131.67</v>
      </c>
      <c r="S1076" t="s">
        <v>36</v>
      </c>
      <c r="T1076" t="s">
        <v>37</v>
      </c>
      <c r="U1076" t="s">
        <v>53</v>
      </c>
      <c r="V1076">
        <v>3.4</v>
      </c>
      <c r="W1076" t="s">
        <v>76</v>
      </c>
      <c r="X1076" t="s">
        <v>65</v>
      </c>
      <c r="Y1076" t="s">
        <v>41</v>
      </c>
    </row>
    <row r="1077" spans="1:25" x14ac:dyDescent="0.3">
      <c r="A1077" t="s">
        <v>2231</v>
      </c>
      <c r="B1077" s="1">
        <v>46001</v>
      </c>
      <c r="C1077" t="s">
        <v>43</v>
      </c>
      <c r="D1077" t="s">
        <v>58</v>
      </c>
      <c r="E1077" t="s">
        <v>120</v>
      </c>
      <c r="F1077" t="s">
        <v>28</v>
      </c>
      <c r="G1077" t="s">
        <v>29</v>
      </c>
      <c r="H1077" t="s">
        <v>86</v>
      </c>
      <c r="I1077">
        <v>4</v>
      </c>
      <c r="J1077" t="s">
        <v>2232</v>
      </c>
      <c r="K1077">
        <v>56</v>
      </c>
      <c r="L1077" t="s">
        <v>63</v>
      </c>
      <c r="M1077">
        <v>3</v>
      </c>
      <c r="N1077" t="s">
        <v>64</v>
      </c>
      <c r="O1077" t="s">
        <v>69</v>
      </c>
      <c r="P1077" t="s">
        <v>82</v>
      </c>
      <c r="Q1077" s="2">
        <v>16682.63</v>
      </c>
      <c r="R1077" s="2">
        <v>4996.76</v>
      </c>
      <c r="S1077" t="s">
        <v>36</v>
      </c>
      <c r="T1077" t="s">
        <v>37</v>
      </c>
      <c r="U1077" t="s">
        <v>75</v>
      </c>
      <c r="V1077">
        <v>4.3</v>
      </c>
      <c r="W1077" t="s">
        <v>54</v>
      </c>
      <c r="X1077" t="s">
        <v>40</v>
      </c>
      <c r="Y1077" t="s">
        <v>72</v>
      </c>
    </row>
    <row r="1078" spans="1:25" x14ac:dyDescent="0.3">
      <c r="A1078" t="s">
        <v>2233</v>
      </c>
      <c r="B1078" s="1">
        <v>46002</v>
      </c>
      <c r="C1078" t="s">
        <v>117</v>
      </c>
      <c r="D1078" t="s">
        <v>4083</v>
      </c>
      <c r="E1078" t="s">
        <v>45</v>
      </c>
      <c r="F1078" t="s">
        <v>28</v>
      </c>
      <c r="G1078" t="s">
        <v>29</v>
      </c>
      <c r="H1078" t="s">
        <v>67</v>
      </c>
      <c r="I1078">
        <v>9</v>
      </c>
      <c r="J1078" t="s">
        <v>2234</v>
      </c>
      <c r="K1078">
        <v>44</v>
      </c>
      <c r="L1078" t="s">
        <v>32</v>
      </c>
      <c r="M1078">
        <v>4</v>
      </c>
      <c r="N1078" t="s">
        <v>91</v>
      </c>
      <c r="O1078" t="s">
        <v>49</v>
      </c>
      <c r="P1078" t="s">
        <v>50</v>
      </c>
      <c r="Q1078" s="2">
        <v>31178.68</v>
      </c>
      <c r="R1078" s="2">
        <v>2179.14</v>
      </c>
      <c r="S1078" t="s">
        <v>36</v>
      </c>
      <c r="T1078" t="s">
        <v>71</v>
      </c>
      <c r="U1078" t="s">
        <v>53</v>
      </c>
      <c r="V1078">
        <v>2.5</v>
      </c>
      <c r="W1078" t="s">
        <v>76</v>
      </c>
      <c r="X1078" t="s">
        <v>40</v>
      </c>
      <c r="Y1078" t="s">
        <v>41</v>
      </c>
    </row>
    <row r="1079" spans="1:25" x14ac:dyDescent="0.3">
      <c r="A1079" t="s">
        <v>2235</v>
      </c>
      <c r="B1079" s="1">
        <v>46003</v>
      </c>
      <c r="C1079" t="s">
        <v>43</v>
      </c>
      <c r="D1079" t="s">
        <v>58</v>
      </c>
      <c r="E1079" t="s">
        <v>4084</v>
      </c>
      <c r="F1079" t="s">
        <v>60</v>
      </c>
      <c r="G1079" t="s">
        <v>29</v>
      </c>
      <c r="H1079" t="s">
        <v>27</v>
      </c>
      <c r="I1079">
        <v>11</v>
      </c>
      <c r="J1079" t="s">
        <v>2236</v>
      </c>
      <c r="K1079">
        <v>66</v>
      </c>
      <c r="L1079" t="s">
        <v>32</v>
      </c>
      <c r="M1079">
        <v>5</v>
      </c>
      <c r="N1079" t="s">
        <v>48</v>
      </c>
      <c r="O1079" t="s">
        <v>49</v>
      </c>
      <c r="P1079" t="s">
        <v>70</v>
      </c>
      <c r="Q1079" s="2">
        <v>15842.84</v>
      </c>
      <c r="R1079" s="2">
        <v>746.9</v>
      </c>
      <c r="S1079" t="s">
        <v>115</v>
      </c>
      <c r="T1079" t="s">
        <v>37</v>
      </c>
      <c r="U1079" t="s">
        <v>75</v>
      </c>
      <c r="V1079">
        <v>2.8</v>
      </c>
      <c r="W1079" t="s">
        <v>76</v>
      </c>
      <c r="X1079" t="s">
        <v>106</v>
      </c>
      <c r="Y1079" t="s">
        <v>41</v>
      </c>
    </row>
    <row r="1080" spans="1:25" x14ac:dyDescent="0.3">
      <c r="A1080" t="s">
        <v>2237</v>
      </c>
      <c r="B1080" s="1">
        <v>46004</v>
      </c>
      <c r="C1080" t="s">
        <v>43</v>
      </c>
      <c r="D1080" t="s">
        <v>58</v>
      </c>
      <c r="E1080" t="s">
        <v>120</v>
      </c>
      <c r="F1080" t="s">
        <v>28</v>
      </c>
      <c r="G1080" t="s">
        <v>29</v>
      </c>
      <c r="H1080" t="s">
        <v>86</v>
      </c>
      <c r="I1080">
        <v>14</v>
      </c>
      <c r="J1080" t="s">
        <v>2238</v>
      </c>
      <c r="K1080">
        <v>21</v>
      </c>
      <c r="L1080" t="s">
        <v>32</v>
      </c>
      <c r="M1080">
        <v>6</v>
      </c>
      <c r="N1080" t="s">
        <v>91</v>
      </c>
      <c r="O1080" t="s">
        <v>69</v>
      </c>
      <c r="P1080" t="s">
        <v>50</v>
      </c>
      <c r="Q1080" s="2">
        <v>25090.04</v>
      </c>
      <c r="R1080" s="2">
        <v>2009.35</v>
      </c>
      <c r="S1080" t="s">
        <v>51</v>
      </c>
      <c r="T1080" t="s">
        <v>71</v>
      </c>
      <c r="U1080" t="s">
        <v>75</v>
      </c>
      <c r="V1080">
        <v>3.8</v>
      </c>
      <c r="W1080" t="s">
        <v>39</v>
      </c>
      <c r="X1080" t="s">
        <v>84</v>
      </c>
      <c r="Y1080" t="s">
        <v>41</v>
      </c>
    </row>
    <row r="1081" spans="1:25" x14ac:dyDescent="0.3">
      <c r="A1081" t="s">
        <v>2239</v>
      </c>
      <c r="B1081" s="1">
        <v>46005</v>
      </c>
      <c r="C1081" t="s">
        <v>57</v>
      </c>
      <c r="D1081" t="s">
        <v>44</v>
      </c>
      <c r="E1081" t="s">
        <v>4084</v>
      </c>
      <c r="F1081" t="s">
        <v>60</v>
      </c>
      <c r="G1081" t="s">
        <v>29</v>
      </c>
      <c r="H1081" t="s">
        <v>30</v>
      </c>
      <c r="I1081">
        <v>5</v>
      </c>
      <c r="J1081" t="s">
        <v>2240</v>
      </c>
      <c r="K1081">
        <v>41</v>
      </c>
      <c r="L1081" t="s">
        <v>32</v>
      </c>
      <c r="M1081">
        <v>2</v>
      </c>
      <c r="N1081" t="s">
        <v>48</v>
      </c>
      <c r="O1081" t="s">
        <v>49</v>
      </c>
      <c r="P1081" t="s">
        <v>70</v>
      </c>
      <c r="Q1081" s="2">
        <v>10521.76</v>
      </c>
      <c r="R1081" s="2">
        <v>3712.97</v>
      </c>
      <c r="S1081" t="s">
        <v>115</v>
      </c>
      <c r="T1081" t="s">
        <v>52</v>
      </c>
      <c r="U1081" t="s">
        <v>83</v>
      </c>
      <c r="V1081">
        <v>1.3</v>
      </c>
      <c r="W1081" t="s">
        <v>124</v>
      </c>
      <c r="X1081" t="s">
        <v>84</v>
      </c>
      <c r="Y1081" t="s">
        <v>41</v>
      </c>
    </row>
    <row r="1082" spans="1:25" x14ac:dyDescent="0.3">
      <c r="A1082" t="s">
        <v>2241</v>
      </c>
      <c r="B1082" s="1">
        <v>46006</v>
      </c>
      <c r="C1082" t="s">
        <v>78</v>
      </c>
      <c r="D1082" t="s">
        <v>58</v>
      </c>
      <c r="E1082" t="s">
        <v>45</v>
      </c>
      <c r="F1082" t="s">
        <v>28</v>
      </c>
      <c r="G1082" t="s">
        <v>29</v>
      </c>
      <c r="H1082" t="s">
        <v>67</v>
      </c>
      <c r="I1082">
        <v>8</v>
      </c>
      <c r="J1082" t="s">
        <v>2242</v>
      </c>
      <c r="K1082">
        <v>40</v>
      </c>
      <c r="L1082" t="s">
        <v>32</v>
      </c>
      <c r="M1082">
        <v>2</v>
      </c>
      <c r="N1082" t="s">
        <v>33</v>
      </c>
      <c r="O1082" t="s">
        <v>81</v>
      </c>
      <c r="P1082" t="s">
        <v>82</v>
      </c>
      <c r="Q1082" s="2">
        <v>6678.52</v>
      </c>
      <c r="R1082" s="2">
        <v>4239.6899999999996</v>
      </c>
      <c r="S1082" t="s">
        <v>36</v>
      </c>
      <c r="T1082" t="s">
        <v>37</v>
      </c>
      <c r="U1082" t="s">
        <v>75</v>
      </c>
      <c r="V1082">
        <v>2.5</v>
      </c>
      <c r="W1082" t="s">
        <v>76</v>
      </c>
      <c r="X1082" t="s">
        <v>65</v>
      </c>
      <c r="Y1082" t="s">
        <v>72</v>
      </c>
    </row>
    <row r="1083" spans="1:25" x14ac:dyDescent="0.3">
      <c r="A1083" t="s">
        <v>2243</v>
      </c>
      <c r="B1083" s="1">
        <v>46007</v>
      </c>
      <c r="C1083" t="s">
        <v>117</v>
      </c>
      <c r="D1083" t="s">
        <v>4083</v>
      </c>
      <c r="E1083" t="s">
        <v>89</v>
      </c>
      <c r="F1083" t="s">
        <v>28</v>
      </c>
      <c r="G1083" t="s">
        <v>29</v>
      </c>
      <c r="H1083" t="s">
        <v>61</v>
      </c>
      <c r="I1083">
        <v>11</v>
      </c>
      <c r="J1083" t="s">
        <v>2244</v>
      </c>
      <c r="K1083">
        <v>65</v>
      </c>
      <c r="L1083" t="s">
        <v>80</v>
      </c>
      <c r="M1083">
        <v>4</v>
      </c>
      <c r="N1083" t="s">
        <v>48</v>
      </c>
      <c r="O1083" t="s">
        <v>34</v>
      </c>
      <c r="P1083" t="s">
        <v>70</v>
      </c>
      <c r="Q1083" s="2">
        <v>19426.43</v>
      </c>
      <c r="R1083" s="2">
        <v>2300.52</v>
      </c>
      <c r="S1083" t="s">
        <v>51</v>
      </c>
      <c r="T1083" t="s">
        <v>52</v>
      </c>
      <c r="U1083" t="s">
        <v>75</v>
      </c>
      <c r="V1083">
        <v>2.2000000000000002</v>
      </c>
      <c r="W1083" t="s">
        <v>76</v>
      </c>
      <c r="X1083" t="s">
        <v>106</v>
      </c>
      <c r="Y1083" t="s">
        <v>72</v>
      </c>
    </row>
    <row r="1084" spans="1:25" x14ac:dyDescent="0.3">
      <c r="A1084" t="s">
        <v>2245</v>
      </c>
      <c r="B1084" s="1">
        <v>46008</v>
      </c>
      <c r="C1084" t="s">
        <v>57</v>
      </c>
      <c r="D1084" t="s">
        <v>44</v>
      </c>
      <c r="E1084" t="s">
        <v>4085</v>
      </c>
      <c r="F1084" t="s">
        <v>60</v>
      </c>
      <c r="G1084" t="s">
        <v>29</v>
      </c>
      <c r="H1084" t="s">
        <v>46</v>
      </c>
      <c r="I1084">
        <v>4</v>
      </c>
      <c r="J1084" t="s">
        <v>2246</v>
      </c>
      <c r="K1084">
        <v>36</v>
      </c>
      <c r="L1084" t="s">
        <v>32</v>
      </c>
      <c r="M1084">
        <v>3</v>
      </c>
      <c r="N1084" t="s">
        <v>91</v>
      </c>
      <c r="O1084" t="s">
        <v>81</v>
      </c>
      <c r="P1084" t="s">
        <v>50</v>
      </c>
      <c r="Q1084" s="2">
        <v>17355.73</v>
      </c>
      <c r="R1084" s="2">
        <v>2972.38</v>
      </c>
      <c r="S1084" t="s">
        <v>94</v>
      </c>
      <c r="T1084" t="s">
        <v>71</v>
      </c>
      <c r="U1084" t="s">
        <v>83</v>
      </c>
      <c r="V1084">
        <v>1.1000000000000001</v>
      </c>
      <c r="W1084" t="s">
        <v>124</v>
      </c>
      <c r="X1084" t="s">
        <v>84</v>
      </c>
      <c r="Y1084" t="s">
        <v>72</v>
      </c>
    </row>
    <row r="1085" spans="1:25" x14ac:dyDescent="0.3">
      <c r="A1085" t="s">
        <v>2247</v>
      </c>
      <c r="B1085" s="1">
        <v>46009</v>
      </c>
      <c r="C1085" t="s">
        <v>78</v>
      </c>
      <c r="D1085" t="s">
        <v>58</v>
      </c>
      <c r="E1085" t="s">
        <v>4085</v>
      </c>
      <c r="F1085" t="s">
        <v>60</v>
      </c>
      <c r="G1085" t="s">
        <v>29</v>
      </c>
      <c r="H1085" t="s">
        <v>46</v>
      </c>
      <c r="I1085">
        <v>9</v>
      </c>
      <c r="J1085" t="s">
        <v>2248</v>
      </c>
      <c r="K1085">
        <v>59</v>
      </c>
      <c r="L1085" t="s">
        <v>80</v>
      </c>
      <c r="M1085">
        <v>3</v>
      </c>
      <c r="N1085" t="s">
        <v>48</v>
      </c>
      <c r="O1085" t="s">
        <v>81</v>
      </c>
      <c r="P1085" t="s">
        <v>70</v>
      </c>
      <c r="Q1085" s="2">
        <v>23312.12</v>
      </c>
      <c r="R1085" s="2">
        <v>4224.45</v>
      </c>
      <c r="S1085" t="s">
        <v>94</v>
      </c>
      <c r="T1085" t="s">
        <v>52</v>
      </c>
      <c r="U1085" t="s">
        <v>75</v>
      </c>
      <c r="V1085">
        <v>1.8</v>
      </c>
      <c r="W1085" t="s">
        <v>124</v>
      </c>
      <c r="X1085" t="s">
        <v>40</v>
      </c>
      <c r="Y1085" t="s">
        <v>72</v>
      </c>
    </row>
    <row r="1086" spans="1:25" x14ac:dyDescent="0.3">
      <c r="A1086" t="s">
        <v>2249</v>
      </c>
      <c r="B1086" s="1">
        <v>46010</v>
      </c>
      <c r="C1086" t="s">
        <v>78</v>
      </c>
      <c r="D1086" t="s">
        <v>58</v>
      </c>
      <c r="E1086" t="s">
        <v>89</v>
      </c>
      <c r="F1086" t="s">
        <v>28</v>
      </c>
      <c r="G1086" t="s">
        <v>29</v>
      </c>
      <c r="H1086" t="s">
        <v>61</v>
      </c>
      <c r="I1086">
        <v>7</v>
      </c>
      <c r="J1086" t="s">
        <v>2250</v>
      </c>
      <c r="K1086">
        <v>20</v>
      </c>
      <c r="L1086" t="s">
        <v>63</v>
      </c>
      <c r="M1086">
        <v>5</v>
      </c>
      <c r="N1086" t="s">
        <v>33</v>
      </c>
      <c r="O1086" t="s">
        <v>81</v>
      </c>
      <c r="P1086" t="s">
        <v>50</v>
      </c>
      <c r="Q1086" s="2">
        <v>48289.22</v>
      </c>
      <c r="R1086" s="2">
        <v>4067.73</v>
      </c>
      <c r="S1086" t="s">
        <v>36</v>
      </c>
      <c r="T1086" t="s">
        <v>37</v>
      </c>
      <c r="U1086" t="s">
        <v>83</v>
      </c>
      <c r="V1086">
        <v>2.6</v>
      </c>
      <c r="W1086" t="s">
        <v>76</v>
      </c>
      <c r="X1086" t="s">
        <v>84</v>
      </c>
      <c r="Y1086" t="s">
        <v>41</v>
      </c>
    </row>
    <row r="1087" spans="1:25" x14ac:dyDescent="0.3">
      <c r="A1087" t="s">
        <v>2251</v>
      </c>
      <c r="B1087" s="1">
        <v>46011</v>
      </c>
      <c r="C1087" t="s">
        <v>26</v>
      </c>
      <c r="D1087" t="s">
        <v>26</v>
      </c>
      <c r="E1087" t="s">
        <v>120</v>
      </c>
      <c r="F1087" t="s">
        <v>28</v>
      </c>
      <c r="G1087" t="s">
        <v>29</v>
      </c>
      <c r="H1087" t="s">
        <v>86</v>
      </c>
      <c r="I1087">
        <v>7</v>
      </c>
      <c r="J1087" t="s">
        <v>2252</v>
      </c>
      <c r="K1087">
        <v>44</v>
      </c>
      <c r="L1087" t="s">
        <v>63</v>
      </c>
      <c r="M1087">
        <v>7</v>
      </c>
      <c r="N1087" t="s">
        <v>91</v>
      </c>
      <c r="O1087" t="s">
        <v>49</v>
      </c>
      <c r="P1087" t="s">
        <v>35</v>
      </c>
      <c r="Q1087" s="2">
        <v>28500.32</v>
      </c>
      <c r="R1087" s="2">
        <v>3288.62</v>
      </c>
      <c r="S1087" t="s">
        <v>51</v>
      </c>
      <c r="T1087" t="s">
        <v>52</v>
      </c>
      <c r="U1087" t="s">
        <v>38</v>
      </c>
      <c r="V1087">
        <v>1.8</v>
      </c>
      <c r="W1087" t="s">
        <v>124</v>
      </c>
      <c r="X1087" t="s">
        <v>106</v>
      </c>
      <c r="Y1087" t="s">
        <v>72</v>
      </c>
    </row>
    <row r="1088" spans="1:25" x14ac:dyDescent="0.3">
      <c r="A1088" t="s">
        <v>2253</v>
      </c>
      <c r="B1088" s="1">
        <v>46012</v>
      </c>
      <c r="C1088" t="s">
        <v>117</v>
      </c>
      <c r="D1088" t="s">
        <v>4083</v>
      </c>
      <c r="E1088" t="s">
        <v>120</v>
      </c>
      <c r="F1088" t="s">
        <v>28</v>
      </c>
      <c r="G1088" t="s">
        <v>29</v>
      </c>
      <c r="H1088" t="s">
        <v>86</v>
      </c>
      <c r="I1088">
        <v>13</v>
      </c>
      <c r="J1088" t="s">
        <v>2254</v>
      </c>
      <c r="K1088">
        <v>20</v>
      </c>
      <c r="L1088" t="s">
        <v>80</v>
      </c>
      <c r="M1088">
        <v>4</v>
      </c>
      <c r="N1088" t="s">
        <v>64</v>
      </c>
      <c r="O1088" t="s">
        <v>69</v>
      </c>
      <c r="P1088" t="s">
        <v>82</v>
      </c>
      <c r="Q1088" s="2">
        <v>29892.95</v>
      </c>
      <c r="R1088" s="2">
        <v>4075.14</v>
      </c>
      <c r="S1088" t="s">
        <v>36</v>
      </c>
      <c r="T1088" t="s">
        <v>52</v>
      </c>
      <c r="U1088" t="s">
        <v>38</v>
      </c>
      <c r="V1088">
        <v>3.4</v>
      </c>
      <c r="W1088" t="s">
        <v>76</v>
      </c>
      <c r="X1088" t="s">
        <v>55</v>
      </c>
      <c r="Y1088" t="s">
        <v>72</v>
      </c>
    </row>
    <row r="1089" spans="1:25" x14ac:dyDescent="0.3">
      <c r="A1089" t="s">
        <v>2255</v>
      </c>
      <c r="B1089" s="1">
        <v>46013</v>
      </c>
      <c r="C1089" t="s">
        <v>78</v>
      </c>
      <c r="D1089" t="s">
        <v>58</v>
      </c>
      <c r="E1089" t="s">
        <v>4084</v>
      </c>
      <c r="F1089" t="s">
        <v>60</v>
      </c>
      <c r="G1089" t="s">
        <v>29</v>
      </c>
      <c r="H1089" t="s">
        <v>30</v>
      </c>
      <c r="I1089">
        <v>9</v>
      </c>
      <c r="J1089" t="s">
        <v>2256</v>
      </c>
      <c r="K1089">
        <v>45</v>
      </c>
      <c r="L1089" t="s">
        <v>32</v>
      </c>
      <c r="M1089">
        <v>7</v>
      </c>
      <c r="N1089" t="s">
        <v>48</v>
      </c>
      <c r="O1089" t="s">
        <v>49</v>
      </c>
      <c r="P1089" t="s">
        <v>50</v>
      </c>
      <c r="Q1089" s="2">
        <v>47372.05</v>
      </c>
      <c r="R1089" s="2">
        <v>2879.55</v>
      </c>
      <c r="S1089" t="s">
        <v>115</v>
      </c>
      <c r="T1089" t="s">
        <v>52</v>
      </c>
      <c r="U1089" t="s">
        <v>38</v>
      </c>
      <c r="V1089">
        <v>2.8</v>
      </c>
      <c r="W1089" t="s">
        <v>76</v>
      </c>
      <c r="X1089" t="s">
        <v>40</v>
      </c>
      <c r="Y1089" t="s">
        <v>41</v>
      </c>
    </row>
    <row r="1090" spans="1:25" x14ac:dyDescent="0.3">
      <c r="A1090" t="s">
        <v>2257</v>
      </c>
      <c r="B1090" s="1">
        <v>46014</v>
      </c>
      <c r="C1090" t="s">
        <v>57</v>
      </c>
      <c r="D1090" t="s">
        <v>44</v>
      </c>
      <c r="E1090" t="s">
        <v>89</v>
      </c>
      <c r="F1090" t="s">
        <v>28</v>
      </c>
      <c r="G1090" t="s">
        <v>29</v>
      </c>
      <c r="H1090" t="s">
        <v>61</v>
      </c>
      <c r="I1090">
        <v>11</v>
      </c>
      <c r="J1090" t="s">
        <v>2258</v>
      </c>
      <c r="K1090">
        <v>34</v>
      </c>
      <c r="L1090" t="s">
        <v>63</v>
      </c>
      <c r="M1090">
        <v>2</v>
      </c>
      <c r="N1090" t="s">
        <v>91</v>
      </c>
      <c r="O1090" t="s">
        <v>34</v>
      </c>
      <c r="P1090" t="s">
        <v>35</v>
      </c>
      <c r="Q1090" s="2">
        <v>46451.62</v>
      </c>
      <c r="R1090" s="2">
        <v>23.24</v>
      </c>
      <c r="S1090" t="s">
        <v>115</v>
      </c>
      <c r="T1090" t="s">
        <v>71</v>
      </c>
      <c r="U1090" t="s">
        <v>75</v>
      </c>
      <c r="V1090">
        <v>1.2</v>
      </c>
      <c r="W1090" t="s">
        <v>124</v>
      </c>
      <c r="X1090" t="s">
        <v>84</v>
      </c>
      <c r="Y1090" t="s">
        <v>72</v>
      </c>
    </row>
    <row r="1091" spans="1:25" x14ac:dyDescent="0.3">
      <c r="A1091" t="s">
        <v>2259</v>
      </c>
      <c r="B1091" s="1">
        <v>46015</v>
      </c>
      <c r="C1091" t="s">
        <v>26</v>
      </c>
      <c r="D1091" t="s">
        <v>26</v>
      </c>
      <c r="E1091" t="s">
        <v>120</v>
      </c>
      <c r="F1091" t="s">
        <v>28</v>
      </c>
      <c r="G1091" t="s">
        <v>29</v>
      </c>
      <c r="H1091" t="s">
        <v>86</v>
      </c>
      <c r="I1091">
        <v>6</v>
      </c>
      <c r="J1091" t="s">
        <v>2260</v>
      </c>
      <c r="K1091">
        <v>48</v>
      </c>
      <c r="L1091" t="s">
        <v>32</v>
      </c>
      <c r="M1091">
        <v>6</v>
      </c>
      <c r="N1091" t="s">
        <v>48</v>
      </c>
      <c r="O1091" t="s">
        <v>49</v>
      </c>
      <c r="P1091" t="s">
        <v>82</v>
      </c>
      <c r="Q1091" s="2">
        <v>44785.04</v>
      </c>
      <c r="R1091" s="2">
        <v>206.33</v>
      </c>
      <c r="S1091" t="s">
        <v>51</v>
      </c>
      <c r="T1091" t="s">
        <v>37</v>
      </c>
      <c r="U1091" t="s">
        <v>53</v>
      </c>
      <c r="V1091">
        <v>2.1</v>
      </c>
      <c r="W1091" t="s">
        <v>76</v>
      </c>
      <c r="X1091" t="s">
        <v>40</v>
      </c>
      <c r="Y1091" t="s">
        <v>41</v>
      </c>
    </row>
    <row r="1092" spans="1:25" x14ac:dyDescent="0.3">
      <c r="A1092" t="s">
        <v>2261</v>
      </c>
      <c r="B1092" s="1">
        <v>46016</v>
      </c>
      <c r="C1092" t="s">
        <v>117</v>
      </c>
      <c r="D1092" t="s">
        <v>4083</v>
      </c>
      <c r="E1092" t="s">
        <v>89</v>
      </c>
      <c r="F1092" t="s">
        <v>28</v>
      </c>
      <c r="G1092" t="s">
        <v>29</v>
      </c>
      <c r="H1092" t="s">
        <v>61</v>
      </c>
      <c r="I1092">
        <v>11</v>
      </c>
      <c r="J1092" t="s">
        <v>2262</v>
      </c>
      <c r="K1092">
        <v>27</v>
      </c>
      <c r="L1092" t="s">
        <v>32</v>
      </c>
      <c r="M1092">
        <v>5</v>
      </c>
      <c r="N1092" t="s">
        <v>33</v>
      </c>
      <c r="O1092" t="s">
        <v>49</v>
      </c>
      <c r="P1092" t="s">
        <v>35</v>
      </c>
      <c r="Q1092" s="2">
        <v>9409.76</v>
      </c>
      <c r="R1092" s="2">
        <v>4899.04</v>
      </c>
      <c r="S1092" t="s">
        <v>36</v>
      </c>
      <c r="T1092" t="s">
        <v>71</v>
      </c>
      <c r="U1092" t="s">
        <v>83</v>
      </c>
      <c r="V1092">
        <v>1.1000000000000001</v>
      </c>
      <c r="W1092" t="s">
        <v>124</v>
      </c>
      <c r="X1092" t="s">
        <v>65</v>
      </c>
      <c r="Y1092" t="s">
        <v>72</v>
      </c>
    </row>
    <row r="1093" spans="1:25" x14ac:dyDescent="0.3">
      <c r="A1093" t="s">
        <v>2263</v>
      </c>
      <c r="B1093" s="1">
        <v>46017</v>
      </c>
      <c r="C1093" t="s">
        <v>43</v>
      </c>
      <c r="D1093" t="s">
        <v>58</v>
      </c>
      <c r="E1093" t="s">
        <v>45</v>
      </c>
      <c r="F1093" t="s">
        <v>28</v>
      </c>
      <c r="G1093" t="s">
        <v>29</v>
      </c>
      <c r="H1093" t="s">
        <v>67</v>
      </c>
      <c r="I1093">
        <v>13</v>
      </c>
      <c r="J1093" t="s">
        <v>2264</v>
      </c>
      <c r="K1093">
        <v>66</v>
      </c>
      <c r="L1093" t="s">
        <v>80</v>
      </c>
      <c r="M1093">
        <v>6</v>
      </c>
      <c r="N1093" t="s">
        <v>91</v>
      </c>
      <c r="O1093" t="s">
        <v>49</v>
      </c>
      <c r="P1093" t="s">
        <v>50</v>
      </c>
      <c r="Q1093" s="2">
        <v>33543.379999999997</v>
      </c>
      <c r="R1093" s="2">
        <v>724.96</v>
      </c>
      <c r="S1093" t="s">
        <v>36</v>
      </c>
      <c r="T1093" t="s">
        <v>52</v>
      </c>
      <c r="U1093" t="s">
        <v>38</v>
      </c>
      <c r="V1093">
        <v>2.4</v>
      </c>
      <c r="W1093" t="s">
        <v>76</v>
      </c>
      <c r="X1093" t="s">
        <v>40</v>
      </c>
      <c r="Y1093" t="s">
        <v>72</v>
      </c>
    </row>
    <row r="1094" spans="1:25" x14ac:dyDescent="0.3">
      <c r="A1094" t="s">
        <v>2265</v>
      </c>
      <c r="B1094" s="1">
        <v>46018</v>
      </c>
      <c r="C1094" t="s">
        <v>57</v>
      </c>
      <c r="D1094" t="s">
        <v>44</v>
      </c>
      <c r="E1094" t="s">
        <v>4085</v>
      </c>
      <c r="F1094" t="s">
        <v>60</v>
      </c>
      <c r="G1094" t="s">
        <v>29</v>
      </c>
      <c r="H1094" t="s">
        <v>46</v>
      </c>
      <c r="I1094">
        <v>12</v>
      </c>
      <c r="J1094" t="s">
        <v>2266</v>
      </c>
      <c r="K1094">
        <v>39</v>
      </c>
      <c r="L1094" t="s">
        <v>63</v>
      </c>
      <c r="M1094">
        <v>7</v>
      </c>
      <c r="N1094" t="s">
        <v>64</v>
      </c>
      <c r="O1094" t="s">
        <v>49</v>
      </c>
      <c r="P1094" t="s">
        <v>82</v>
      </c>
      <c r="Q1094" s="2">
        <v>41364.449999999997</v>
      </c>
      <c r="R1094" s="2">
        <v>2022.58</v>
      </c>
      <c r="S1094" t="s">
        <v>94</v>
      </c>
      <c r="T1094" t="s">
        <v>52</v>
      </c>
      <c r="U1094" t="s">
        <v>83</v>
      </c>
      <c r="V1094">
        <v>2</v>
      </c>
      <c r="W1094" t="s">
        <v>76</v>
      </c>
      <c r="X1094" t="s">
        <v>84</v>
      </c>
      <c r="Y1094" t="s">
        <v>72</v>
      </c>
    </row>
    <row r="1095" spans="1:25" x14ac:dyDescent="0.3">
      <c r="A1095" t="s">
        <v>2267</v>
      </c>
      <c r="B1095" s="1">
        <v>46019</v>
      </c>
      <c r="C1095" t="s">
        <v>78</v>
      </c>
      <c r="D1095" t="s">
        <v>58</v>
      </c>
      <c r="E1095" t="s">
        <v>4085</v>
      </c>
      <c r="F1095" t="s">
        <v>60</v>
      </c>
      <c r="G1095" t="s">
        <v>29</v>
      </c>
      <c r="H1095" t="s">
        <v>46</v>
      </c>
      <c r="I1095">
        <v>11</v>
      </c>
      <c r="J1095" t="s">
        <v>2268</v>
      </c>
      <c r="K1095">
        <v>47</v>
      </c>
      <c r="L1095" t="s">
        <v>63</v>
      </c>
      <c r="M1095">
        <v>5</v>
      </c>
      <c r="N1095" t="s">
        <v>64</v>
      </c>
      <c r="O1095" t="s">
        <v>81</v>
      </c>
      <c r="P1095" t="s">
        <v>35</v>
      </c>
      <c r="Q1095" s="2">
        <v>42600.86</v>
      </c>
      <c r="R1095" s="2">
        <v>4669.0600000000004</v>
      </c>
      <c r="S1095" t="s">
        <v>51</v>
      </c>
      <c r="T1095" t="s">
        <v>71</v>
      </c>
      <c r="U1095" t="s">
        <v>38</v>
      </c>
      <c r="V1095">
        <v>3.8</v>
      </c>
      <c r="W1095" t="s">
        <v>54</v>
      </c>
      <c r="X1095" t="s">
        <v>65</v>
      </c>
      <c r="Y1095" t="s">
        <v>41</v>
      </c>
    </row>
    <row r="1096" spans="1:25" x14ac:dyDescent="0.3">
      <c r="A1096" t="s">
        <v>2269</v>
      </c>
      <c r="B1096" s="1">
        <v>46020</v>
      </c>
      <c r="C1096" t="s">
        <v>78</v>
      </c>
      <c r="D1096" t="s">
        <v>58</v>
      </c>
      <c r="E1096" t="s">
        <v>4085</v>
      </c>
      <c r="F1096" t="s">
        <v>60</v>
      </c>
      <c r="G1096" t="s">
        <v>29</v>
      </c>
      <c r="H1096" t="s">
        <v>59</v>
      </c>
      <c r="I1096">
        <v>6</v>
      </c>
      <c r="J1096" t="s">
        <v>2270</v>
      </c>
      <c r="K1096">
        <v>66</v>
      </c>
      <c r="L1096" t="s">
        <v>80</v>
      </c>
      <c r="M1096">
        <v>1</v>
      </c>
      <c r="N1096" t="s">
        <v>48</v>
      </c>
      <c r="O1096" t="s">
        <v>69</v>
      </c>
      <c r="P1096" t="s">
        <v>50</v>
      </c>
      <c r="Q1096" s="2">
        <v>31005.82</v>
      </c>
      <c r="R1096" s="2">
        <v>975.2</v>
      </c>
      <c r="S1096" t="s">
        <v>36</v>
      </c>
      <c r="T1096" t="s">
        <v>71</v>
      </c>
      <c r="U1096" t="s">
        <v>38</v>
      </c>
      <c r="V1096">
        <v>2.2000000000000002</v>
      </c>
      <c r="W1096" t="s">
        <v>76</v>
      </c>
      <c r="X1096" t="s">
        <v>65</v>
      </c>
      <c r="Y1096" t="s">
        <v>72</v>
      </c>
    </row>
    <row r="1097" spans="1:25" x14ac:dyDescent="0.3">
      <c r="A1097" t="s">
        <v>2271</v>
      </c>
      <c r="B1097" s="1">
        <v>46021</v>
      </c>
      <c r="C1097" t="s">
        <v>57</v>
      </c>
      <c r="D1097" t="s">
        <v>44</v>
      </c>
      <c r="E1097" t="s">
        <v>89</v>
      </c>
      <c r="F1097" t="s">
        <v>28</v>
      </c>
      <c r="G1097" t="s">
        <v>29</v>
      </c>
      <c r="H1097" t="s">
        <v>61</v>
      </c>
      <c r="I1097">
        <v>5</v>
      </c>
      <c r="J1097" t="s">
        <v>2272</v>
      </c>
      <c r="K1097">
        <v>38</v>
      </c>
      <c r="L1097" t="s">
        <v>32</v>
      </c>
      <c r="M1097">
        <v>6</v>
      </c>
      <c r="N1097" t="s">
        <v>33</v>
      </c>
      <c r="O1097" t="s">
        <v>34</v>
      </c>
      <c r="P1097" t="s">
        <v>35</v>
      </c>
      <c r="Q1097" s="2">
        <v>5787.3</v>
      </c>
      <c r="R1097" s="2">
        <v>4218.96</v>
      </c>
      <c r="S1097" t="s">
        <v>115</v>
      </c>
      <c r="T1097" t="s">
        <v>52</v>
      </c>
      <c r="U1097" t="s">
        <v>75</v>
      </c>
      <c r="V1097">
        <v>2.5</v>
      </c>
      <c r="W1097" t="s">
        <v>76</v>
      </c>
      <c r="X1097" t="s">
        <v>65</v>
      </c>
      <c r="Y1097" t="s">
        <v>72</v>
      </c>
    </row>
    <row r="1098" spans="1:25" x14ac:dyDescent="0.3">
      <c r="A1098" t="s">
        <v>2273</v>
      </c>
      <c r="B1098" s="1">
        <v>46022</v>
      </c>
      <c r="C1098" t="s">
        <v>78</v>
      </c>
      <c r="D1098" t="s">
        <v>58</v>
      </c>
      <c r="E1098" t="s">
        <v>89</v>
      </c>
      <c r="F1098" t="s">
        <v>28</v>
      </c>
      <c r="G1098" t="s">
        <v>29</v>
      </c>
      <c r="H1098" t="s">
        <v>61</v>
      </c>
      <c r="I1098">
        <v>4</v>
      </c>
      <c r="J1098" t="s">
        <v>2274</v>
      </c>
      <c r="K1098">
        <v>53</v>
      </c>
      <c r="L1098" t="s">
        <v>32</v>
      </c>
      <c r="M1098">
        <v>4</v>
      </c>
      <c r="N1098" t="s">
        <v>33</v>
      </c>
      <c r="O1098" t="s">
        <v>34</v>
      </c>
      <c r="P1098" t="s">
        <v>82</v>
      </c>
      <c r="Q1098" s="2">
        <v>48817.08</v>
      </c>
      <c r="R1098" s="2">
        <v>4091.34</v>
      </c>
      <c r="S1098" t="s">
        <v>36</v>
      </c>
      <c r="T1098" t="s">
        <v>37</v>
      </c>
      <c r="U1098" t="s">
        <v>83</v>
      </c>
      <c r="V1098">
        <v>3.9</v>
      </c>
      <c r="W1098" t="s">
        <v>54</v>
      </c>
      <c r="X1098" t="s">
        <v>55</v>
      </c>
      <c r="Y1098" t="s">
        <v>41</v>
      </c>
    </row>
    <row r="1099" spans="1:25" x14ac:dyDescent="0.3">
      <c r="A1099" t="s">
        <v>2275</v>
      </c>
      <c r="B1099" s="1">
        <v>46023</v>
      </c>
      <c r="C1099" t="s">
        <v>26</v>
      </c>
      <c r="D1099" t="s">
        <v>26</v>
      </c>
      <c r="E1099" t="s">
        <v>4084</v>
      </c>
      <c r="F1099" t="s">
        <v>60</v>
      </c>
      <c r="G1099" t="s">
        <v>29</v>
      </c>
      <c r="H1099" t="s">
        <v>30</v>
      </c>
      <c r="I1099">
        <v>11</v>
      </c>
      <c r="J1099" t="s">
        <v>2276</v>
      </c>
      <c r="K1099">
        <v>40</v>
      </c>
      <c r="L1099" t="s">
        <v>63</v>
      </c>
      <c r="M1099">
        <v>6</v>
      </c>
      <c r="N1099" t="s">
        <v>48</v>
      </c>
      <c r="O1099" t="s">
        <v>34</v>
      </c>
      <c r="P1099" t="s">
        <v>82</v>
      </c>
      <c r="Q1099" s="2">
        <v>26248.85</v>
      </c>
      <c r="R1099" s="2">
        <v>4931.6499999999996</v>
      </c>
      <c r="S1099" t="s">
        <v>36</v>
      </c>
      <c r="T1099" t="s">
        <v>71</v>
      </c>
      <c r="U1099" t="s">
        <v>75</v>
      </c>
      <c r="V1099">
        <v>2.9</v>
      </c>
      <c r="W1099" t="s">
        <v>76</v>
      </c>
      <c r="X1099" t="s">
        <v>55</v>
      </c>
      <c r="Y1099" t="s">
        <v>72</v>
      </c>
    </row>
    <row r="1100" spans="1:25" x14ac:dyDescent="0.3">
      <c r="A1100" t="s">
        <v>2277</v>
      </c>
      <c r="B1100" s="1">
        <v>46024</v>
      </c>
      <c r="C1100" t="s">
        <v>117</v>
      </c>
      <c r="D1100" t="s">
        <v>4083</v>
      </c>
      <c r="E1100" t="s">
        <v>4085</v>
      </c>
      <c r="F1100" t="s">
        <v>60</v>
      </c>
      <c r="G1100" t="s">
        <v>29</v>
      </c>
      <c r="H1100" t="s">
        <v>59</v>
      </c>
      <c r="I1100">
        <v>14</v>
      </c>
      <c r="J1100" t="s">
        <v>2278</v>
      </c>
      <c r="K1100">
        <v>55</v>
      </c>
      <c r="L1100" t="s">
        <v>80</v>
      </c>
      <c r="M1100">
        <v>6</v>
      </c>
      <c r="N1100" t="s">
        <v>91</v>
      </c>
      <c r="O1100" t="s">
        <v>49</v>
      </c>
      <c r="P1100" t="s">
        <v>82</v>
      </c>
      <c r="Q1100" s="2">
        <v>22711.82</v>
      </c>
      <c r="R1100" s="2">
        <v>1408.41</v>
      </c>
      <c r="S1100" t="s">
        <v>115</v>
      </c>
      <c r="T1100" t="s">
        <v>52</v>
      </c>
      <c r="U1100" t="s">
        <v>83</v>
      </c>
      <c r="V1100">
        <v>3.2</v>
      </c>
      <c r="W1100" t="s">
        <v>76</v>
      </c>
      <c r="X1100" t="s">
        <v>65</v>
      </c>
      <c r="Y1100" t="s">
        <v>72</v>
      </c>
    </row>
    <row r="1101" spans="1:25" x14ac:dyDescent="0.3">
      <c r="A1101" t="s">
        <v>2279</v>
      </c>
      <c r="B1101" s="1">
        <v>46025</v>
      </c>
      <c r="C1101" t="s">
        <v>26</v>
      </c>
      <c r="D1101" t="s">
        <v>26</v>
      </c>
      <c r="E1101" t="s">
        <v>4084</v>
      </c>
      <c r="F1101" t="s">
        <v>60</v>
      </c>
      <c r="G1101" t="s">
        <v>29</v>
      </c>
      <c r="H1101" t="s">
        <v>27</v>
      </c>
      <c r="I1101">
        <v>4</v>
      </c>
      <c r="J1101" t="s">
        <v>2280</v>
      </c>
      <c r="K1101">
        <v>29</v>
      </c>
      <c r="L1101" t="s">
        <v>80</v>
      </c>
      <c r="M1101">
        <v>5</v>
      </c>
      <c r="N1101" t="s">
        <v>91</v>
      </c>
      <c r="O1101" t="s">
        <v>34</v>
      </c>
      <c r="P1101" t="s">
        <v>50</v>
      </c>
      <c r="Q1101" s="2">
        <v>22772.69</v>
      </c>
      <c r="R1101" s="2">
        <v>1576.63</v>
      </c>
      <c r="S1101" t="s">
        <v>115</v>
      </c>
      <c r="T1101" t="s">
        <v>52</v>
      </c>
      <c r="U1101" t="s">
        <v>83</v>
      </c>
      <c r="V1101">
        <v>4.4000000000000004</v>
      </c>
      <c r="W1101" t="s">
        <v>39</v>
      </c>
      <c r="X1101" t="s">
        <v>84</v>
      </c>
      <c r="Y1101" t="s">
        <v>41</v>
      </c>
    </row>
    <row r="1102" spans="1:25" x14ac:dyDescent="0.3">
      <c r="A1102" t="s">
        <v>2281</v>
      </c>
      <c r="B1102" s="1">
        <v>46026</v>
      </c>
      <c r="C1102" t="s">
        <v>78</v>
      </c>
      <c r="D1102" t="s">
        <v>58</v>
      </c>
      <c r="E1102" t="s">
        <v>4085</v>
      </c>
      <c r="F1102" t="s">
        <v>60</v>
      </c>
      <c r="G1102" t="s">
        <v>29</v>
      </c>
      <c r="H1102" t="s">
        <v>46</v>
      </c>
      <c r="I1102">
        <v>8</v>
      </c>
      <c r="J1102" t="s">
        <v>2282</v>
      </c>
      <c r="K1102">
        <v>42</v>
      </c>
      <c r="L1102" t="s">
        <v>32</v>
      </c>
      <c r="M1102">
        <v>2</v>
      </c>
      <c r="N1102" t="s">
        <v>48</v>
      </c>
      <c r="O1102" t="s">
        <v>81</v>
      </c>
      <c r="P1102" t="s">
        <v>35</v>
      </c>
      <c r="Q1102" s="2">
        <v>24086.79</v>
      </c>
      <c r="R1102" s="2">
        <v>4514.3900000000003</v>
      </c>
      <c r="S1102" t="s">
        <v>36</v>
      </c>
      <c r="T1102" t="s">
        <v>37</v>
      </c>
      <c r="U1102" t="s">
        <v>53</v>
      </c>
      <c r="V1102">
        <v>1.8</v>
      </c>
      <c r="W1102" t="s">
        <v>124</v>
      </c>
      <c r="X1102" t="s">
        <v>65</v>
      </c>
      <c r="Y1102" t="s">
        <v>41</v>
      </c>
    </row>
    <row r="1103" spans="1:25" x14ac:dyDescent="0.3">
      <c r="A1103" t="s">
        <v>2283</v>
      </c>
      <c r="B1103" s="1">
        <v>46027</v>
      </c>
      <c r="C1103" t="s">
        <v>43</v>
      </c>
      <c r="D1103" t="s">
        <v>58</v>
      </c>
      <c r="E1103" t="s">
        <v>4084</v>
      </c>
      <c r="F1103" t="s">
        <v>60</v>
      </c>
      <c r="G1103" t="s">
        <v>29</v>
      </c>
      <c r="H1103" t="s">
        <v>27</v>
      </c>
      <c r="I1103">
        <v>7</v>
      </c>
      <c r="J1103" t="s">
        <v>2284</v>
      </c>
      <c r="K1103">
        <v>37</v>
      </c>
      <c r="L1103" t="s">
        <v>32</v>
      </c>
      <c r="M1103">
        <v>7</v>
      </c>
      <c r="N1103" t="s">
        <v>91</v>
      </c>
      <c r="O1103" t="s">
        <v>69</v>
      </c>
      <c r="P1103" t="s">
        <v>35</v>
      </c>
      <c r="Q1103" s="2">
        <v>15898.13</v>
      </c>
      <c r="R1103" s="2">
        <v>1170.4000000000001</v>
      </c>
      <c r="S1103" t="s">
        <v>115</v>
      </c>
      <c r="T1103" t="s">
        <v>52</v>
      </c>
      <c r="U1103" t="s">
        <v>38</v>
      </c>
      <c r="V1103">
        <v>5</v>
      </c>
      <c r="W1103" t="s">
        <v>103</v>
      </c>
      <c r="X1103" t="s">
        <v>65</v>
      </c>
      <c r="Y1103" t="s">
        <v>72</v>
      </c>
    </row>
    <row r="1104" spans="1:25" x14ac:dyDescent="0.3">
      <c r="A1104" t="s">
        <v>2285</v>
      </c>
      <c r="B1104" s="1">
        <v>46028</v>
      </c>
      <c r="C1104" t="s">
        <v>117</v>
      </c>
      <c r="D1104" t="s">
        <v>4083</v>
      </c>
      <c r="E1104" t="s">
        <v>4084</v>
      </c>
      <c r="F1104" t="s">
        <v>60</v>
      </c>
      <c r="G1104" t="s">
        <v>29</v>
      </c>
      <c r="H1104" t="s">
        <v>27</v>
      </c>
      <c r="I1104">
        <v>7</v>
      </c>
      <c r="J1104" t="s">
        <v>2286</v>
      </c>
      <c r="K1104">
        <v>66</v>
      </c>
      <c r="L1104" t="s">
        <v>80</v>
      </c>
      <c r="M1104">
        <v>1</v>
      </c>
      <c r="N1104" t="s">
        <v>91</v>
      </c>
      <c r="O1104" t="s">
        <v>49</v>
      </c>
      <c r="P1104" t="s">
        <v>50</v>
      </c>
      <c r="Q1104" s="2">
        <v>19730.009999999998</v>
      </c>
      <c r="R1104" s="2">
        <v>2739.5</v>
      </c>
      <c r="S1104" t="s">
        <v>94</v>
      </c>
      <c r="T1104" t="s">
        <v>71</v>
      </c>
      <c r="U1104" t="s">
        <v>75</v>
      </c>
      <c r="V1104">
        <v>4.5999999999999996</v>
      </c>
      <c r="W1104" t="s">
        <v>103</v>
      </c>
      <c r="X1104" t="s">
        <v>40</v>
      </c>
      <c r="Y1104" t="s">
        <v>41</v>
      </c>
    </row>
    <row r="1105" spans="1:25" x14ac:dyDescent="0.3">
      <c r="A1105" t="s">
        <v>2287</v>
      </c>
      <c r="B1105" s="1">
        <v>46029</v>
      </c>
      <c r="C1105" t="s">
        <v>117</v>
      </c>
      <c r="D1105" t="s">
        <v>4083</v>
      </c>
      <c r="E1105" t="s">
        <v>45</v>
      </c>
      <c r="F1105" t="s">
        <v>28</v>
      </c>
      <c r="G1105" t="s">
        <v>29</v>
      </c>
      <c r="H1105" t="s">
        <v>67</v>
      </c>
      <c r="I1105">
        <v>6</v>
      </c>
      <c r="J1105" t="s">
        <v>2288</v>
      </c>
      <c r="K1105">
        <v>66</v>
      </c>
      <c r="L1105" t="s">
        <v>63</v>
      </c>
      <c r="M1105">
        <v>6</v>
      </c>
      <c r="N1105" t="s">
        <v>91</v>
      </c>
      <c r="O1105" t="s">
        <v>49</v>
      </c>
      <c r="P1105" t="s">
        <v>82</v>
      </c>
      <c r="Q1105" s="2">
        <v>49341.09</v>
      </c>
      <c r="R1105" s="2">
        <v>3536.72</v>
      </c>
      <c r="S1105" t="s">
        <v>94</v>
      </c>
      <c r="T1105" t="s">
        <v>52</v>
      </c>
      <c r="U1105" t="s">
        <v>53</v>
      </c>
      <c r="V1105">
        <v>2.1</v>
      </c>
      <c r="W1105" t="s">
        <v>76</v>
      </c>
      <c r="X1105" t="s">
        <v>40</v>
      </c>
      <c r="Y1105" t="s">
        <v>41</v>
      </c>
    </row>
    <row r="1106" spans="1:25" x14ac:dyDescent="0.3">
      <c r="A1106" t="s">
        <v>2289</v>
      </c>
      <c r="B1106" s="1">
        <v>46030</v>
      </c>
      <c r="C1106" t="s">
        <v>57</v>
      </c>
      <c r="D1106" t="s">
        <v>44</v>
      </c>
      <c r="E1106" t="s">
        <v>4084</v>
      </c>
      <c r="F1106" t="s">
        <v>60</v>
      </c>
      <c r="G1106" t="s">
        <v>29</v>
      </c>
      <c r="H1106" t="s">
        <v>27</v>
      </c>
      <c r="I1106">
        <v>8</v>
      </c>
      <c r="J1106" t="s">
        <v>2290</v>
      </c>
      <c r="K1106">
        <v>59</v>
      </c>
      <c r="L1106" t="s">
        <v>32</v>
      </c>
      <c r="M1106">
        <v>7</v>
      </c>
      <c r="N1106" t="s">
        <v>48</v>
      </c>
      <c r="O1106" t="s">
        <v>81</v>
      </c>
      <c r="P1106" t="s">
        <v>70</v>
      </c>
      <c r="Q1106" s="2">
        <v>21567.56</v>
      </c>
      <c r="R1106" s="2">
        <v>1359.42</v>
      </c>
      <c r="S1106" t="s">
        <v>94</v>
      </c>
      <c r="T1106" t="s">
        <v>52</v>
      </c>
      <c r="U1106" t="s">
        <v>83</v>
      </c>
      <c r="V1106">
        <v>4.5999999999999996</v>
      </c>
      <c r="W1106" t="s">
        <v>103</v>
      </c>
      <c r="X1106" t="s">
        <v>40</v>
      </c>
      <c r="Y1106" t="s">
        <v>41</v>
      </c>
    </row>
    <row r="1107" spans="1:25" x14ac:dyDescent="0.3">
      <c r="A1107" t="s">
        <v>2291</v>
      </c>
      <c r="B1107" s="1">
        <v>46031</v>
      </c>
      <c r="C1107" t="s">
        <v>57</v>
      </c>
      <c r="D1107" t="s">
        <v>44</v>
      </c>
      <c r="E1107" t="s">
        <v>89</v>
      </c>
      <c r="F1107" t="s">
        <v>28</v>
      </c>
      <c r="G1107" t="s">
        <v>29</v>
      </c>
      <c r="H1107" t="s">
        <v>61</v>
      </c>
      <c r="I1107">
        <v>7</v>
      </c>
      <c r="J1107" t="s">
        <v>2292</v>
      </c>
      <c r="K1107">
        <v>24</v>
      </c>
      <c r="L1107" t="s">
        <v>80</v>
      </c>
      <c r="M1107">
        <v>7</v>
      </c>
      <c r="N1107" t="s">
        <v>64</v>
      </c>
      <c r="O1107" t="s">
        <v>34</v>
      </c>
      <c r="P1107" t="s">
        <v>82</v>
      </c>
      <c r="Q1107" s="2">
        <v>28702.63</v>
      </c>
      <c r="R1107" s="2">
        <v>4692.0600000000004</v>
      </c>
      <c r="S1107" t="s">
        <v>115</v>
      </c>
      <c r="T1107" t="s">
        <v>52</v>
      </c>
      <c r="U1107" t="s">
        <v>38</v>
      </c>
      <c r="V1107">
        <v>4</v>
      </c>
      <c r="W1107" t="s">
        <v>54</v>
      </c>
      <c r="X1107" t="s">
        <v>106</v>
      </c>
      <c r="Y1107" t="s">
        <v>72</v>
      </c>
    </row>
    <row r="1108" spans="1:25" x14ac:dyDescent="0.3">
      <c r="A1108" t="s">
        <v>2293</v>
      </c>
      <c r="B1108" s="1">
        <v>46032</v>
      </c>
      <c r="C1108" t="s">
        <v>43</v>
      </c>
      <c r="D1108" t="s">
        <v>58</v>
      </c>
      <c r="E1108" t="s">
        <v>4084</v>
      </c>
      <c r="F1108" t="s">
        <v>60</v>
      </c>
      <c r="G1108" t="s">
        <v>29</v>
      </c>
      <c r="H1108" t="s">
        <v>30</v>
      </c>
      <c r="I1108">
        <v>13</v>
      </c>
      <c r="J1108" t="s">
        <v>2294</v>
      </c>
      <c r="K1108">
        <v>46</v>
      </c>
      <c r="L1108" t="s">
        <v>80</v>
      </c>
      <c r="M1108">
        <v>2</v>
      </c>
      <c r="N1108" t="s">
        <v>33</v>
      </c>
      <c r="O1108" t="s">
        <v>49</v>
      </c>
      <c r="P1108" t="s">
        <v>70</v>
      </c>
      <c r="Q1108" s="2">
        <v>43173.24</v>
      </c>
      <c r="R1108" s="2">
        <v>3328.49</v>
      </c>
      <c r="S1108" t="s">
        <v>115</v>
      </c>
      <c r="T1108" t="s">
        <v>52</v>
      </c>
      <c r="U1108" t="s">
        <v>75</v>
      </c>
      <c r="V1108">
        <v>4.7</v>
      </c>
      <c r="W1108" t="s">
        <v>103</v>
      </c>
      <c r="X1108" t="s">
        <v>40</v>
      </c>
      <c r="Y1108" t="s">
        <v>72</v>
      </c>
    </row>
    <row r="1109" spans="1:25" x14ac:dyDescent="0.3">
      <c r="A1109" t="s">
        <v>2295</v>
      </c>
      <c r="B1109" s="1">
        <v>46033</v>
      </c>
      <c r="C1109" t="s">
        <v>117</v>
      </c>
      <c r="D1109" t="s">
        <v>4083</v>
      </c>
      <c r="E1109" t="s">
        <v>4085</v>
      </c>
      <c r="F1109" t="s">
        <v>60</v>
      </c>
      <c r="G1109" t="s">
        <v>29</v>
      </c>
      <c r="H1109" t="s">
        <v>46</v>
      </c>
      <c r="I1109">
        <v>6</v>
      </c>
      <c r="J1109" t="s">
        <v>2296</v>
      </c>
      <c r="K1109">
        <v>65</v>
      </c>
      <c r="L1109" t="s">
        <v>80</v>
      </c>
      <c r="M1109">
        <v>3</v>
      </c>
      <c r="N1109" t="s">
        <v>64</v>
      </c>
      <c r="O1109" t="s">
        <v>49</v>
      </c>
      <c r="P1109" t="s">
        <v>82</v>
      </c>
      <c r="Q1109" s="2">
        <v>28734.25</v>
      </c>
      <c r="R1109" s="2">
        <v>235.7</v>
      </c>
      <c r="S1109" t="s">
        <v>115</v>
      </c>
      <c r="T1109" t="s">
        <v>37</v>
      </c>
      <c r="U1109" t="s">
        <v>53</v>
      </c>
      <c r="V1109">
        <v>3.8</v>
      </c>
      <c r="W1109" t="s">
        <v>54</v>
      </c>
      <c r="X1109" t="s">
        <v>40</v>
      </c>
      <c r="Y1109" t="s">
        <v>41</v>
      </c>
    </row>
    <row r="1110" spans="1:25" x14ac:dyDescent="0.3">
      <c r="A1110" t="s">
        <v>2297</v>
      </c>
      <c r="B1110" s="1">
        <v>46034</v>
      </c>
      <c r="C1110" t="s">
        <v>43</v>
      </c>
      <c r="D1110" t="s">
        <v>58</v>
      </c>
      <c r="E1110" t="s">
        <v>4084</v>
      </c>
      <c r="F1110" t="s">
        <v>60</v>
      </c>
      <c r="G1110" t="s">
        <v>29</v>
      </c>
      <c r="H1110" t="s">
        <v>27</v>
      </c>
      <c r="I1110">
        <v>11</v>
      </c>
      <c r="J1110" t="s">
        <v>2298</v>
      </c>
      <c r="K1110">
        <v>46</v>
      </c>
      <c r="L1110" t="s">
        <v>63</v>
      </c>
      <c r="M1110">
        <v>1</v>
      </c>
      <c r="N1110" t="s">
        <v>91</v>
      </c>
      <c r="O1110" t="s">
        <v>81</v>
      </c>
      <c r="P1110" t="s">
        <v>50</v>
      </c>
      <c r="Q1110" s="2">
        <v>19600.400000000001</v>
      </c>
      <c r="R1110" s="2">
        <v>678.69</v>
      </c>
      <c r="S1110" t="s">
        <v>51</v>
      </c>
      <c r="T1110" t="s">
        <v>71</v>
      </c>
      <c r="U1110" t="s">
        <v>83</v>
      </c>
      <c r="V1110">
        <v>3.7</v>
      </c>
      <c r="W1110" t="s">
        <v>39</v>
      </c>
      <c r="X1110" t="s">
        <v>84</v>
      </c>
      <c r="Y1110" t="s">
        <v>41</v>
      </c>
    </row>
    <row r="1111" spans="1:25" x14ac:dyDescent="0.3">
      <c r="A1111" t="s">
        <v>2299</v>
      </c>
      <c r="B1111" s="1">
        <v>46035</v>
      </c>
      <c r="C1111" t="s">
        <v>57</v>
      </c>
      <c r="D1111" t="s">
        <v>44</v>
      </c>
      <c r="E1111" t="s">
        <v>120</v>
      </c>
      <c r="F1111" t="s">
        <v>28</v>
      </c>
      <c r="G1111" t="s">
        <v>29</v>
      </c>
      <c r="H1111" t="s">
        <v>86</v>
      </c>
      <c r="I1111">
        <v>8</v>
      </c>
      <c r="J1111" t="s">
        <v>2300</v>
      </c>
      <c r="K1111">
        <v>30</v>
      </c>
      <c r="L1111" t="s">
        <v>32</v>
      </c>
      <c r="M1111">
        <v>1</v>
      </c>
      <c r="N1111" t="s">
        <v>48</v>
      </c>
      <c r="O1111" t="s">
        <v>81</v>
      </c>
      <c r="P1111" t="s">
        <v>70</v>
      </c>
      <c r="Q1111" s="2">
        <v>28568.79</v>
      </c>
      <c r="R1111" s="2">
        <v>953.91</v>
      </c>
      <c r="S1111" t="s">
        <v>115</v>
      </c>
      <c r="T1111" t="s">
        <v>52</v>
      </c>
      <c r="U1111" t="s">
        <v>53</v>
      </c>
      <c r="V1111">
        <v>1</v>
      </c>
      <c r="W1111" t="s">
        <v>124</v>
      </c>
      <c r="X1111" t="s">
        <v>55</v>
      </c>
      <c r="Y1111" t="s">
        <v>72</v>
      </c>
    </row>
    <row r="1112" spans="1:25" x14ac:dyDescent="0.3">
      <c r="A1112" t="s">
        <v>2301</v>
      </c>
      <c r="B1112" s="1">
        <v>46036</v>
      </c>
      <c r="C1112" t="s">
        <v>57</v>
      </c>
      <c r="D1112" t="s">
        <v>44</v>
      </c>
      <c r="E1112" t="s">
        <v>4085</v>
      </c>
      <c r="F1112" t="s">
        <v>60</v>
      </c>
      <c r="G1112" t="s">
        <v>29</v>
      </c>
      <c r="H1112" t="s">
        <v>46</v>
      </c>
      <c r="I1112">
        <v>13</v>
      </c>
      <c r="J1112" t="s">
        <v>2302</v>
      </c>
      <c r="K1112">
        <v>20</v>
      </c>
      <c r="L1112" t="s">
        <v>32</v>
      </c>
      <c r="M1112">
        <v>7</v>
      </c>
      <c r="N1112" t="s">
        <v>33</v>
      </c>
      <c r="O1112" t="s">
        <v>34</v>
      </c>
      <c r="P1112" t="s">
        <v>50</v>
      </c>
      <c r="Q1112" s="2">
        <v>10133.879999999999</v>
      </c>
      <c r="R1112" s="2">
        <v>1224.79</v>
      </c>
      <c r="S1112" t="s">
        <v>94</v>
      </c>
      <c r="T1112" t="s">
        <v>71</v>
      </c>
      <c r="U1112" t="s">
        <v>83</v>
      </c>
      <c r="V1112">
        <v>2.9</v>
      </c>
      <c r="W1112" t="s">
        <v>76</v>
      </c>
      <c r="X1112" t="s">
        <v>55</v>
      </c>
      <c r="Y1112" t="s">
        <v>41</v>
      </c>
    </row>
    <row r="1113" spans="1:25" x14ac:dyDescent="0.3">
      <c r="A1113" t="s">
        <v>2303</v>
      </c>
      <c r="B1113" s="1">
        <v>46037</v>
      </c>
      <c r="C1113" t="s">
        <v>117</v>
      </c>
      <c r="D1113" t="s">
        <v>4083</v>
      </c>
      <c r="E1113" t="s">
        <v>120</v>
      </c>
      <c r="F1113" t="s">
        <v>28</v>
      </c>
      <c r="G1113" t="s">
        <v>29</v>
      </c>
      <c r="H1113" t="s">
        <v>86</v>
      </c>
      <c r="I1113">
        <v>12</v>
      </c>
      <c r="J1113" t="s">
        <v>2304</v>
      </c>
      <c r="K1113">
        <v>19</v>
      </c>
      <c r="L1113" t="s">
        <v>32</v>
      </c>
      <c r="M1113">
        <v>5</v>
      </c>
      <c r="N1113" t="s">
        <v>91</v>
      </c>
      <c r="O1113" t="s">
        <v>69</v>
      </c>
      <c r="P1113" t="s">
        <v>70</v>
      </c>
      <c r="Q1113" s="2">
        <v>10850.31</v>
      </c>
      <c r="R1113" s="2">
        <v>3653.39</v>
      </c>
      <c r="S1113" t="s">
        <v>94</v>
      </c>
      <c r="T1113" t="s">
        <v>37</v>
      </c>
      <c r="U1113" t="s">
        <v>83</v>
      </c>
      <c r="V1113">
        <v>1.8</v>
      </c>
      <c r="W1113" t="s">
        <v>124</v>
      </c>
      <c r="X1113" t="s">
        <v>55</v>
      </c>
      <c r="Y1113" t="s">
        <v>41</v>
      </c>
    </row>
    <row r="1114" spans="1:25" x14ac:dyDescent="0.3">
      <c r="A1114" t="s">
        <v>2305</v>
      </c>
      <c r="B1114" s="1">
        <v>46038</v>
      </c>
      <c r="C1114" t="s">
        <v>26</v>
      </c>
      <c r="D1114" t="s">
        <v>26</v>
      </c>
      <c r="E1114" t="s">
        <v>4085</v>
      </c>
      <c r="F1114" t="s">
        <v>60</v>
      </c>
      <c r="G1114" t="s">
        <v>29</v>
      </c>
      <c r="H1114" t="s">
        <v>46</v>
      </c>
      <c r="I1114">
        <v>12</v>
      </c>
      <c r="J1114" t="s">
        <v>2306</v>
      </c>
      <c r="K1114">
        <v>33</v>
      </c>
      <c r="L1114" t="s">
        <v>63</v>
      </c>
      <c r="M1114">
        <v>6</v>
      </c>
      <c r="N1114" t="s">
        <v>33</v>
      </c>
      <c r="O1114" t="s">
        <v>69</v>
      </c>
      <c r="P1114" t="s">
        <v>35</v>
      </c>
      <c r="Q1114" s="2">
        <v>36234.839999999997</v>
      </c>
      <c r="R1114" s="2">
        <v>444.68</v>
      </c>
      <c r="S1114" t="s">
        <v>94</v>
      </c>
      <c r="T1114" t="s">
        <v>71</v>
      </c>
      <c r="U1114" t="s">
        <v>38</v>
      </c>
      <c r="V1114">
        <v>2.2999999999999998</v>
      </c>
      <c r="W1114" t="s">
        <v>76</v>
      </c>
      <c r="X1114" t="s">
        <v>106</v>
      </c>
      <c r="Y1114" t="s">
        <v>72</v>
      </c>
    </row>
    <row r="1115" spans="1:25" x14ac:dyDescent="0.3">
      <c r="A1115" t="s">
        <v>2307</v>
      </c>
      <c r="B1115" s="1">
        <v>46039</v>
      </c>
      <c r="C1115" t="s">
        <v>78</v>
      </c>
      <c r="D1115" t="s">
        <v>58</v>
      </c>
      <c r="E1115" t="s">
        <v>89</v>
      </c>
      <c r="F1115" t="s">
        <v>28</v>
      </c>
      <c r="G1115" t="s">
        <v>29</v>
      </c>
      <c r="H1115" t="s">
        <v>61</v>
      </c>
      <c r="I1115">
        <v>12</v>
      </c>
      <c r="J1115" t="s">
        <v>2308</v>
      </c>
      <c r="K1115">
        <v>47</v>
      </c>
      <c r="L1115" t="s">
        <v>32</v>
      </c>
      <c r="M1115">
        <v>3</v>
      </c>
      <c r="N1115" t="s">
        <v>33</v>
      </c>
      <c r="O1115" t="s">
        <v>34</v>
      </c>
      <c r="P1115" t="s">
        <v>70</v>
      </c>
      <c r="Q1115" s="2">
        <v>46285.73</v>
      </c>
      <c r="R1115" s="2">
        <v>1752.97</v>
      </c>
      <c r="S1115" t="s">
        <v>51</v>
      </c>
      <c r="T1115" t="s">
        <v>37</v>
      </c>
      <c r="U1115" t="s">
        <v>75</v>
      </c>
      <c r="V1115">
        <v>4.9000000000000004</v>
      </c>
      <c r="W1115" t="s">
        <v>103</v>
      </c>
      <c r="X1115" t="s">
        <v>65</v>
      </c>
      <c r="Y1115" t="s">
        <v>72</v>
      </c>
    </row>
    <row r="1116" spans="1:25" x14ac:dyDescent="0.3">
      <c r="A1116" t="s">
        <v>2309</v>
      </c>
      <c r="B1116" s="1">
        <v>46040</v>
      </c>
      <c r="C1116" t="s">
        <v>57</v>
      </c>
      <c r="D1116" t="s">
        <v>44</v>
      </c>
      <c r="E1116" t="s">
        <v>89</v>
      </c>
      <c r="F1116" t="s">
        <v>28</v>
      </c>
      <c r="G1116" t="s">
        <v>29</v>
      </c>
      <c r="H1116" t="s">
        <v>61</v>
      </c>
      <c r="I1116">
        <v>5</v>
      </c>
      <c r="J1116" t="s">
        <v>2310</v>
      </c>
      <c r="K1116">
        <v>55</v>
      </c>
      <c r="L1116" t="s">
        <v>32</v>
      </c>
      <c r="M1116">
        <v>5</v>
      </c>
      <c r="N1116" t="s">
        <v>64</v>
      </c>
      <c r="O1116" t="s">
        <v>69</v>
      </c>
      <c r="P1116" t="s">
        <v>70</v>
      </c>
      <c r="Q1116" s="2">
        <v>37655.519999999997</v>
      </c>
      <c r="R1116" s="2">
        <v>4556.92</v>
      </c>
      <c r="S1116" t="s">
        <v>36</v>
      </c>
      <c r="T1116" t="s">
        <v>71</v>
      </c>
      <c r="U1116" t="s">
        <v>38</v>
      </c>
      <c r="V1116">
        <v>1.3</v>
      </c>
      <c r="W1116" t="s">
        <v>124</v>
      </c>
      <c r="X1116" t="s">
        <v>40</v>
      </c>
      <c r="Y1116" t="s">
        <v>72</v>
      </c>
    </row>
    <row r="1117" spans="1:25" x14ac:dyDescent="0.3">
      <c r="A1117" t="s">
        <v>2311</v>
      </c>
      <c r="B1117" s="1">
        <v>46041</v>
      </c>
      <c r="C1117" t="s">
        <v>57</v>
      </c>
      <c r="D1117" t="s">
        <v>44</v>
      </c>
      <c r="E1117" t="s">
        <v>89</v>
      </c>
      <c r="F1117" t="s">
        <v>28</v>
      </c>
      <c r="G1117" t="s">
        <v>29</v>
      </c>
      <c r="H1117" t="s">
        <v>61</v>
      </c>
      <c r="I1117">
        <v>12</v>
      </c>
      <c r="J1117" t="s">
        <v>2312</v>
      </c>
      <c r="K1117">
        <v>23</v>
      </c>
      <c r="L1117" t="s">
        <v>32</v>
      </c>
      <c r="M1117">
        <v>4</v>
      </c>
      <c r="N1117" t="s">
        <v>91</v>
      </c>
      <c r="O1117" t="s">
        <v>81</v>
      </c>
      <c r="P1117" t="s">
        <v>70</v>
      </c>
      <c r="Q1117" s="2">
        <v>8357.6</v>
      </c>
      <c r="R1117" s="2">
        <v>2783.34</v>
      </c>
      <c r="S1117" t="s">
        <v>94</v>
      </c>
      <c r="T1117" t="s">
        <v>71</v>
      </c>
      <c r="U1117" t="s">
        <v>75</v>
      </c>
      <c r="V1117">
        <v>3.9</v>
      </c>
      <c r="W1117" t="s">
        <v>54</v>
      </c>
      <c r="X1117" t="s">
        <v>84</v>
      </c>
      <c r="Y1117" t="s">
        <v>41</v>
      </c>
    </row>
    <row r="1118" spans="1:25" x14ac:dyDescent="0.3">
      <c r="A1118" t="s">
        <v>2313</v>
      </c>
      <c r="B1118" s="1">
        <v>46042</v>
      </c>
      <c r="C1118" t="s">
        <v>26</v>
      </c>
      <c r="D1118" t="s">
        <v>26</v>
      </c>
      <c r="E1118" t="s">
        <v>120</v>
      </c>
      <c r="F1118" t="s">
        <v>28</v>
      </c>
      <c r="G1118" t="s">
        <v>29</v>
      </c>
      <c r="H1118" t="s">
        <v>86</v>
      </c>
      <c r="I1118">
        <v>8</v>
      </c>
      <c r="J1118" t="s">
        <v>2314</v>
      </c>
      <c r="K1118">
        <v>62</v>
      </c>
      <c r="L1118" t="s">
        <v>32</v>
      </c>
      <c r="M1118">
        <v>2</v>
      </c>
      <c r="N1118" t="s">
        <v>33</v>
      </c>
      <c r="O1118" t="s">
        <v>81</v>
      </c>
      <c r="P1118" t="s">
        <v>35</v>
      </c>
      <c r="Q1118" s="2">
        <v>23130.3</v>
      </c>
      <c r="R1118" s="2">
        <v>1327.48</v>
      </c>
      <c r="S1118" t="s">
        <v>51</v>
      </c>
      <c r="T1118" t="s">
        <v>52</v>
      </c>
      <c r="U1118" t="s">
        <v>75</v>
      </c>
      <c r="V1118">
        <v>1.7</v>
      </c>
      <c r="W1118" t="s">
        <v>124</v>
      </c>
      <c r="X1118" t="s">
        <v>106</v>
      </c>
      <c r="Y1118" t="s">
        <v>41</v>
      </c>
    </row>
    <row r="1119" spans="1:25" x14ac:dyDescent="0.3">
      <c r="A1119" t="s">
        <v>2315</v>
      </c>
      <c r="B1119" s="1">
        <v>46043</v>
      </c>
      <c r="C1119" t="s">
        <v>26</v>
      </c>
      <c r="D1119" t="s">
        <v>26</v>
      </c>
      <c r="E1119" t="s">
        <v>45</v>
      </c>
      <c r="F1119" t="s">
        <v>28</v>
      </c>
      <c r="G1119" t="s">
        <v>29</v>
      </c>
      <c r="H1119" t="s">
        <v>67</v>
      </c>
      <c r="I1119">
        <v>3</v>
      </c>
      <c r="J1119" t="s">
        <v>2316</v>
      </c>
      <c r="K1119">
        <v>24</v>
      </c>
      <c r="L1119" t="s">
        <v>63</v>
      </c>
      <c r="M1119">
        <v>2</v>
      </c>
      <c r="N1119" t="s">
        <v>64</v>
      </c>
      <c r="O1119" t="s">
        <v>81</v>
      </c>
      <c r="P1119" t="s">
        <v>50</v>
      </c>
      <c r="Q1119" s="2">
        <v>5114.91</v>
      </c>
      <c r="R1119" s="2">
        <v>4785.28</v>
      </c>
      <c r="S1119" t="s">
        <v>36</v>
      </c>
      <c r="T1119" t="s">
        <v>71</v>
      </c>
      <c r="U1119" t="s">
        <v>83</v>
      </c>
      <c r="V1119">
        <v>1</v>
      </c>
      <c r="W1119" t="s">
        <v>124</v>
      </c>
      <c r="X1119" t="s">
        <v>55</v>
      </c>
      <c r="Y1119" t="s">
        <v>41</v>
      </c>
    </row>
    <row r="1120" spans="1:25" x14ac:dyDescent="0.3">
      <c r="A1120" t="s">
        <v>2317</v>
      </c>
      <c r="B1120" s="1">
        <v>46044</v>
      </c>
      <c r="C1120" t="s">
        <v>43</v>
      </c>
      <c r="D1120" t="s">
        <v>58</v>
      </c>
      <c r="E1120" t="s">
        <v>4085</v>
      </c>
      <c r="F1120" t="s">
        <v>60</v>
      </c>
      <c r="G1120" t="s">
        <v>29</v>
      </c>
      <c r="H1120" t="s">
        <v>46</v>
      </c>
      <c r="I1120">
        <v>7</v>
      </c>
      <c r="J1120" t="s">
        <v>2318</v>
      </c>
      <c r="K1120">
        <v>22</v>
      </c>
      <c r="L1120" t="s">
        <v>80</v>
      </c>
      <c r="M1120">
        <v>5</v>
      </c>
      <c r="N1120" t="s">
        <v>48</v>
      </c>
      <c r="O1120" t="s">
        <v>69</v>
      </c>
      <c r="P1120" t="s">
        <v>35</v>
      </c>
      <c r="Q1120" s="2">
        <v>28004.3</v>
      </c>
      <c r="R1120" s="2">
        <v>1221.58</v>
      </c>
      <c r="S1120" t="s">
        <v>51</v>
      </c>
      <c r="T1120" t="s">
        <v>52</v>
      </c>
      <c r="U1120" t="s">
        <v>53</v>
      </c>
      <c r="V1120">
        <v>3</v>
      </c>
      <c r="W1120" t="s">
        <v>76</v>
      </c>
      <c r="X1120" t="s">
        <v>106</v>
      </c>
      <c r="Y1120" t="s">
        <v>72</v>
      </c>
    </row>
    <row r="1121" spans="1:25" x14ac:dyDescent="0.3">
      <c r="A1121" t="s">
        <v>2319</v>
      </c>
      <c r="B1121" s="1">
        <v>46045</v>
      </c>
      <c r="C1121" t="s">
        <v>43</v>
      </c>
      <c r="D1121" t="s">
        <v>58</v>
      </c>
      <c r="E1121" t="s">
        <v>89</v>
      </c>
      <c r="F1121" t="s">
        <v>28</v>
      </c>
      <c r="G1121" t="s">
        <v>29</v>
      </c>
      <c r="H1121" t="s">
        <v>61</v>
      </c>
      <c r="I1121">
        <v>12</v>
      </c>
      <c r="J1121" t="s">
        <v>2320</v>
      </c>
      <c r="K1121">
        <v>24</v>
      </c>
      <c r="L1121" t="s">
        <v>80</v>
      </c>
      <c r="M1121">
        <v>7</v>
      </c>
      <c r="N1121" t="s">
        <v>33</v>
      </c>
      <c r="O1121" t="s">
        <v>69</v>
      </c>
      <c r="P1121" t="s">
        <v>70</v>
      </c>
      <c r="Q1121" s="2">
        <v>13694.2</v>
      </c>
      <c r="R1121" s="2">
        <v>4525.5</v>
      </c>
      <c r="S1121" t="s">
        <v>51</v>
      </c>
      <c r="T1121" t="s">
        <v>52</v>
      </c>
      <c r="U1121" t="s">
        <v>75</v>
      </c>
      <c r="V1121">
        <v>1.6</v>
      </c>
      <c r="W1121" t="s">
        <v>124</v>
      </c>
      <c r="X1121" t="s">
        <v>84</v>
      </c>
      <c r="Y1121" t="s">
        <v>41</v>
      </c>
    </row>
    <row r="1122" spans="1:25" x14ac:dyDescent="0.3">
      <c r="A1122" t="s">
        <v>2321</v>
      </c>
      <c r="B1122" s="1">
        <v>46046</v>
      </c>
      <c r="C1122" t="s">
        <v>78</v>
      </c>
      <c r="D1122" t="s">
        <v>58</v>
      </c>
      <c r="E1122" t="s">
        <v>4085</v>
      </c>
      <c r="F1122" t="s">
        <v>60</v>
      </c>
      <c r="G1122" t="s">
        <v>29</v>
      </c>
      <c r="H1122" t="s">
        <v>46</v>
      </c>
      <c r="I1122">
        <v>8</v>
      </c>
      <c r="J1122" t="s">
        <v>2322</v>
      </c>
      <c r="K1122">
        <v>51</v>
      </c>
      <c r="L1122" t="s">
        <v>32</v>
      </c>
      <c r="M1122">
        <v>2</v>
      </c>
      <c r="N1122" t="s">
        <v>91</v>
      </c>
      <c r="O1122" t="s">
        <v>49</v>
      </c>
      <c r="P1122" t="s">
        <v>82</v>
      </c>
      <c r="Q1122" s="2">
        <v>44066.6</v>
      </c>
      <c r="R1122" s="2">
        <v>3628.85</v>
      </c>
      <c r="S1122" t="s">
        <v>36</v>
      </c>
      <c r="T1122" t="s">
        <v>71</v>
      </c>
      <c r="U1122" t="s">
        <v>75</v>
      </c>
      <c r="V1122">
        <v>4.9000000000000004</v>
      </c>
      <c r="W1122" t="s">
        <v>103</v>
      </c>
      <c r="X1122" t="s">
        <v>106</v>
      </c>
      <c r="Y1122" t="s">
        <v>72</v>
      </c>
    </row>
    <row r="1123" spans="1:25" x14ac:dyDescent="0.3">
      <c r="A1123" t="s">
        <v>2323</v>
      </c>
      <c r="B1123" s="1">
        <v>46047</v>
      </c>
      <c r="C1123" t="s">
        <v>78</v>
      </c>
      <c r="D1123" t="s">
        <v>58</v>
      </c>
      <c r="E1123" t="s">
        <v>120</v>
      </c>
      <c r="F1123" t="s">
        <v>28</v>
      </c>
      <c r="G1123" t="s">
        <v>29</v>
      </c>
      <c r="H1123" t="s">
        <v>86</v>
      </c>
      <c r="I1123">
        <v>13</v>
      </c>
      <c r="J1123" t="s">
        <v>2324</v>
      </c>
      <c r="K1123">
        <v>49</v>
      </c>
      <c r="L1123" t="s">
        <v>32</v>
      </c>
      <c r="M1123">
        <v>6</v>
      </c>
      <c r="N1123" t="s">
        <v>48</v>
      </c>
      <c r="O1123" t="s">
        <v>49</v>
      </c>
      <c r="P1123" t="s">
        <v>35</v>
      </c>
      <c r="Q1123" s="2">
        <v>9695.08</v>
      </c>
      <c r="R1123" s="2">
        <v>3702.61</v>
      </c>
      <c r="S1123" t="s">
        <v>115</v>
      </c>
      <c r="T1123" t="s">
        <v>52</v>
      </c>
      <c r="U1123" t="s">
        <v>75</v>
      </c>
      <c r="V1123">
        <v>1.8</v>
      </c>
      <c r="W1123" t="s">
        <v>124</v>
      </c>
      <c r="X1123" t="s">
        <v>55</v>
      </c>
      <c r="Y1123" t="s">
        <v>72</v>
      </c>
    </row>
    <row r="1124" spans="1:25" x14ac:dyDescent="0.3">
      <c r="A1124" t="s">
        <v>2325</v>
      </c>
      <c r="B1124" s="1">
        <v>46048</v>
      </c>
      <c r="C1124" t="s">
        <v>117</v>
      </c>
      <c r="D1124" t="s">
        <v>4083</v>
      </c>
      <c r="E1124" t="s">
        <v>45</v>
      </c>
      <c r="F1124" t="s">
        <v>28</v>
      </c>
      <c r="G1124" t="s">
        <v>29</v>
      </c>
      <c r="H1124" t="s">
        <v>67</v>
      </c>
      <c r="I1124">
        <v>10</v>
      </c>
      <c r="J1124" t="s">
        <v>2326</v>
      </c>
      <c r="K1124">
        <v>66</v>
      </c>
      <c r="L1124" t="s">
        <v>32</v>
      </c>
      <c r="M1124">
        <v>2</v>
      </c>
      <c r="N1124" t="s">
        <v>33</v>
      </c>
      <c r="O1124" t="s">
        <v>49</v>
      </c>
      <c r="P1124" t="s">
        <v>82</v>
      </c>
      <c r="Q1124" s="2">
        <v>5064.5</v>
      </c>
      <c r="R1124" s="2">
        <v>3824.7</v>
      </c>
      <c r="S1124" t="s">
        <v>115</v>
      </c>
      <c r="T1124" t="s">
        <v>71</v>
      </c>
      <c r="U1124" t="s">
        <v>75</v>
      </c>
      <c r="V1124">
        <v>1.8</v>
      </c>
      <c r="W1124" t="s">
        <v>124</v>
      </c>
      <c r="X1124" t="s">
        <v>65</v>
      </c>
      <c r="Y1124" t="s">
        <v>41</v>
      </c>
    </row>
    <row r="1125" spans="1:25" x14ac:dyDescent="0.3">
      <c r="A1125" t="s">
        <v>2327</v>
      </c>
      <c r="B1125" s="1">
        <v>46049</v>
      </c>
      <c r="C1125" t="s">
        <v>43</v>
      </c>
      <c r="D1125" t="s">
        <v>58</v>
      </c>
      <c r="E1125" t="s">
        <v>120</v>
      </c>
      <c r="F1125" t="s">
        <v>28</v>
      </c>
      <c r="G1125" t="s">
        <v>29</v>
      </c>
      <c r="H1125" t="s">
        <v>86</v>
      </c>
      <c r="I1125">
        <v>13</v>
      </c>
      <c r="J1125" t="s">
        <v>2328</v>
      </c>
      <c r="K1125">
        <v>30</v>
      </c>
      <c r="L1125" t="s">
        <v>63</v>
      </c>
      <c r="M1125">
        <v>6</v>
      </c>
      <c r="N1125" t="s">
        <v>33</v>
      </c>
      <c r="O1125" t="s">
        <v>69</v>
      </c>
      <c r="P1125" t="s">
        <v>35</v>
      </c>
      <c r="Q1125" s="2">
        <v>25301.57</v>
      </c>
      <c r="R1125" s="2">
        <v>2532.85</v>
      </c>
      <c r="S1125" t="s">
        <v>94</v>
      </c>
      <c r="T1125" t="s">
        <v>52</v>
      </c>
      <c r="U1125" t="s">
        <v>83</v>
      </c>
      <c r="V1125">
        <v>1.1000000000000001</v>
      </c>
      <c r="W1125" t="s">
        <v>124</v>
      </c>
      <c r="X1125" t="s">
        <v>55</v>
      </c>
      <c r="Y1125" t="s">
        <v>72</v>
      </c>
    </row>
    <row r="1126" spans="1:25" x14ac:dyDescent="0.3">
      <c r="A1126" t="s">
        <v>2329</v>
      </c>
      <c r="B1126" s="1">
        <v>46050</v>
      </c>
      <c r="C1126" t="s">
        <v>57</v>
      </c>
      <c r="D1126" t="s">
        <v>44</v>
      </c>
      <c r="E1126" t="s">
        <v>4085</v>
      </c>
      <c r="F1126" t="s">
        <v>60</v>
      </c>
      <c r="G1126" t="s">
        <v>29</v>
      </c>
      <c r="H1126" t="s">
        <v>46</v>
      </c>
      <c r="I1126">
        <v>11</v>
      </c>
      <c r="J1126" t="s">
        <v>2330</v>
      </c>
      <c r="K1126">
        <v>47</v>
      </c>
      <c r="L1126" t="s">
        <v>32</v>
      </c>
      <c r="M1126">
        <v>4</v>
      </c>
      <c r="N1126" t="s">
        <v>91</v>
      </c>
      <c r="O1126" t="s">
        <v>49</v>
      </c>
      <c r="P1126" t="s">
        <v>35</v>
      </c>
      <c r="Q1126" s="2">
        <v>11994.5</v>
      </c>
      <c r="R1126" s="2">
        <v>4072.89</v>
      </c>
      <c r="S1126" t="s">
        <v>36</v>
      </c>
      <c r="T1126" t="s">
        <v>52</v>
      </c>
      <c r="U1126" t="s">
        <v>38</v>
      </c>
      <c r="V1126">
        <v>2.2999999999999998</v>
      </c>
      <c r="W1126" t="s">
        <v>76</v>
      </c>
      <c r="X1126" t="s">
        <v>55</v>
      </c>
      <c r="Y1126" t="s">
        <v>41</v>
      </c>
    </row>
    <row r="1127" spans="1:25" x14ac:dyDescent="0.3">
      <c r="A1127" t="s">
        <v>2331</v>
      </c>
      <c r="B1127" s="1">
        <v>46051</v>
      </c>
      <c r="C1127" t="s">
        <v>43</v>
      </c>
      <c r="D1127" t="s">
        <v>58</v>
      </c>
      <c r="E1127" t="s">
        <v>45</v>
      </c>
      <c r="F1127" t="s">
        <v>28</v>
      </c>
      <c r="G1127" t="s">
        <v>29</v>
      </c>
      <c r="H1127" t="s">
        <v>67</v>
      </c>
      <c r="I1127">
        <v>13</v>
      </c>
      <c r="J1127" t="s">
        <v>2332</v>
      </c>
      <c r="K1127">
        <v>42</v>
      </c>
      <c r="L1127" t="s">
        <v>63</v>
      </c>
      <c r="M1127">
        <v>3</v>
      </c>
      <c r="N1127" t="s">
        <v>33</v>
      </c>
      <c r="O1127" t="s">
        <v>81</v>
      </c>
      <c r="P1127" t="s">
        <v>70</v>
      </c>
      <c r="Q1127" s="2">
        <v>38209.39</v>
      </c>
      <c r="R1127" s="2">
        <v>4180.97</v>
      </c>
      <c r="S1127" t="s">
        <v>94</v>
      </c>
      <c r="T1127" t="s">
        <v>37</v>
      </c>
      <c r="U1127" t="s">
        <v>53</v>
      </c>
      <c r="V1127">
        <v>1.1000000000000001</v>
      </c>
      <c r="W1127" t="s">
        <v>124</v>
      </c>
      <c r="X1127" t="s">
        <v>55</v>
      </c>
      <c r="Y1127" t="s">
        <v>41</v>
      </c>
    </row>
    <row r="1128" spans="1:25" x14ac:dyDescent="0.3">
      <c r="A1128" t="s">
        <v>2333</v>
      </c>
      <c r="B1128" s="1">
        <v>46052</v>
      </c>
      <c r="C1128" t="s">
        <v>57</v>
      </c>
      <c r="D1128" t="s">
        <v>44</v>
      </c>
      <c r="E1128" t="s">
        <v>45</v>
      </c>
      <c r="F1128" t="s">
        <v>28</v>
      </c>
      <c r="G1128" t="s">
        <v>29</v>
      </c>
      <c r="H1128" t="s">
        <v>67</v>
      </c>
      <c r="I1128">
        <v>5</v>
      </c>
      <c r="J1128" t="s">
        <v>2334</v>
      </c>
      <c r="K1128">
        <v>38</v>
      </c>
      <c r="L1128" t="s">
        <v>32</v>
      </c>
      <c r="M1128">
        <v>1</v>
      </c>
      <c r="N1128" t="s">
        <v>91</v>
      </c>
      <c r="O1128" t="s">
        <v>69</v>
      </c>
      <c r="P1128" t="s">
        <v>50</v>
      </c>
      <c r="Q1128" s="2">
        <v>46397.06</v>
      </c>
      <c r="R1128" s="2">
        <v>1802.43</v>
      </c>
      <c r="S1128" t="s">
        <v>51</v>
      </c>
      <c r="T1128" t="s">
        <v>37</v>
      </c>
      <c r="U1128" t="s">
        <v>83</v>
      </c>
      <c r="V1128">
        <v>3</v>
      </c>
      <c r="W1128" t="s">
        <v>76</v>
      </c>
      <c r="X1128" t="s">
        <v>106</v>
      </c>
      <c r="Y1128" t="s">
        <v>72</v>
      </c>
    </row>
    <row r="1129" spans="1:25" x14ac:dyDescent="0.3">
      <c r="A1129" t="s">
        <v>2335</v>
      </c>
      <c r="B1129" s="1">
        <v>46053</v>
      </c>
      <c r="C1129" t="s">
        <v>26</v>
      </c>
      <c r="D1129" t="s">
        <v>26</v>
      </c>
      <c r="E1129" t="s">
        <v>120</v>
      </c>
      <c r="F1129" t="s">
        <v>28</v>
      </c>
      <c r="G1129" t="s">
        <v>29</v>
      </c>
      <c r="H1129" t="s">
        <v>86</v>
      </c>
      <c r="I1129">
        <v>4</v>
      </c>
      <c r="J1129" t="s">
        <v>2336</v>
      </c>
      <c r="K1129">
        <v>38</v>
      </c>
      <c r="L1129" t="s">
        <v>32</v>
      </c>
      <c r="M1129">
        <v>5</v>
      </c>
      <c r="N1129" t="s">
        <v>91</v>
      </c>
      <c r="O1129" t="s">
        <v>34</v>
      </c>
      <c r="P1129" t="s">
        <v>50</v>
      </c>
      <c r="Q1129" s="2">
        <v>6887.21</v>
      </c>
      <c r="R1129" s="2">
        <v>2001.72</v>
      </c>
      <c r="S1129" t="s">
        <v>115</v>
      </c>
      <c r="T1129" t="s">
        <v>71</v>
      </c>
      <c r="U1129" t="s">
        <v>83</v>
      </c>
      <c r="V1129">
        <v>3</v>
      </c>
      <c r="W1129" t="s">
        <v>39</v>
      </c>
      <c r="X1129" t="s">
        <v>84</v>
      </c>
      <c r="Y1129" t="s">
        <v>41</v>
      </c>
    </row>
    <row r="1130" spans="1:25" x14ac:dyDescent="0.3">
      <c r="A1130" t="s">
        <v>2337</v>
      </c>
      <c r="B1130" s="1">
        <v>46054</v>
      </c>
      <c r="C1130" t="s">
        <v>43</v>
      </c>
      <c r="D1130" t="s">
        <v>58</v>
      </c>
      <c r="E1130" t="s">
        <v>89</v>
      </c>
      <c r="F1130" t="s">
        <v>28</v>
      </c>
      <c r="G1130" t="s">
        <v>29</v>
      </c>
      <c r="H1130" t="s">
        <v>61</v>
      </c>
      <c r="I1130">
        <v>6</v>
      </c>
      <c r="J1130" t="s">
        <v>2338</v>
      </c>
      <c r="K1130">
        <v>45</v>
      </c>
      <c r="L1130" t="s">
        <v>80</v>
      </c>
      <c r="M1130">
        <v>5</v>
      </c>
      <c r="N1130" t="s">
        <v>91</v>
      </c>
      <c r="O1130" t="s">
        <v>69</v>
      </c>
      <c r="P1130" t="s">
        <v>70</v>
      </c>
      <c r="Q1130" s="2">
        <v>22801.200000000001</v>
      </c>
      <c r="R1130" s="2">
        <v>4443.78</v>
      </c>
      <c r="S1130" t="s">
        <v>94</v>
      </c>
      <c r="T1130" t="s">
        <v>52</v>
      </c>
      <c r="U1130" t="s">
        <v>83</v>
      </c>
      <c r="V1130">
        <v>1.2</v>
      </c>
      <c r="W1130" t="s">
        <v>124</v>
      </c>
      <c r="X1130" t="s">
        <v>55</v>
      </c>
      <c r="Y1130" t="s">
        <v>72</v>
      </c>
    </row>
    <row r="1131" spans="1:25" x14ac:dyDescent="0.3">
      <c r="A1131" t="s">
        <v>2339</v>
      </c>
      <c r="B1131" s="1">
        <v>46055</v>
      </c>
      <c r="C1131" t="s">
        <v>26</v>
      </c>
      <c r="D1131" t="s">
        <v>26</v>
      </c>
      <c r="E1131" t="s">
        <v>4085</v>
      </c>
      <c r="F1131" t="s">
        <v>60</v>
      </c>
      <c r="G1131" t="s">
        <v>29</v>
      </c>
      <c r="H1131" t="s">
        <v>46</v>
      </c>
      <c r="I1131">
        <v>10</v>
      </c>
      <c r="J1131" t="s">
        <v>2340</v>
      </c>
      <c r="K1131">
        <v>65</v>
      </c>
      <c r="L1131" t="s">
        <v>32</v>
      </c>
      <c r="M1131">
        <v>6</v>
      </c>
      <c r="N1131" t="s">
        <v>91</v>
      </c>
      <c r="O1131" t="s">
        <v>49</v>
      </c>
      <c r="P1131" t="s">
        <v>35</v>
      </c>
      <c r="Q1131" s="2">
        <v>49856.67</v>
      </c>
      <c r="R1131" s="2">
        <v>2623.65</v>
      </c>
      <c r="S1131" t="s">
        <v>94</v>
      </c>
      <c r="T1131" t="s">
        <v>37</v>
      </c>
      <c r="U1131" t="s">
        <v>75</v>
      </c>
      <c r="V1131">
        <v>2</v>
      </c>
      <c r="W1131" t="s">
        <v>76</v>
      </c>
      <c r="X1131" t="s">
        <v>106</v>
      </c>
      <c r="Y1131" t="s">
        <v>72</v>
      </c>
    </row>
    <row r="1132" spans="1:25" x14ac:dyDescent="0.3">
      <c r="A1132" t="s">
        <v>2341</v>
      </c>
      <c r="B1132" s="1">
        <v>46056</v>
      </c>
      <c r="C1132" t="s">
        <v>78</v>
      </c>
      <c r="D1132" t="s">
        <v>58</v>
      </c>
      <c r="E1132" t="s">
        <v>4084</v>
      </c>
      <c r="F1132" t="s">
        <v>60</v>
      </c>
      <c r="G1132" t="s">
        <v>29</v>
      </c>
      <c r="H1132" t="s">
        <v>27</v>
      </c>
      <c r="I1132">
        <v>13</v>
      </c>
      <c r="J1132" t="s">
        <v>2342</v>
      </c>
      <c r="K1132">
        <v>37</v>
      </c>
      <c r="L1132" t="s">
        <v>63</v>
      </c>
      <c r="M1132">
        <v>4</v>
      </c>
      <c r="N1132" t="s">
        <v>33</v>
      </c>
      <c r="O1132" t="s">
        <v>69</v>
      </c>
      <c r="P1132" t="s">
        <v>50</v>
      </c>
      <c r="Q1132" s="2">
        <v>37970.239999999998</v>
      </c>
      <c r="R1132" s="2">
        <v>4334.72</v>
      </c>
      <c r="S1132" t="s">
        <v>115</v>
      </c>
      <c r="T1132" t="s">
        <v>37</v>
      </c>
      <c r="U1132" t="s">
        <v>53</v>
      </c>
      <c r="V1132">
        <v>4.3</v>
      </c>
      <c r="W1132" t="s">
        <v>39</v>
      </c>
      <c r="X1132" t="s">
        <v>84</v>
      </c>
      <c r="Y1132" t="s">
        <v>72</v>
      </c>
    </row>
    <row r="1133" spans="1:25" x14ac:dyDescent="0.3">
      <c r="A1133" t="s">
        <v>2343</v>
      </c>
      <c r="B1133" s="1">
        <v>46057</v>
      </c>
      <c r="C1133" t="s">
        <v>78</v>
      </c>
      <c r="D1133" t="s">
        <v>58</v>
      </c>
      <c r="E1133" t="s">
        <v>4084</v>
      </c>
      <c r="F1133" t="s">
        <v>60</v>
      </c>
      <c r="G1133" t="s">
        <v>29</v>
      </c>
      <c r="H1133" t="s">
        <v>30</v>
      </c>
      <c r="I1133">
        <v>10</v>
      </c>
      <c r="J1133" t="s">
        <v>2344</v>
      </c>
      <c r="K1133">
        <v>51</v>
      </c>
      <c r="L1133" t="s">
        <v>80</v>
      </c>
      <c r="M1133">
        <v>4</v>
      </c>
      <c r="N1133" t="s">
        <v>48</v>
      </c>
      <c r="O1133" t="s">
        <v>49</v>
      </c>
      <c r="P1133" t="s">
        <v>50</v>
      </c>
      <c r="Q1133" s="2">
        <v>47893.440000000002</v>
      </c>
      <c r="R1133" s="2">
        <v>3133.85</v>
      </c>
      <c r="S1133" t="s">
        <v>51</v>
      </c>
      <c r="T1133" t="s">
        <v>37</v>
      </c>
      <c r="U1133" t="s">
        <v>83</v>
      </c>
      <c r="V1133">
        <v>2.9</v>
      </c>
      <c r="W1133" t="s">
        <v>76</v>
      </c>
      <c r="X1133" t="s">
        <v>65</v>
      </c>
      <c r="Y1133" t="s">
        <v>41</v>
      </c>
    </row>
    <row r="1134" spans="1:25" x14ac:dyDescent="0.3">
      <c r="A1134" t="s">
        <v>2345</v>
      </c>
      <c r="B1134" s="1">
        <v>46058</v>
      </c>
      <c r="C1134" t="s">
        <v>117</v>
      </c>
      <c r="D1134" t="s">
        <v>4083</v>
      </c>
      <c r="E1134" t="s">
        <v>120</v>
      </c>
      <c r="F1134" t="s">
        <v>28</v>
      </c>
      <c r="G1134" t="s">
        <v>29</v>
      </c>
      <c r="H1134" t="s">
        <v>86</v>
      </c>
      <c r="I1134">
        <v>5</v>
      </c>
      <c r="J1134" t="s">
        <v>2346</v>
      </c>
      <c r="K1134">
        <v>22</v>
      </c>
      <c r="L1134" t="s">
        <v>63</v>
      </c>
      <c r="M1134">
        <v>7</v>
      </c>
      <c r="N1134" t="s">
        <v>48</v>
      </c>
      <c r="O1134" t="s">
        <v>49</v>
      </c>
      <c r="P1134" t="s">
        <v>50</v>
      </c>
      <c r="Q1134" s="2">
        <v>12383.75</v>
      </c>
      <c r="R1134" s="2">
        <v>2967.84</v>
      </c>
      <c r="S1134" t="s">
        <v>94</v>
      </c>
      <c r="T1134" t="s">
        <v>52</v>
      </c>
      <c r="U1134" t="s">
        <v>83</v>
      </c>
      <c r="V1134">
        <v>2.7</v>
      </c>
      <c r="W1134" t="s">
        <v>76</v>
      </c>
      <c r="X1134" t="s">
        <v>55</v>
      </c>
      <c r="Y1134" t="s">
        <v>41</v>
      </c>
    </row>
    <row r="1135" spans="1:25" x14ac:dyDescent="0.3">
      <c r="A1135" t="s">
        <v>2347</v>
      </c>
      <c r="B1135" s="1">
        <v>46059</v>
      </c>
      <c r="C1135" t="s">
        <v>43</v>
      </c>
      <c r="D1135" t="s">
        <v>58</v>
      </c>
      <c r="E1135" t="s">
        <v>4085</v>
      </c>
      <c r="F1135" t="s">
        <v>60</v>
      </c>
      <c r="G1135" t="s">
        <v>29</v>
      </c>
      <c r="H1135" t="s">
        <v>46</v>
      </c>
      <c r="I1135">
        <v>6</v>
      </c>
      <c r="J1135" t="s">
        <v>2348</v>
      </c>
      <c r="K1135">
        <v>35</v>
      </c>
      <c r="L1135" t="s">
        <v>80</v>
      </c>
      <c r="M1135">
        <v>1</v>
      </c>
      <c r="N1135" t="s">
        <v>64</v>
      </c>
      <c r="O1135" t="s">
        <v>34</v>
      </c>
      <c r="P1135" t="s">
        <v>70</v>
      </c>
      <c r="Q1135" s="2">
        <v>14961.59</v>
      </c>
      <c r="R1135" s="2">
        <v>154.9</v>
      </c>
      <c r="S1135" t="s">
        <v>94</v>
      </c>
      <c r="T1135" t="s">
        <v>71</v>
      </c>
      <c r="U1135" t="s">
        <v>83</v>
      </c>
      <c r="V1135">
        <v>3.8</v>
      </c>
      <c r="W1135" t="s">
        <v>54</v>
      </c>
      <c r="X1135" t="s">
        <v>40</v>
      </c>
      <c r="Y1135" t="s">
        <v>41</v>
      </c>
    </row>
    <row r="1136" spans="1:25" x14ac:dyDescent="0.3">
      <c r="A1136" t="s">
        <v>2349</v>
      </c>
      <c r="B1136" s="1">
        <v>46060</v>
      </c>
      <c r="C1136" t="s">
        <v>26</v>
      </c>
      <c r="D1136" t="s">
        <v>26</v>
      </c>
      <c r="E1136" t="s">
        <v>4085</v>
      </c>
      <c r="F1136" t="s">
        <v>60</v>
      </c>
      <c r="G1136" t="s">
        <v>29</v>
      </c>
      <c r="H1136" t="s">
        <v>59</v>
      </c>
      <c r="I1136">
        <v>5</v>
      </c>
      <c r="J1136" t="s">
        <v>2350</v>
      </c>
      <c r="K1136">
        <v>56</v>
      </c>
      <c r="L1136" t="s">
        <v>63</v>
      </c>
      <c r="M1136">
        <v>3</v>
      </c>
      <c r="N1136" t="s">
        <v>91</v>
      </c>
      <c r="O1136" t="s">
        <v>34</v>
      </c>
      <c r="P1136" t="s">
        <v>82</v>
      </c>
      <c r="Q1136" s="2">
        <v>11966.51</v>
      </c>
      <c r="R1136" s="2">
        <v>1389.47</v>
      </c>
      <c r="S1136" t="s">
        <v>36</v>
      </c>
      <c r="T1136" t="s">
        <v>52</v>
      </c>
      <c r="U1136" t="s">
        <v>75</v>
      </c>
      <c r="V1136">
        <v>3.9</v>
      </c>
      <c r="W1136" t="s">
        <v>54</v>
      </c>
      <c r="X1136" t="s">
        <v>106</v>
      </c>
      <c r="Y1136" t="s">
        <v>72</v>
      </c>
    </row>
    <row r="1137" spans="1:25" x14ac:dyDescent="0.3">
      <c r="A1137" t="s">
        <v>2351</v>
      </c>
      <c r="B1137" s="1">
        <v>46061</v>
      </c>
      <c r="C1137" t="s">
        <v>57</v>
      </c>
      <c r="D1137" t="s">
        <v>44</v>
      </c>
      <c r="E1137" t="s">
        <v>120</v>
      </c>
      <c r="F1137" t="s">
        <v>28</v>
      </c>
      <c r="G1137" t="s">
        <v>29</v>
      </c>
      <c r="H1137" t="s">
        <v>86</v>
      </c>
      <c r="I1137">
        <v>12</v>
      </c>
      <c r="J1137" t="s">
        <v>2352</v>
      </c>
      <c r="K1137">
        <v>60</v>
      </c>
      <c r="L1137" t="s">
        <v>80</v>
      </c>
      <c r="M1137">
        <v>5</v>
      </c>
      <c r="N1137" t="s">
        <v>33</v>
      </c>
      <c r="O1137" t="s">
        <v>81</v>
      </c>
      <c r="P1137" t="s">
        <v>82</v>
      </c>
      <c r="Q1137" s="2">
        <v>18606.61</v>
      </c>
      <c r="R1137" s="2">
        <v>2510.29</v>
      </c>
      <c r="S1137" t="s">
        <v>36</v>
      </c>
      <c r="T1137" t="s">
        <v>52</v>
      </c>
      <c r="U1137" t="s">
        <v>75</v>
      </c>
      <c r="V1137">
        <v>4</v>
      </c>
      <c r="W1137" t="s">
        <v>39</v>
      </c>
      <c r="X1137" t="s">
        <v>65</v>
      </c>
      <c r="Y1137" t="s">
        <v>72</v>
      </c>
    </row>
    <row r="1138" spans="1:25" x14ac:dyDescent="0.3">
      <c r="A1138" t="s">
        <v>2353</v>
      </c>
      <c r="B1138" s="1">
        <v>46062</v>
      </c>
      <c r="C1138" t="s">
        <v>78</v>
      </c>
      <c r="D1138" t="s">
        <v>58</v>
      </c>
      <c r="E1138" t="s">
        <v>4085</v>
      </c>
      <c r="F1138" t="s">
        <v>60</v>
      </c>
      <c r="G1138" t="s">
        <v>29</v>
      </c>
      <c r="H1138" t="s">
        <v>46</v>
      </c>
      <c r="I1138">
        <v>4</v>
      </c>
      <c r="J1138" t="s">
        <v>2354</v>
      </c>
      <c r="K1138">
        <v>28</v>
      </c>
      <c r="L1138" t="s">
        <v>63</v>
      </c>
      <c r="M1138">
        <v>6</v>
      </c>
      <c r="N1138" t="s">
        <v>33</v>
      </c>
      <c r="O1138" t="s">
        <v>49</v>
      </c>
      <c r="P1138" t="s">
        <v>82</v>
      </c>
      <c r="Q1138" s="2">
        <v>37597.279999999999</v>
      </c>
      <c r="R1138" s="2">
        <v>2936.59</v>
      </c>
      <c r="S1138" t="s">
        <v>115</v>
      </c>
      <c r="T1138" t="s">
        <v>37</v>
      </c>
      <c r="U1138" t="s">
        <v>83</v>
      </c>
      <c r="V1138">
        <v>4.3</v>
      </c>
      <c r="W1138" t="s">
        <v>54</v>
      </c>
      <c r="X1138" t="s">
        <v>65</v>
      </c>
      <c r="Y1138" t="s">
        <v>41</v>
      </c>
    </row>
    <row r="1139" spans="1:25" x14ac:dyDescent="0.3">
      <c r="A1139" t="s">
        <v>2355</v>
      </c>
      <c r="B1139" s="1">
        <v>46063</v>
      </c>
      <c r="C1139" t="s">
        <v>78</v>
      </c>
      <c r="D1139" t="s">
        <v>58</v>
      </c>
      <c r="E1139" t="s">
        <v>89</v>
      </c>
      <c r="F1139" t="s">
        <v>28</v>
      </c>
      <c r="G1139" t="s">
        <v>29</v>
      </c>
      <c r="H1139" t="s">
        <v>61</v>
      </c>
      <c r="I1139">
        <v>6</v>
      </c>
      <c r="J1139" t="s">
        <v>2356</v>
      </c>
      <c r="K1139">
        <v>34</v>
      </c>
      <c r="L1139" t="s">
        <v>63</v>
      </c>
      <c r="M1139">
        <v>4</v>
      </c>
      <c r="N1139" t="s">
        <v>64</v>
      </c>
      <c r="O1139" t="s">
        <v>69</v>
      </c>
      <c r="P1139" t="s">
        <v>82</v>
      </c>
      <c r="Q1139" s="2">
        <v>12422.6</v>
      </c>
      <c r="R1139" s="2">
        <v>3152.17</v>
      </c>
      <c r="S1139" t="s">
        <v>115</v>
      </c>
      <c r="T1139" t="s">
        <v>52</v>
      </c>
      <c r="U1139" t="s">
        <v>75</v>
      </c>
      <c r="V1139">
        <v>1.9</v>
      </c>
      <c r="W1139" t="s">
        <v>124</v>
      </c>
      <c r="X1139" t="s">
        <v>65</v>
      </c>
      <c r="Y1139" t="s">
        <v>72</v>
      </c>
    </row>
    <row r="1140" spans="1:25" x14ac:dyDescent="0.3">
      <c r="A1140" t="s">
        <v>2357</v>
      </c>
      <c r="B1140" s="1">
        <v>46064</v>
      </c>
      <c r="C1140" t="s">
        <v>57</v>
      </c>
      <c r="D1140" t="s">
        <v>44</v>
      </c>
      <c r="E1140" t="s">
        <v>120</v>
      </c>
      <c r="F1140" t="s">
        <v>28</v>
      </c>
      <c r="G1140" t="s">
        <v>29</v>
      </c>
      <c r="H1140" t="s">
        <v>86</v>
      </c>
      <c r="I1140">
        <v>8</v>
      </c>
      <c r="J1140" t="s">
        <v>2358</v>
      </c>
      <c r="K1140">
        <v>65</v>
      </c>
      <c r="L1140" t="s">
        <v>32</v>
      </c>
      <c r="M1140">
        <v>5</v>
      </c>
      <c r="N1140" t="s">
        <v>48</v>
      </c>
      <c r="O1140" t="s">
        <v>34</v>
      </c>
      <c r="P1140" t="s">
        <v>82</v>
      </c>
      <c r="Q1140" s="2">
        <v>28590.53</v>
      </c>
      <c r="R1140" s="2">
        <v>3581.11</v>
      </c>
      <c r="S1140" t="s">
        <v>51</v>
      </c>
      <c r="T1140" t="s">
        <v>52</v>
      </c>
      <c r="U1140" t="s">
        <v>53</v>
      </c>
      <c r="V1140">
        <v>1.3</v>
      </c>
      <c r="W1140" t="s">
        <v>124</v>
      </c>
      <c r="X1140" t="s">
        <v>106</v>
      </c>
      <c r="Y1140" t="s">
        <v>41</v>
      </c>
    </row>
    <row r="1141" spans="1:25" x14ac:dyDescent="0.3">
      <c r="A1141" t="s">
        <v>2359</v>
      </c>
      <c r="B1141" s="1">
        <v>46065</v>
      </c>
      <c r="C1141" t="s">
        <v>26</v>
      </c>
      <c r="D1141" t="s">
        <v>26</v>
      </c>
      <c r="E1141" t="s">
        <v>89</v>
      </c>
      <c r="F1141" t="s">
        <v>28</v>
      </c>
      <c r="G1141" t="s">
        <v>29</v>
      </c>
      <c r="H1141" t="s">
        <v>61</v>
      </c>
      <c r="I1141">
        <v>13</v>
      </c>
      <c r="J1141" t="s">
        <v>2360</v>
      </c>
      <c r="K1141">
        <v>62</v>
      </c>
      <c r="L1141" t="s">
        <v>80</v>
      </c>
      <c r="M1141">
        <v>6</v>
      </c>
      <c r="N1141" t="s">
        <v>33</v>
      </c>
      <c r="O1141" t="s">
        <v>34</v>
      </c>
      <c r="P1141" t="s">
        <v>50</v>
      </c>
      <c r="Q1141" s="2">
        <v>17114.45</v>
      </c>
      <c r="R1141" s="2">
        <v>3281.17</v>
      </c>
      <c r="S1141" t="s">
        <v>51</v>
      </c>
      <c r="T1141" t="s">
        <v>37</v>
      </c>
      <c r="U1141" t="s">
        <v>75</v>
      </c>
      <c r="V1141">
        <v>2.5</v>
      </c>
      <c r="W1141" t="s">
        <v>76</v>
      </c>
      <c r="X1141" t="s">
        <v>84</v>
      </c>
      <c r="Y1141" t="s">
        <v>41</v>
      </c>
    </row>
    <row r="1142" spans="1:25" x14ac:dyDescent="0.3">
      <c r="A1142" t="s">
        <v>2361</v>
      </c>
      <c r="B1142" s="1">
        <v>46066</v>
      </c>
      <c r="C1142" t="s">
        <v>26</v>
      </c>
      <c r="D1142" t="s">
        <v>26</v>
      </c>
      <c r="E1142" t="s">
        <v>4085</v>
      </c>
      <c r="F1142" t="s">
        <v>60</v>
      </c>
      <c r="G1142" t="s">
        <v>29</v>
      </c>
      <c r="H1142" t="s">
        <v>46</v>
      </c>
      <c r="I1142">
        <v>13</v>
      </c>
      <c r="J1142" t="s">
        <v>2362</v>
      </c>
      <c r="K1142">
        <v>39</v>
      </c>
      <c r="L1142" t="s">
        <v>80</v>
      </c>
      <c r="M1142">
        <v>2</v>
      </c>
      <c r="N1142" t="s">
        <v>64</v>
      </c>
      <c r="O1142" t="s">
        <v>49</v>
      </c>
      <c r="P1142" t="s">
        <v>50</v>
      </c>
      <c r="Q1142" s="2">
        <v>42313.81</v>
      </c>
      <c r="R1142" s="2">
        <v>4242.88</v>
      </c>
      <c r="S1142" t="s">
        <v>94</v>
      </c>
      <c r="T1142" t="s">
        <v>37</v>
      </c>
      <c r="U1142" t="s">
        <v>83</v>
      </c>
      <c r="V1142">
        <v>4.4000000000000004</v>
      </c>
      <c r="W1142" t="s">
        <v>54</v>
      </c>
      <c r="X1142" t="s">
        <v>40</v>
      </c>
      <c r="Y1142" t="s">
        <v>41</v>
      </c>
    </row>
    <row r="1143" spans="1:25" x14ac:dyDescent="0.3">
      <c r="A1143" t="s">
        <v>2363</v>
      </c>
      <c r="B1143" s="1">
        <v>46067</v>
      </c>
      <c r="C1143" t="s">
        <v>43</v>
      </c>
      <c r="D1143" t="s">
        <v>58</v>
      </c>
      <c r="E1143" t="s">
        <v>120</v>
      </c>
      <c r="F1143" t="s">
        <v>28</v>
      </c>
      <c r="G1143" t="s">
        <v>29</v>
      </c>
      <c r="H1143" t="s">
        <v>86</v>
      </c>
      <c r="I1143">
        <v>7</v>
      </c>
      <c r="J1143" t="s">
        <v>2364</v>
      </c>
      <c r="K1143">
        <v>54</v>
      </c>
      <c r="L1143" t="s">
        <v>32</v>
      </c>
      <c r="M1143">
        <v>5</v>
      </c>
      <c r="N1143" t="s">
        <v>48</v>
      </c>
      <c r="O1143" t="s">
        <v>69</v>
      </c>
      <c r="P1143" t="s">
        <v>35</v>
      </c>
      <c r="Q1143" s="2">
        <v>5296.66</v>
      </c>
      <c r="R1143" s="2">
        <v>1477.35</v>
      </c>
      <c r="S1143" t="s">
        <v>36</v>
      </c>
      <c r="T1143" t="s">
        <v>52</v>
      </c>
      <c r="U1143" t="s">
        <v>53</v>
      </c>
      <c r="V1143">
        <v>1.3</v>
      </c>
      <c r="W1143" t="s">
        <v>124</v>
      </c>
      <c r="X1143" t="s">
        <v>84</v>
      </c>
      <c r="Y1143" t="s">
        <v>41</v>
      </c>
    </row>
    <row r="1144" spans="1:25" x14ac:dyDescent="0.3">
      <c r="A1144" t="s">
        <v>2365</v>
      </c>
      <c r="B1144" s="1">
        <v>46068</v>
      </c>
      <c r="C1144" t="s">
        <v>43</v>
      </c>
      <c r="D1144" t="s">
        <v>58</v>
      </c>
      <c r="E1144" t="s">
        <v>4085</v>
      </c>
      <c r="F1144" t="s">
        <v>60</v>
      </c>
      <c r="G1144" t="s">
        <v>29</v>
      </c>
      <c r="H1144" t="s">
        <v>46</v>
      </c>
      <c r="I1144">
        <v>5</v>
      </c>
      <c r="J1144" t="s">
        <v>2366</v>
      </c>
      <c r="K1144">
        <v>37</v>
      </c>
      <c r="L1144" t="s">
        <v>63</v>
      </c>
      <c r="M1144">
        <v>3</v>
      </c>
      <c r="N1144" t="s">
        <v>33</v>
      </c>
      <c r="O1144" t="s">
        <v>34</v>
      </c>
      <c r="P1144" t="s">
        <v>50</v>
      </c>
      <c r="Q1144" s="2">
        <v>15040.17</v>
      </c>
      <c r="R1144" s="2">
        <v>3207.85</v>
      </c>
      <c r="S1144" t="s">
        <v>51</v>
      </c>
      <c r="T1144" t="s">
        <v>37</v>
      </c>
      <c r="U1144" t="s">
        <v>75</v>
      </c>
      <c r="V1144">
        <v>3.3</v>
      </c>
      <c r="W1144" t="s">
        <v>76</v>
      </c>
      <c r="X1144" t="s">
        <v>55</v>
      </c>
      <c r="Y1144" t="s">
        <v>72</v>
      </c>
    </row>
    <row r="1145" spans="1:25" x14ac:dyDescent="0.3">
      <c r="A1145" t="s">
        <v>2367</v>
      </c>
      <c r="B1145" s="1">
        <v>46069</v>
      </c>
      <c r="C1145" t="s">
        <v>117</v>
      </c>
      <c r="D1145" t="s">
        <v>4083</v>
      </c>
      <c r="E1145" t="s">
        <v>120</v>
      </c>
      <c r="F1145" t="s">
        <v>28</v>
      </c>
      <c r="G1145" t="s">
        <v>29</v>
      </c>
      <c r="H1145" t="s">
        <v>86</v>
      </c>
      <c r="I1145">
        <v>4</v>
      </c>
      <c r="J1145" t="s">
        <v>2368</v>
      </c>
      <c r="K1145">
        <v>65</v>
      </c>
      <c r="L1145" t="s">
        <v>63</v>
      </c>
      <c r="M1145">
        <v>6</v>
      </c>
      <c r="N1145" t="s">
        <v>91</v>
      </c>
      <c r="O1145" t="s">
        <v>34</v>
      </c>
      <c r="P1145" t="s">
        <v>70</v>
      </c>
      <c r="Q1145" s="2">
        <v>32235.83</v>
      </c>
      <c r="R1145" s="2">
        <v>255.8</v>
      </c>
      <c r="S1145" t="s">
        <v>94</v>
      </c>
      <c r="T1145" t="s">
        <v>71</v>
      </c>
      <c r="U1145" t="s">
        <v>83</v>
      </c>
      <c r="V1145">
        <v>3.8</v>
      </c>
      <c r="W1145" t="s">
        <v>39</v>
      </c>
      <c r="X1145" t="s">
        <v>40</v>
      </c>
      <c r="Y1145" t="s">
        <v>41</v>
      </c>
    </row>
    <row r="1146" spans="1:25" x14ac:dyDescent="0.3">
      <c r="A1146" t="s">
        <v>2369</v>
      </c>
      <c r="B1146" s="1">
        <v>46070</v>
      </c>
      <c r="C1146" t="s">
        <v>78</v>
      </c>
      <c r="D1146" t="s">
        <v>58</v>
      </c>
      <c r="E1146" t="s">
        <v>4085</v>
      </c>
      <c r="F1146" t="s">
        <v>60</v>
      </c>
      <c r="G1146" t="s">
        <v>29</v>
      </c>
      <c r="H1146" t="s">
        <v>59</v>
      </c>
      <c r="I1146">
        <v>11</v>
      </c>
      <c r="J1146" t="s">
        <v>2370</v>
      </c>
      <c r="K1146">
        <v>65</v>
      </c>
      <c r="L1146" t="s">
        <v>80</v>
      </c>
      <c r="M1146">
        <v>3</v>
      </c>
      <c r="N1146" t="s">
        <v>64</v>
      </c>
      <c r="O1146" t="s">
        <v>69</v>
      </c>
      <c r="P1146" t="s">
        <v>35</v>
      </c>
      <c r="Q1146" s="2">
        <v>9351.9699999999993</v>
      </c>
      <c r="R1146" s="2">
        <v>2400.9499999999998</v>
      </c>
      <c r="S1146" t="s">
        <v>94</v>
      </c>
      <c r="T1146" t="s">
        <v>71</v>
      </c>
      <c r="U1146" t="s">
        <v>38</v>
      </c>
      <c r="V1146">
        <v>2.9</v>
      </c>
      <c r="W1146" t="s">
        <v>76</v>
      </c>
      <c r="X1146" t="s">
        <v>84</v>
      </c>
      <c r="Y1146" t="s">
        <v>72</v>
      </c>
    </row>
    <row r="1147" spans="1:25" x14ac:dyDescent="0.3">
      <c r="A1147" t="s">
        <v>2371</v>
      </c>
      <c r="B1147" s="1">
        <v>46071</v>
      </c>
      <c r="C1147" t="s">
        <v>43</v>
      </c>
      <c r="D1147" t="s">
        <v>58</v>
      </c>
      <c r="E1147" t="s">
        <v>89</v>
      </c>
      <c r="F1147" t="s">
        <v>28</v>
      </c>
      <c r="G1147" t="s">
        <v>29</v>
      </c>
      <c r="H1147" t="s">
        <v>61</v>
      </c>
      <c r="I1147">
        <v>3</v>
      </c>
      <c r="J1147" t="s">
        <v>2372</v>
      </c>
      <c r="K1147">
        <v>65</v>
      </c>
      <c r="L1147" t="s">
        <v>63</v>
      </c>
      <c r="M1147">
        <v>5</v>
      </c>
      <c r="N1147" t="s">
        <v>33</v>
      </c>
      <c r="O1147" t="s">
        <v>34</v>
      </c>
      <c r="P1147" t="s">
        <v>50</v>
      </c>
      <c r="Q1147" s="2">
        <v>25984.05</v>
      </c>
      <c r="R1147" s="2">
        <v>1340.16</v>
      </c>
      <c r="S1147" t="s">
        <v>115</v>
      </c>
      <c r="T1147" t="s">
        <v>71</v>
      </c>
      <c r="U1147" t="s">
        <v>38</v>
      </c>
      <c r="V1147">
        <v>2</v>
      </c>
      <c r="W1147" t="s">
        <v>76</v>
      </c>
      <c r="X1147" t="s">
        <v>55</v>
      </c>
      <c r="Y1147" t="s">
        <v>72</v>
      </c>
    </row>
    <row r="1148" spans="1:25" x14ac:dyDescent="0.3">
      <c r="A1148" t="s">
        <v>2373</v>
      </c>
      <c r="B1148" s="1">
        <v>46072</v>
      </c>
      <c r="C1148" t="s">
        <v>26</v>
      </c>
      <c r="D1148" t="s">
        <v>26</v>
      </c>
      <c r="E1148" t="s">
        <v>89</v>
      </c>
      <c r="F1148" t="s">
        <v>28</v>
      </c>
      <c r="G1148" t="s">
        <v>29</v>
      </c>
      <c r="H1148" t="s">
        <v>61</v>
      </c>
      <c r="I1148">
        <v>11</v>
      </c>
      <c r="J1148" t="s">
        <v>2374</v>
      </c>
      <c r="K1148">
        <v>63</v>
      </c>
      <c r="L1148" t="s">
        <v>80</v>
      </c>
      <c r="M1148">
        <v>2</v>
      </c>
      <c r="N1148" t="s">
        <v>64</v>
      </c>
      <c r="O1148" t="s">
        <v>69</v>
      </c>
      <c r="P1148" t="s">
        <v>35</v>
      </c>
      <c r="Q1148" s="2">
        <v>24629.33</v>
      </c>
      <c r="R1148" s="2">
        <v>1904.44</v>
      </c>
      <c r="S1148" t="s">
        <v>36</v>
      </c>
      <c r="T1148" t="s">
        <v>71</v>
      </c>
      <c r="U1148" t="s">
        <v>53</v>
      </c>
      <c r="V1148">
        <v>2.2999999999999998</v>
      </c>
      <c r="W1148" t="s">
        <v>76</v>
      </c>
      <c r="X1148" t="s">
        <v>40</v>
      </c>
      <c r="Y1148" t="s">
        <v>41</v>
      </c>
    </row>
    <row r="1149" spans="1:25" x14ac:dyDescent="0.3">
      <c r="A1149" t="s">
        <v>2375</v>
      </c>
      <c r="B1149" s="1">
        <v>46073</v>
      </c>
      <c r="C1149" t="s">
        <v>57</v>
      </c>
      <c r="D1149" t="s">
        <v>44</v>
      </c>
      <c r="E1149" t="s">
        <v>4085</v>
      </c>
      <c r="F1149" t="s">
        <v>60</v>
      </c>
      <c r="G1149" t="s">
        <v>29</v>
      </c>
      <c r="H1149" t="s">
        <v>59</v>
      </c>
      <c r="I1149">
        <v>3</v>
      </c>
      <c r="J1149" t="s">
        <v>2376</v>
      </c>
      <c r="K1149">
        <v>23</v>
      </c>
      <c r="L1149" t="s">
        <v>80</v>
      </c>
      <c r="M1149">
        <v>3</v>
      </c>
      <c r="N1149" t="s">
        <v>64</v>
      </c>
      <c r="O1149" t="s">
        <v>49</v>
      </c>
      <c r="P1149" t="s">
        <v>35</v>
      </c>
      <c r="Q1149" s="2">
        <v>43363.54</v>
      </c>
      <c r="R1149" s="2">
        <v>1773.31</v>
      </c>
      <c r="S1149" t="s">
        <v>94</v>
      </c>
      <c r="T1149" t="s">
        <v>71</v>
      </c>
      <c r="U1149" t="s">
        <v>53</v>
      </c>
      <c r="V1149">
        <v>1.3</v>
      </c>
      <c r="W1149" t="s">
        <v>124</v>
      </c>
      <c r="X1149" t="s">
        <v>106</v>
      </c>
      <c r="Y1149" t="s">
        <v>41</v>
      </c>
    </row>
    <row r="1150" spans="1:25" x14ac:dyDescent="0.3">
      <c r="A1150" t="s">
        <v>2377</v>
      </c>
      <c r="B1150" s="1">
        <v>46074</v>
      </c>
      <c r="C1150" t="s">
        <v>26</v>
      </c>
      <c r="D1150" t="s">
        <v>26</v>
      </c>
      <c r="E1150" t="s">
        <v>120</v>
      </c>
      <c r="F1150" t="s">
        <v>28</v>
      </c>
      <c r="G1150" t="s">
        <v>29</v>
      </c>
      <c r="H1150" t="s">
        <v>86</v>
      </c>
      <c r="I1150">
        <v>9</v>
      </c>
      <c r="J1150" t="s">
        <v>2378</v>
      </c>
      <c r="K1150">
        <v>51</v>
      </c>
      <c r="L1150" t="s">
        <v>63</v>
      </c>
      <c r="M1150">
        <v>4</v>
      </c>
      <c r="N1150" t="s">
        <v>64</v>
      </c>
      <c r="O1150" t="s">
        <v>34</v>
      </c>
      <c r="P1150" t="s">
        <v>82</v>
      </c>
      <c r="Q1150" s="2">
        <v>33142.870000000003</v>
      </c>
      <c r="R1150" s="2">
        <v>302.14999999999998</v>
      </c>
      <c r="S1150" t="s">
        <v>115</v>
      </c>
      <c r="T1150" t="s">
        <v>37</v>
      </c>
      <c r="U1150" t="s">
        <v>53</v>
      </c>
      <c r="V1150">
        <v>2.2000000000000002</v>
      </c>
      <c r="W1150" t="s">
        <v>76</v>
      </c>
      <c r="X1150" t="s">
        <v>55</v>
      </c>
      <c r="Y1150" t="s">
        <v>72</v>
      </c>
    </row>
    <row r="1151" spans="1:25" x14ac:dyDescent="0.3">
      <c r="A1151" t="s">
        <v>2379</v>
      </c>
      <c r="B1151" s="1">
        <v>46075</v>
      </c>
      <c r="C1151" t="s">
        <v>78</v>
      </c>
      <c r="D1151" t="s">
        <v>58</v>
      </c>
      <c r="E1151" t="s">
        <v>4084</v>
      </c>
      <c r="F1151" t="s">
        <v>60</v>
      </c>
      <c r="G1151" t="s">
        <v>29</v>
      </c>
      <c r="H1151" t="s">
        <v>27</v>
      </c>
      <c r="I1151">
        <v>8</v>
      </c>
      <c r="J1151" t="s">
        <v>2380</v>
      </c>
      <c r="K1151">
        <v>31</v>
      </c>
      <c r="L1151" t="s">
        <v>63</v>
      </c>
      <c r="M1151">
        <v>6</v>
      </c>
      <c r="N1151" t="s">
        <v>91</v>
      </c>
      <c r="O1151" t="s">
        <v>49</v>
      </c>
      <c r="P1151" t="s">
        <v>35</v>
      </c>
      <c r="Q1151" s="2">
        <v>33786.589999999997</v>
      </c>
      <c r="R1151" s="2">
        <v>2333.23</v>
      </c>
      <c r="S1151" t="s">
        <v>94</v>
      </c>
      <c r="T1151" t="s">
        <v>37</v>
      </c>
      <c r="U1151" t="s">
        <v>75</v>
      </c>
      <c r="V1151">
        <v>1.2</v>
      </c>
      <c r="W1151" t="s">
        <v>124</v>
      </c>
      <c r="X1151" t="s">
        <v>84</v>
      </c>
      <c r="Y1151" t="s">
        <v>41</v>
      </c>
    </row>
    <row r="1152" spans="1:25" x14ac:dyDescent="0.3">
      <c r="A1152" t="s">
        <v>2381</v>
      </c>
      <c r="B1152" s="1">
        <v>46076</v>
      </c>
      <c r="C1152" t="s">
        <v>26</v>
      </c>
      <c r="D1152" t="s">
        <v>26</v>
      </c>
      <c r="E1152" t="s">
        <v>89</v>
      </c>
      <c r="F1152" t="s">
        <v>28</v>
      </c>
      <c r="G1152" t="s">
        <v>29</v>
      </c>
      <c r="H1152" t="s">
        <v>61</v>
      </c>
      <c r="I1152">
        <v>9</v>
      </c>
      <c r="J1152" t="s">
        <v>2382</v>
      </c>
      <c r="K1152">
        <v>65</v>
      </c>
      <c r="L1152" t="s">
        <v>63</v>
      </c>
      <c r="M1152">
        <v>5</v>
      </c>
      <c r="N1152" t="s">
        <v>48</v>
      </c>
      <c r="O1152" t="s">
        <v>69</v>
      </c>
      <c r="P1152" t="s">
        <v>50</v>
      </c>
      <c r="Q1152" s="2">
        <v>47831.34</v>
      </c>
      <c r="R1152" s="2">
        <v>4973.1499999999996</v>
      </c>
      <c r="S1152" t="s">
        <v>36</v>
      </c>
      <c r="T1152" t="s">
        <v>71</v>
      </c>
      <c r="U1152" t="s">
        <v>53</v>
      </c>
      <c r="V1152">
        <v>3.9</v>
      </c>
      <c r="W1152" t="s">
        <v>54</v>
      </c>
      <c r="X1152" t="s">
        <v>40</v>
      </c>
      <c r="Y1152" t="s">
        <v>72</v>
      </c>
    </row>
    <row r="1153" spans="1:25" x14ac:dyDescent="0.3">
      <c r="A1153" t="s">
        <v>2383</v>
      </c>
      <c r="B1153" s="1">
        <v>46077</v>
      </c>
      <c r="C1153" t="s">
        <v>117</v>
      </c>
      <c r="D1153" t="s">
        <v>4083</v>
      </c>
      <c r="E1153" t="s">
        <v>89</v>
      </c>
      <c r="F1153" t="s">
        <v>28</v>
      </c>
      <c r="G1153" t="s">
        <v>29</v>
      </c>
      <c r="H1153" t="s">
        <v>61</v>
      </c>
      <c r="I1153">
        <v>5</v>
      </c>
      <c r="J1153" t="s">
        <v>2384</v>
      </c>
      <c r="K1153">
        <v>40</v>
      </c>
      <c r="L1153" t="s">
        <v>32</v>
      </c>
      <c r="M1153">
        <v>2</v>
      </c>
      <c r="N1153" t="s">
        <v>48</v>
      </c>
      <c r="O1153" t="s">
        <v>49</v>
      </c>
      <c r="P1153" t="s">
        <v>82</v>
      </c>
      <c r="Q1153" s="2">
        <v>49206.22</v>
      </c>
      <c r="R1153" s="2">
        <v>1494.68</v>
      </c>
      <c r="S1153" t="s">
        <v>94</v>
      </c>
      <c r="T1153" t="s">
        <v>71</v>
      </c>
      <c r="U1153" t="s">
        <v>75</v>
      </c>
      <c r="V1153">
        <v>4.5999999999999996</v>
      </c>
      <c r="W1153" t="s">
        <v>103</v>
      </c>
      <c r="X1153" t="s">
        <v>55</v>
      </c>
      <c r="Y1153" t="s">
        <v>72</v>
      </c>
    </row>
    <row r="1154" spans="1:25" x14ac:dyDescent="0.3">
      <c r="A1154" t="s">
        <v>2385</v>
      </c>
      <c r="B1154" s="1">
        <v>46078</v>
      </c>
      <c r="C1154" t="s">
        <v>78</v>
      </c>
      <c r="D1154" t="s">
        <v>58</v>
      </c>
      <c r="E1154" t="s">
        <v>4084</v>
      </c>
      <c r="F1154" t="s">
        <v>60</v>
      </c>
      <c r="G1154" t="s">
        <v>29</v>
      </c>
      <c r="H1154" t="s">
        <v>27</v>
      </c>
      <c r="I1154">
        <v>5</v>
      </c>
      <c r="J1154" t="s">
        <v>2386</v>
      </c>
      <c r="K1154">
        <v>37</v>
      </c>
      <c r="L1154" t="s">
        <v>80</v>
      </c>
      <c r="M1154">
        <v>4</v>
      </c>
      <c r="N1154" t="s">
        <v>33</v>
      </c>
      <c r="O1154" t="s">
        <v>49</v>
      </c>
      <c r="P1154" t="s">
        <v>50</v>
      </c>
      <c r="Q1154" s="2">
        <v>34402.76</v>
      </c>
      <c r="R1154" s="2">
        <v>3680.73</v>
      </c>
      <c r="S1154" t="s">
        <v>94</v>
      </c>
      <c r="T1154" t="s">
        <v>71</v>
      </c>
      <c r="U1154" t="s">
        <v>83</v>
      </c>
      <c r="V1154">
        <v>3.5</v>
      </c>
      <c r="W1154" t="s">
        <v>54</v>
      </c>
      <c r="X1154" t="s">
        <v>55</v>
      </c>
      <c r="Y1154" t="s">
        <v>72</v>
      </c>
    </row>
    <row r="1155" spans="1:25" x14ac:dyDescent="0.3">
      <c r="A1155" t="s">
        <v>2387</v>
      </c>
      <c r="B1155" s="1">
        <v>46079</v>
      </c>
      <c r="C1155" t="s">
        <v>57</v>
      </c>
      <c r="D1155" t="s">
        <v>44</v>
      </c>
      <c r="E1155" t="s">
        <v>4085</v>
      </c>
      <c r="F1155" t="s">
        <v>60</v>
      </c>
      <c r="G1155" t="s">
        <v>29</v>
      </c>
      <c r="H1155" t="s">
        <v>59</v>
      </c>
      <c r="I1155">
        <v>13</v>
      </c>
      <c r="J1155" t="s">
        <v>2388</v>
      </c>
      <c r="K1155">
        <v>30</v>
      </c>
      <c r="L1155" t="s">
        <v>63</v>
      </c>
      <c r="M1155">
        <v>5</v>
      </c>
      <c r="N1155" t="s">
        <v>91</v>
      </c>
      <c r="O1155" t="s">
        <v>49</v>
      </c>
      <c r="P1155" t="s">
        <v>82</v>
      </c>
      <c r="Q1155" s="2">
        <v>28490.07</v>
      </c>
      <c r="R1155" s="2">
        <v>2738.94</v>
      </c>
      <c r="S1155" t="s">
        <v>51</v>
      </c>
      <c r="T1155" t="s">
        <v>37</v>
      </c>
      <c r="U1155" t="s">
        <v>75</v>
      </c>
      <c r="V1155">
        <v>3.6</v>
      </c>
      <c r="W1155" t="s">
        <v>54</v>
      </c>
      <c r="X1155" t="s">
        <v>106</v>
      </c>
      <c r="Y1155" t="s">
        <v>72</v>
      </c>
    </row>
    <row r="1156" spans="1:25" x14ac:dyDescent="0.3">
      <c r="A1156" t="s">
        <v>2389</v>
      </c>
      <c r="B1156" s="1">
        <v>46080</v>
      </c>
      <c r="C1156" t="s">
        <v>117</v>
      </c>
      <c r="D1156" t="s">
        <v>4083</v>
      </c>
      <c r="E1156" t="s">
        <v>120</v>
      </c>
      <c r="F1156" t="s">
        <v>28</v>
      </c>
      <c r="G1156" t="s">
        <v>29</v>
      </c>
      <c r="H1156" t="s">
        <v>86</v>
      </c>
      <c r="I1156">
        <v>3</v>
      </c>
      <c r="J1156" t="s">
        <v>2390</v>
      </c>
      <c r="K1156">
        <v>64</v>
      </c>
      <c r="L1156" t="s">
        <v>32</v>
      </c>
      <c r="M1156">
        <v>7</v>
      </c>
      <c r="N1156" t="s">
        <v>48</v>
      </c>
      <c r="O1156" t="s">
        <v>81</v>
      </c>
      <c r="P1156" t="s">
        <v>50</v>
      </c>
      <c r="Q1156" s="2">
        <v>32356.400000000001</v>
      </c>
      <c r="R1156" s="2">
        <v>1626.13</v>
      </c>
      <c r="S1156" t="s">
        <v>51</v>
      </c>
      <c r="T1156" t="s">
        <v>37</v>
      </c>
      <c r="U1156" t="s">
        <v>75</v>
      </c>
      <c r="V1156">
        <v>2.9</v>
      </c>
      <c r="W1156" t="s">
        <v>76</v>
      </c>
      <c r="X1156" t="s">
        <v>55</v>
      </c>
      <c r="Y1156" t="s">
        <v>41</v>
      </c>
    </row>
    <row r="1157" spans="1:25" x14ac:dyDescent="0.3">
      <c r="A1157" t="s">
        <v>2391</v>
      </c>
      <c r="B1157" s="1">
        <v>46081</v>
      </c>
      <c r="C1157" t="s">
        <v>78</v>
      </c>
      <c r="D1157" t="s">
        <v>58</v>
      </c>
      <c r="E1157" t="s">
        <v>4085</v>
      </c>
      <c r="F1157" t="s">
        <v>60</v>
      </c>
      <c r="G1157" t="s">
        <v>29</v>
      </c>
      <c r="H1157" t="s">
        <v>46</v>
      </c>
      <c r="I1157">
        <v>6</v>
      </c>
      <c r="J1157" t="s">
        <v>2392</v>
      </c>
      <c r="K1157">
        <v>61</v>
      </c>
      <c r="L1157" t="s">
        <v>63</v>
      </c>
      <c r="M1157">
        <v>2</v>
      </c>
      <c r="N1157" t="s">
        <v>33</v>
      </c>
      <c r="O1157" t="s">
        <v>69</v>
      </c>
      <c r="P1157" t="s">
        <v>82</v>
      </c>
      <c r="Q1157" s="2">
        <v>22209.97</v>
      </c>
      <c r="R1157" s="2">
        <v>448.04</v>
      </c>
      <c r="S1157" t="s">
        <v>115</v>
      </c>
      <c r="T1157" t="s">
        <v>52</v>
      </c>
      <c r="U1157" t="s">
        <v>83</v>
      </c>
      <c r="V1157">
        <v>1.6</v>
      </c>
      <c r="W1157" t="s">
        <v>124</v>
      </c>
      <c r="X1157" t="s">
        <v>40</v>
      </c>
      <c r="Y1157" t="s">
        <v>41</v>
      </c>
    </row>
    <row r="1158" spans="1:25" x14ac:dyDescent="0.3">
      <c r="A1158" t="s">
        <v>2393</v>
      </c>
      <c r="B1158" s="1">
        <v>46082</v>
      </c>
      <c r="C1158" t="s">
        <v>57</v>
      </c>
      <c r="D1158" t="s">
        <v>44</v>
      </c>
      <c r="E1158" t="s">
        <v>45</v>
      </c>
      <c r="F1158" t="s">
        <v>28</v>
      </c>
      <c r="G1158" t="s">
        <v>29</v>
      </c>
      <c r="H1158" t="s">
        <v>67</v>
      </c>
      <c r="I1158">
        <v>14</v>
      </c>
      <c r="J1158" t="s">
        <v>2394</v>
      </c>
      <c r="K1158">
        <v>58</v>
      </c>
      <c r="L1158" t="s">
        <v>80</v>
      </c>
      <c r="M1158">
        <v>4</v>
      </c>
      <c r="N1158" t="s">
        <v>33</v>
      </c>
      <c r="O1158" t="s">
        <v>69</v>
      </c>
      <c r="P1158" t="s">
        <v>82</v>
      </c>
      <c r="Q1158" s="2">
        <v>49435.55</v>
      </c>
      <c r="R1158" s="2">
        <v>1079.29</v>
      </c>
      <c r="S1158" t="s">
        <v>94</v>
      </c>
      <c r="T1158" t="s">
        <v>52</v>
      </c>
      <c r="U1158" t="s">
        <v>38</v>
      </c>
      <c r="V1158">
        <v>1</v>
      </c>
      <c r="W1158" t="s">
        <v>124</v>
      </c>
      <c r="X1158" t="s">
        <v>65</v>
      </c>
      <c r="Y1158" t="s">
        <v>41</v>
      </c>
    </row>
    <row r="1159" spans="1:25" x14ac:dyDescent="0.3">
      <c r="A1159" t="s">
        <v>2395</v>
      </c>
      <c r="B1159" s="1">
        <v>46083</v>
      </c>
      <c r="C1159" t="s">
        <v>117</v>
      </c>
      <c r="D1159" t="s">
        <v>4083</v>
      </c>
      <c r="E1159" t="s">
        <v>89</v>
      </c>
      <c r="F1159" t="s">
        <v>28</v>
      </c>
      <c r="G1159" t="s">
        <v>29</v>
      </c>
      <c r="H1159" t="s">
        <v>61</v>
      </c>
      <c r="I1159">
        <v>4</v>
      </c>
      <c r="J1159" t="s">
        <v>2396</v>
      </c>
      <c r="K1159">
        <v>49</v>
      </c>
      <c r="L1159" t="s">
        <v>32</v>
      </c>
      <c r="M1159">
        <v>3</v>
      </c>
      <c r="N1159" t="s">
        <v>64</v>
      </c>
      <c r="O1159" t="s">
        <v>69</v>
      </c>
      <c r="P1159" t="s">
        <v>70</v>
      </c>
      <c r="Q1159" s="2">
        <v>36725.96</v>
      </c>
      <c r="R1159" s="2">
        <v>3909.27</v>
      </c>
      <c r="S1159" t="s">
        <v>115</v>
      </c>
      <c r="T1159" t="s">
        <v>52</v>
      </c>
      <c r="U1159" t="s">
        <v>75</v>
      </c>
      <c r="V1159">
        <v>2.4</v>
      </c>
      <c r="W1159" t="s">
        <v>76</v>
      </c>
      <c r="X1159" t="s">
        <v>40</v>
      </c>
      <c r="Y1159" t="s">
        <v>72</v>
      </c>
    </row>
    <row r="1160" spans="1:25" x14ac:dyDescent="0.3">
      <c r="A1160" t="s">
        <v>2397</v>
      </c>
      <c r="B1160" s="1">
        <v>46084</v>
      </c>
      <c r="C1160" t="s">
        <v>117</v>
      </c>
      <c r="D1160" t="s">
        <v>4083</v>
      </c>
      <c r="E1160" t="s">
        <v>45</v>
      </c>
      <c r="F1160" t="s">
        <v>28</v>
      </c>
      <c r="G1160" t="s">
        <v>29</v>
      </c>
      <c r="H1160" t="s">
        <v>67</v>
      </c>
      <c r="I1160">
        <v>12</v>
      </c>
      <c r="J1160" t="s">
        <v>2398</v>
      </c>
      <c r="K1160">
        <v>43</v>
      </c>
      <c r="L1160" t="s">
        <v>80</v>
      </c>
      <c r="M1160">
        <v>5</v>
      </c>
      <c r="N1160" t="s">
        <v>91</v>
      </c>
      <c r="O1160" t="s">
        <v>69</v>
      </c>
      <c r="P1160" t="s">
        <v>50</v>
      </c>
      <c r="Q1160" s="2">
        <v>18095.310000000001</v>
      </c>
      <c r="R1160" s="2">
        <v>1395.1</v>
      </c>
      <c r="S1160" t="s">
        <v>36</v>
      </c>
      <c r="T1160" t="s">
        <v>52</v>
      </c>
      <c r="U1160" t="s">
        <v>75</v>
      </c>
      <c r="V1160">
        <v>4</v>
      </c>
      <c r="W1160" t="s">
        <v>39</v>
      </c>
      <c r="X1160" t="s">
        <v>40</v>
      </c>
      <c r="Y1160" t="s">
        <v>41</v>
      </c>
    </row>
    <row r="1161" spans="1:25" x14ac:dyDescent="0.3">
      <c r="A1161" t="s">
        <v>2399</v>
      </c>
      <c r="B1161" s="1">
        <v>46085</v>
      </c>
      <c r="C1161" t="s">
        <v>78</v>
      </c>
      <c r="D1161" t="s">
        <v>58</v>
      </c>
      <c r="E1161" t="s">
        <v>89</v>
      </c>
      <c r="F1161" t="s">
        <v>28</v>
      </c>
      <c r="G1161" t="s">
        <v>29</v>
      </c>
      <c r="H1161" t="s">
        <v>61</v>
      </c>
      <c r="I1161">
        <v>10</v>
      </c>
      <c r="J1161" t="s">
        <v>2400</v>
      </c>
      <c r="K1161">
        <v>67</v>
      </c>
      <c r="L1161" t="s">
        <v>63</v>
      </c>
      <c r="M1161">
        <v>5</v>
      </c>
      <c r="N1161" t="s">
        <v>48</v>
      </c>
      <c r="O1161" t="s">
        <v>69</v>
      </c>
      <c r="P1161" t="s">
        <v>35</v>
      </c>
      <c r="Q1161" s="2">
        <v>7599.48</v>
      </c>
      <c r="R1161" s="2">
        <v>721.51</v>
      </c>
      <c r="S1161" t="s">
        <v>115</v>
      </c>
      <c r="T1161" t="s">
        <v>37</v>
      </c>
      <c r="U1161" t="s">
        <v>83</v>
      </c>
      <c r="V1161">
        <v>4.8</v>
      </c>
      <c r="W1161" t="s">
        <v>103</v>
      </c>
      <c r="X1161" t="s">
        <v>106</v>
      </c>
      <c r="Y1161" t="s">
        <v>72</v>
      </c>
    </row>
    <row r="1162" spans="1:25" x14ac:dyDescent="0.3">
      <c r="A1162" t="s">
        <v>2401</v>
      </c>
      <c r="B1162" s="1">
        <v>46086</v>
      </c>
      <c r="C1162" t="s">
        <v>43</v>
      </c>
      <c r="D1162" t="s">
        <v>58</v>
      </c>
      <c r="E1162" t="s">
        <v>89</v>
      </c>
      <c r="F1162" t="s">
        <v>28</v>
      </c>
      <c r="G1162" t="s">
        <v>29</v>
      </c>
      <c r="H1162" t="s">
        <v>61</v>
      </c>
      <c r="I1162">
        <v>5</v>
      </c>
      <c r="J1162" t="s">
        <v>2402</v>
      </c>
      <c r="K1162">
        <v>31</v>
      </c>
      <c r="L1162" t="s">
        <v>63</v>
      </c>
      <c r="M1162">
        <v>3</v>
      </c>
      <c r="N1162" t="s">
        <v>91</v>
      </c>
      <c r="O1162" t="s">
        <v>34</v>
      </c>
      <c r="P1162" t="s">
        <v>82</v>
      </c>
      <c r="Q1162" s="2">
        <v>7012.49</v>
      </c>
      <c r="R1162" s="2">
        <v>1656.49</v>
      </c>
      <c r="S1162" t="s">
        <v>94</v>
      </c>
      <c r="T1162" t="s">
        <v>37</v>
      </c>
      <c r="U1162" t="s">
        <v>53</v>
      </c>
      <c r="V1162">
        <v>2.7</v>
      </c>
      <c r="W1162" t="s">
        <v>76</v>
      </c>
      <c r="X1162" t="s">
        <v>106</v>
      </c>
      <c r="Y1162" t="s">
        <v>72</v>
      </c>
    </row>
    <row r="1163" spans="1:25" x14ac:dyDescent="0.3">
      <c r="A1163" t="s">
        <v>2403</v>
      </c>
      <c r="B1163" s="1">
        <v>46087</v>
      </c>
      <c r="C1163" t="s">
        <v>117</v>
      </c>
      <c r="D1163" t="s">
        <v>4083</v>
      </c>
      <c r="E1163" t="s">
        <v>45</v>
      </c>
      <c r="F1163" t="s">
        <v>28</v>
      </c>
      <c r="G1163" t="s">
        <v>29</v>
      </c>
      <c r="H1163" t="s">
        <v>67</v>
      </c>
      <c r="I1163">
        <v>9</v>
      </c>
      <c r="J1163" t="s">
        <v>2404</v>
      </c>
      <c r="K1163">
        <v>69</v>
      </c>
      <c r="L1163" t="s">
        <v>63</v>
      </c>
      <c r="M1163">
        <v>7</v>
      </c>
      <c r="N1163" t="s">
        <v>91</v>
      </c>
      <c r="O1163" t="s">
        <v>34</v>
      </c>
      <c r="P1163" t="s">
        <v>50</v>
      </c>
      <c r="Q1163" s="2">
        <v>14221.08</v>
      </c>
      <c r="R1163" s="2">
        <v>2920.21</v>
      </c>
      <c r="S1163" t="s">
        <v>51</v>
      </c>
      <c r="T1163" t="s">
        <v>37</v>
      </c>
      <c r="U1163" t="s">
        <v>83</v>
      </c>
      <c r="V1163">
        <v>2.5</v>
      </c>
      <c r="W1163" t="s">
        <v>76</v>
      </c>
      <c r="X1163" t="s">
        <v>55</v>
      </c>
      <c r="Y1163" t="s">
        <v>72</v>
      </c>
    </row>
    <row r="1164" spans="1:25" x14ac:dyDescent="0.3">
      <c r="A1164" t="s">
        <v>2405</v>
      </c>
      <c r="B1164" s="1">
        <v>46088</v>
      </c>
      <c r="C1164" t="s">
        <v>117</v>
      </c>
      <c r="D1164" t="s">
        <v>4083</v>
      </c>
      <c r="E1164" t="s">
        <v>45</v>
      </c>
      <c r="F1164" t="s">
        <v>28</v>
      </c>
      <c r="G1164" t="s">
        <v>29</v>
      </c>
      <c r="H1164" t="s">
        <v>67</v>
      </c>
      <c r="I1164">
        <v>9</v>
      </c>
      <c r="J1164" t="s">
        <v>2406</v>
      </c>
      <c r="K1164">
        <v>53</v>
      </c>
      <c r="L1164" t="s">
        <v>32</v>
      </c>
      <c r="M1164">
        <v>1</v>
      </c>
      <c r="N1164" t="s">
        <v>48</v>
      </c>
      <c r="O1164" t="s">
        <v>34</v>
      </c>
      <c r="P1164" t="s">
        <v>82</v>
      </c>
      <c r="Q1164" s="2">
        <v>15481.09</v>
      </c>
      <c r="R1164" s="2">
        <v>3517.32</v>
      </c>
      <c r="S1164" t="s">
        <v>51</v>
      </c>
      <c r="T1164" t="s">
        <v>37</v>
      </c>
      <c r="U1164" t="s">
        <v>38</v>
      </c>
      <c r="V1164">
        <v>2.8</v>
      </c>
      <c r="W1164" t="s">
        <v>76</v>
      </c>
      <c r="X1164" t="s">
        <v>106</v>
      </c>
      <c r="Y1164" t="s">
        <v>41</v>
      </c>
    </row>
    <row r="1165" spans="1:25" x14ac:dyDescent="0.3">
      <c r="A1165" t="s">
        <v>2407</v>
      </c>
      <c r="B1165" s="1">
        <v>46089</v>
      </c>
      <c r="C1165" t="s">
        <v>57</v>
      </c>
      <c r="D1165" t="s">
        <v>44</v>
      </c>
      <c r="E1165" t="s">
        <v>4085</v>
      </c>
      <c r="F1165" t="s">
        <v>60</v>
      </c>
      <c r="G1165" t="s">
        <v>29</v>
      </c>
      <c r="H1165" t="s">
        <v>46</v>
      </c>
      <c r="I1165">
        <v>14</v>
      </c>
      <c r="J1165" t="s">
        <v>2408</v>
      </c>
      <c r="K1165">
        <v>25</v>
      </c>
      <c r="L1165" t="s">
        <v>32</v>
      </c>
      <c r="M1165">
        <v>4</v>
      </c>
      <c r="N1165" t="s">
        <v>48</v>
      </c>
      <c r="O1165" t="s">
        <v>49</v>
      </c>
      <c r="P1165" t="s">
        <v>70</v>
      </c>
      <c r="Q1165" s="2">
        <v>23677.05</v>
      </c>
      <c r="R1165" s="2">
        <v>1936.82</v>
      </c>
      <c r="S1165" t="s">
        <v>115</v>
      </c>
      <c r="T1165" t="s">
        <v>71</v>
      </c>
      <c r="U1165" t="s">
        <v>53</v>
      </c>
      <c r="V1165">
        <v>2.7</v>
      </c>
      <c r="W1165" t="s">
        <v>76</v>
      </c>
      <c r="X1165" t="s">
        <v>55</v>
      </c>
      <c r="Y1165" t="s">
        <v>41</v>
      </c>
    </row>
    <row r="1166" spans="1:25" x14ac:dyDescent="0.3">
      <c r="A1166" t="s">
        <v>2409</v>
      </c>
      <c r="B1166" s="1">
        <v>46090</v>
      </c>
      <c r="C1166" t="s">
        <v>26</v>
      </c>
      <c r="D1166" t="s">
        <v>26</v>
      </c>
      <c r="E1166" t="s">
        <v>45</v>
      </c>
      <c r="F1166" t="s">
        <v>28</v>
      </c>
      <c r="G1166" t="s">
        <v>29</v>
      </c>
      <c r="H1166" t="s">
        <v>67</v>
      </c>
      <c r="I1166">
        <v>11</v>
      </c>
      <c r="J1166" t="s">
        <v>2410</v>
      </c>
      <c r="K1166">
        <v>57</v>
      </c>
      <c r="L1166" t="s">
        <v>32</v>
      </c>
      <c r="M1166">
        <v>3</v>
      </c>
      <c r="N1166" t="s">
        <v>91</v>
      </c>
      <c r="O1166" t="s">
        <v>49</v>
      </c>
      <c r="P1166" t="s">
        <v>70</v>
      </c>
      <c r="Q1166" s="2">
        <v>14668.07</v>
      </c>
      <c r="R1166" s="2">
        <v>2490.7399999999998</v>
      </c>
      <c r="S1166" t="s">
        <v>51</v>
      </c>
      <c r="T1166" t="s">
        <v>52</v>
      </c>
      <c r="U1166" t="s">
        <v>38</v>
      </c>
      <c r="V1166">
        <v>3.5</v>
      </c>
      <c r="W1166" t="s">
        <v>39</v>
      </c>
      <c r="X1166" t="s">
        <v>65</v>
      </c>
      <c r="Y1166" t="s">
        <v>72</v>
      </c>
    </row>
    <row r="1167" spans="1:25" x14ac:dyDescent="0.3">
      <c r="A1167" t="s">
        <v>2411</v>
      </c>
      <c r="B1167" s="1">
        <v>46091</v>
      </c>
      <c r="C1167" t="s">
        <v>78</v>
      </c>
      <c r="D1167" t="s">
        <v>58</v>
      </c>
      <c r="E1167" t="s">
        <v>4085</v>
      </c>
      <c r="F1167" t="s">
        <v>60</v>
      </c>
      <c r="G1167" t="s">
        <v>29</v>
      </c>
      <c r="H1167" t="s">
        <v>46</v>
      </c>
      <c r="I1167">
        <v>8</v>
      </c>
      <c r="J1167" t="s">
        <v>2412</v>
      </c>
      <c r="K1167">
        <v>39</v>
      </c>
      <c r="L1167" t="s">
        <v>32</v>
      </c>
      <c r="M1167">
        <v>5</v>
      </c>
      <c r="N1167" t="s">
        <v>33</v>
      </c>
      <c r="O1167" t="s">
        <v>69</v>
      </c>
      <c r="P1167" t="s">
        <v>70</v>
      </c>
      <c r="Q1167" s="2">
        <v>33390.97</v>
      </c>
      <c r="R1167" s="2">
        <v>2274.58</v>
      </c>
      <c r="S1167" t="s">
        <v>94</v>
      </c>
      <c r="T1167" t="s">
        <v>37</v>
      </c>
      <c r="U1167" t="s">
        <v>75</v>
      </c>
      <c r="V1167">
        <v>3.9</v>
      </c>
      <c r="W1167" t="s">
        <v>54</v>
      </c>
      <c r="X1167" t="s">
        <v>84</v>
      </c>
      <c r="Y1167" t="s">
        <v>41</v>
      </c>
    </row>
    <row r="1168" spans="1:25" x14ac:dyDescent="0.3">
      <c r="A1168" t="s">
        <v>2413</v>
      </c>
      <c r="B1168" s="1">
        <v>46092</v>
      </c>
      <c r="C1168" t="s">
        <v>78</v>
      </c>
      <c r="D1168" t="s">
        <v>58</v>
      </c>
      <c r="E1168" t="s">
        <v>4085</v>
      </c>
      <c r="F1168" t="s">
        <v>60</v>
      </c>
      <c r="G1168" t="s">
        <v>29</v>
      </c>
      <c r="H1168" t="s">
        <v>59</v>
      </c>
      <c r="I1168">
        <v>3</v>
      </c>
      <c r="J1168" t="s">
        <v>2414</v>
      </c>
      <c r="K1168">
        <v>39</v>
      </c>
      <c r="L1168" t="s">
        <v>63</v>
      </c>
      <c r="M1168">
        <v>4</v>
      </c>
      <c r="N1168" t="s">
        <v>91</v>
      </c>
      <c r="O1168" t="s">
        <v>81</v>
      </c>
      <c r="P1168" t="s">
        <v>70</v>
      </c>
      <c r="Q1168" s="2">
        <v>14506.46</v>
      </c>
      <c r="R1168" s="2">
        <v>45.02</v>
      </c>
      <c r="S1168" t="s">
        <v>94</v>
      </c>
      <c r="T1168" t="s">
        <v>37</v>
      </c>
      <c r="U1168" t="s">
        <v>38</v>
      </c>
      <c r="V1168">
        <v>4.0999999999999996</v>
      </c>
      <c r="W1168" t="s">
        <v>54</v>
      </c>
      <c r="X1168" t="s">
        <v>106</v>
      </c>
      <c r="Y1168" t="s">
        <v>72</v>
      </c>
    </row>
    <row r="1169" spans="1:25" x14ac:dyDescent="0.3">
      <c r="A1169" t="s">
        <v>2415</v>
      </c>
      <c r="B1169" s="1">
        <v>46093</v>
      </c>
      <c r="C1169" t="s">
        <v>43</v>
      </c>
      <c r="D1169" t="s">
        <v>58</v>
      </c>
      <c r="E1169" t="s">
        <v>4085</v>
      </c>
      <c r="F1169" t="s">
        <v>60</v>
      </c>
      <c r="G1169" t="s">
        <v>29</v>
      </c>
      <c r="H1169" t="s">
        <v>46</v>
      </c>
      <c r="I1169">
        <v>10</v>
      </c>
      <c r="J1169" t="s">
        <v>2416</v>
      </c>
      <c r="K1169">
        <v>33</v>
      </c>
      <c r="L1169" t="s">
        <v>63</v>
      </c>
      <c r="M1169">
        <v>7</v>
      </c>
      <c r="N1169" t="s">
        <v>48</v>
      </c>
      <c r="O1169" t="s">
        <v>69</v>
      </c>
      <c r="P1169" t="s">
        <v>35</v>
      </c>
      <c r="Q1169" s="2">
        <v>13454.44</v>
      </c>
      <c r="R1169" s="2">
        <v>1978</v>
      </c>
      <c r="S1169" t="s">
        <v>36</v>
      </c>
      <c r="T1169" t="s">
        <v>52</v>
      </c>
      <c r="U1169" t="s">
        <v>38</v>
      </c>
      <c r="V1169">
        <v>3.6</v>
      </c>
      <c r="W1169" t="s">
        <v>54</v>
      </c>
      <c r="X1169" t="s">
        <v>106</v>
      </c>
      <c r="Y1169" t="s">
        <v>41</v>
      </c>
    </row>
    <row r="1170" spans="1:25" x14ac:dyDescent="0.3">
      <c r="A1170" t="s">
        <v>2417</v>
      </c>
      <c r="B1170" s="1">
        <v>46094</v>
      </c>
      <c r="C1170" t="s">
        <v>43</v>
      </c>
      <c r="D1170" t="s">
        <v>58</v>
      </c>
      <c r="E1170" t="s">
        <v>89</v>
      </c>
      <c r="F1170" t="s">
        <v>28</v>
      </c>
      <c r="G1170" t="s">
        <v>29</v>
      </c>
      <c r="H1170" t="s">
        <v>61</v>
      </c>
      <c r="I1170">
        <v>3</v>
      </c>
      <c r="J1170" t="s">
        <v>2418</v>
      </c>
      <c r="K1170">
        <v>44</v>
      </c>
      <c r="L1170" t="s">
        <v>63</v>
      </c>
      <c r="M1170">
        <v>4</v>
      </c>
      <c r="N1170" t="s">
        <v>91</v>
      </c>
      <c r="O1170" t="s">
        <v>34</v>
      </c>
      <c r="P1170" t="s">
        <v>35</v>
      </c>
      <c r="Q1170" s="2">
        <v>26205.66</v>
      </c>
      <c r="R1170" s="2">
        <v>2936.6</v>
      </c>
      <c r="S1170" t="s">
        <v>51</v>
      </c>
      <c r="T1170" t="s">
        <v>37</v>
      </c>
      <c r="U1170" t="s">
        <v>83</v>
      </c>
      <c r="V1170">
        <v>2.8</v>
      </c>
      <c r="W1170" t="s">
        <v>76</v>
      </c>
      <c r="X1170" t="s">
        <v>65</v>
      </c>
      <c r="Y1170" t="s">
        <v>41</v>
      </c>
    </row>
    <row r="1171" spans="1:25" x14ac:dyDescent="0.3">
      <c r="A1171" t="s">
        <v>2419</v>
      </c>
      <c r="B1171" s="1">
        <v>46095</v>
      </c>
      <c r="C1171" t="s">
        <v>78</v>
      </c>
      <c r="D1171" t="s">
        <v>58</v>
      </c>
      <c r="E1171" t="s">
        <v>89</v>
      </c>
      <c r="F1171" t="s">
        <v>28</v>
      </c>
      <c r="G1171" t="s">
        <v>29</v>
      </c>
      <c r="H1171" t="s">
        <v>61</v>
      </c>
      <c r="I1171">
        <v>5</v>
      </c>
      <c r="J1171" t="s">
        <v>2420</v>
      </c>
      <c r="K1171">
        <v>27</v>
      </c>
      <c r="L1171" t="s">
        <v>32</v>
      </c>
      <c r="M1171">
        <v>1</v>
      </c>
      <c r="N1171" t="s">
        <v>48</v>
      </c>
      <c r="O1171" t="s">
        <v>69</v>
      </c>
      <c r="P1171" t="s">
        <v>82</v>
      </c>
      <c r="Q1171" s="2">
        <v>44990.09</v>
      </c>
      <c r="R1171" s="2">
        <v>2849.72</v>
      </c>
      <c r="S1171" t="s">
        <v>51</v>
      </c>
      <c r="T1171" t="s">
        <v>71</v>
      </c>
      <c r="U1171" t="s">
        <v>53</v>
      </c>
      <c r="V1171">
        <v>4.8</v>
      </c>
      <c r="W1171" t="s">
        <v>103</v>
      </c>
      <c r="X1171" t="s">
        <v>106</v>
      </c>
      <c r="Y1171" t="s">
        <v>41</v>
      </c>
    </row>
    <row r="1172" spans="1:25" x14ac:dyDescent="0.3">
      <c r="A1172" t="s">
        <v>2421</v>
      </c>
      <c r="B1172" s="1">
        <v>46096</v>
      </c>
      <c r="C1172" t="s">
        <v>43</v>
      </c>
      <c r="D1172" t="s">
        <v>58</v>
      </c>
      <c r="E1172" t="s">
        <v>45</v>
      </c>
      <c r="F1172" t="s">
        <v>28</v>
      </c>
      <c r="G1172" t="s">
        <v>29</v>
      </c>
      <c r="H1172" t="s">
        <v>67</v>
      </c>
      <c r="I1172">
        <v>13</v>
      </c>
      <c r="J1172" t="s">
        <v>2422</v>
      </c>
      <c r="K1172">
        <v>42</v>
      </c>
      <c r="L1172" t="s">
        <v>32</v>
      </c>
      <c r="M1172">
        <v>5</v>
      </c>
      <c r="N1172" t="s">
        <v>33</v>
      </c>
      <c r="O1172" t="s">
        <v>49</v>
      </c>
      <c r="P1172" t="s">
        <v>50</v>
      </c>
      <c r="Q1172" s="2">
        <v>26073.75</v>
      </c>
      <c r="R1172" s="2">
        <v>3748.84</v>
      </c>
      <c r="S1172" t="s">
        <v>36</v>
      </c>
      <c r="T1172" t="s">
        <v>37</v>
      </c>
      <c r="U1172" t="s">
        <v>75</v>
      </c>
      <c r="V1172">
        <v>3.8</v>
      </c>
      <c r="W1172" t="s">
        <v>54</v>
      </c>
      <c r="X1172" t="s">
        <v>65</v>
      </c>
      <c r="Y1172" t="s">
        <v>72</v>
      </c>
    </row>
    <row r="1173" spans="1:25" x14ac:dyDescent="0.3">
      <c r="A1173" t="s">
        <v>2423</v>
      </c>
      <c r="B1173" s="1">
        <v>46097</v>
      </c>
      <c r="C1173" t="s">
        <v>57</v>
      </c>
      <c r="D1173" t="s">
        <v>44</v>
      </c>
      <c r="E1173" t="s">
        <v>89</v>
      </c>
      <c r="F1173" t="s">
        <v>28</v>
      </c>
      <c r="G1173" t="s">
        <v>29</v>
      </c>
      <c r="H1173" t="s">
        <v>61</v>
      </c>
      <c r="I1173">
        <v>7</v>
      </c>
      <c r="J1173" t="s">
        <v>2424</v>
      </c>
      <c r="K1173">
        <v>48</v>
      </c>
      <c r="L1173" t="s">
        <v>63</v>
      </c>
      <c r="M1173">
        <v>2</v>
      </c>
      <c r="N1173" t="s">
        <v>91</v>
      </c>
      <c r="O1173" t="s">
        <v>69</v>
      </c>
      <c r="P1173" t="s">
        <v>70</v>
      </c>
      <c r="Q1173" s="2">
        <v>23623.19</v>
      </c>
      <c r="R1173" s="2">
        <v>3351.88</v>
      </c>
      <c r="S1173" t="s">
        <v>115</v>
      </c>
      <c r="T1173" t="s">
        <v>52</v>
      </c>
      <c r="U1173" t="s">
        <v>75</v>
      </c>
      <c r="V1173">
        <v>2.7</v>
      </c>
      <c r="W1173" t="s">
        <v>76</v>
      </c>
      <c r="X1173" t="s">
        <v>55</v>
      </c>
      <c r="Y1173" t="s">
        <v>41</v>
      </c>
    </row>
    <row r="1174" spans="1:25" x14ac:dyDescent="0.3">
      <c r="A1174" t="s">
        <v>2425</v>
      </c>
      <c r="B1174" s="1">
        <v>46098</v>
      </c>
      <c r="C1174" t="s">
        <v>78</v>
      </c>
      <c r="D1174" t="s">
        <v>58</v>
      </c>
      <c r="E1174" t="s">
        <v>45</v>
      </c>
      <c r="F1174" t="s">
        <v>28</v>
      </c>
      <c r="G1174" t="s">
        <v>29</v>
      </c>
      <c r="H1174" t="s">
        <v>67</v>
      </c>
      <c r="I1174">
        <v>10</v>
      </c>
      <c r="J1174" t="s">
        <v>2426</v>
      </c>
      <c r="K1174">
        <v>38</v>
      </c>
      <c r="L1174" t="s">
        <v>63</v>
      </c>
      <c r="M1174">
        <v>1</v>
      </c>
      <c r="N1174" t="s">
        <v>33</v>
      </c>
      <c r="O1174" t="s">
        <v>34</v>
      </c>
      <c r="P1174" t="s">
        <v>70</v>
      </c>
      <c r="Q1174" s="2">
        <v>31014.27</v>
      </c>
      <c r="R1174" s="2">
        <v>1384.03</v>
      </c>
      <c r="S1174" t="s">
        <v>36</v>
      </c>
      <c r="T1174" t="s">
        <v>71</v>
      </c>
      <c r="U1174" t="s">
        <v>75</v>
      </c>
      <c r="V1174">
        <v>2.8</v>
      </c>
      <c r="W1174" t="s">
        <v>76</v>
      </c>
      <c r="X1174" t="s">
        <v>106</v>
      </c>
      <c r="Y1174" t="s">
        <v>41</v>
      </c>
    </row>
    <row r="1175" spans="1:25" x14ac:dyDescent="0.3">
      <c r="A1175" t="s">
        <v>2427</v>
      </c>
      <c r="B1175" s="1">
        <v>46099</v>
      </c>
      <c r="C1175" t="s">
        <v>43</v>
      </c>
      <c r="D1175" t="s">
        <v>58</v>
      </c>
      <c r="E1175" t="s">
        <v>89</v>
      </c>
      <c r="F1175" t="s">
        <v>28</v>
      </c>
      <c r="G1175" t="s">
        <v>29</v>
      </c>
      <c r="H1175" t="s">
        <v>61</v>
      </c>
      <c r="I1175">
        <v>11</v>
      </c>
      <c r="J1175" t="s">
        <v>2428</v>
      </c>
      <c r="K1175">
        <v>44</v>
      </c>
      <c r="L1175" t="s">
        <v>32</v>
      </c>
      <c r="M1175">
        <v>1</v>
      </c>
      <c r="N1175" t="s">
        <v>91</v>
      </c>
      <c r="O1175" t="s">
        <v>69</v>
      </c>
      <c r="P1175" t="s">
        <v>35</v>
      </c>
      <c r="Q1175" s="2">
        <v>16574.62</v>
      </c>
      <c r="R1175" s="2">
        <v>1278.22</v>
      </c>
      <c r="S1175" t="s">
        <v>51</v>
      </c>
      <c r="T1175" t="s">
        <v>71</v>
      </c>
      <c r="U1175" t="s">
        <v>53</v>
      </c>
      <c r="V1175">
        <v>4.3</v>
      </c>
      <c r="W1175" t="s">
        <v>54</v>
      </c>
      <c r="X1175" t="s">
        <v>106</v>
      </c>
      <c r="Y1175" t="s">
        <v>72</v>
      </c>
    </row>
    <row r="1176" spans="1:25" x14ac:dyDescent="0.3">
      <c r="A1176" t="s">
        <v>2429</v>
      </c>
      <c r="B1176" s="1">
        <v>46100</v>
      </c>
      <c r="C1176" t="s">
        <v>78</v>
      </c>
      <c r="D1176" t="s">
        <v>58</v>
      </c>
      <c r="E1176" t="s">
        <v>120</v>
      </c>
      <c r="F1176" t="s">
        <v>28</v>
      </c>
      <c r="G1176" t="s">
        <v>29</v>
      </c>
      <c r="H1176" t="s">
        <v>86</v>
      </c>
      <c r="I1176">
        <v>9</v>
      </c>
      <c r="J1176" t="s">
        <v>2430</v>
      </c>
      <c r="K1176">
        <v>34</v>
      </c>
      <c r="L1176" t="s">
        <v>80</v>
      </c>
      <c r="M1176">
        <v>2</v>
      </c>
      <c r="N1176" t="s">
        <v>91</v>
      </c>
      <c r="O1176" t="s">
        <v>49</v>
      </c>
      <c r="P1176" t="s">
        <v>35</v>
      </c>
      <c r="Q1176" s="2">
        <v>20904.64</v>
      </c>
      <c r="R1176" s="2">
        <v>2320.71</v>
      </c>
      <c r="S1176" t="s">
        <v>115</v>
      </c>
      <c r="T1176" t="s">
        <v>52</v>
      </c>
      <c r="U1176" t="s">
        <v>53</v>
      </c>
      <c r="V1176">
        <v>2.8</v>
      </c>
      <c r="W1176" t="s">
        <v>76</v>
      </c>
      <c r="X1176" t="s">
        <v>55</v>
      </c>
      <c r="Y1176" t="s">
        <v>41</v>
      </c>
    </row>
    <row r="1177" spans="1:25" x14ac:dyDescent="0.3">
      <c r="A1177" t="s">
        <v>2431</v>
      </c>
      <c r="B1177" s="1">
        <v>46101</v>
      </c>
      <c r="C1177" t="s">
        <v>26</v>
      </c>
      <c r="D1177" t="s">
        <v>26</v>
      </c>
      <c r="E1177" t="s">
        <v>120</v>
      </c>
      <c r="F1177" t="s">
        <v>28</v>
      </c>
      <c r="G1177" t="s">
        <v>29</v>
      </c>
      <c r="H1177" t="s">
        <v>86</v>
      </c>
      <c r="I1177">
        <v>11</v>
      </c>
      <c r="J1177" t="s">
        <v>2432</v>
      </c>
      <c r="K1177">
        <v>50</v>
      </c>
      <c r="L1177" t="s">
        <v>63</v>
      </c>
      <c r="M1177">
        <v>2</v>
      </c>
      <c r="N1177" t="s">
        <v>48</v>
      </c>
      <c r="O1177" t="s">
        <v>81</v>
      </c>
      <c r="P1177" t="s">
        <v>70</v>
      </c>
      <c r="Q1177" s="2">
        <v>14622.59</v>
      </c>
      <c r="R1177" s="2">
        <v>3664.85</v>
      </c>
      <c r="S1177" t="s">
        <v>94</v>
      </c>
      <c r="T1177" t="s">
        <v>52</v>
      </c>
      <c r="U1177" t="s">
        <v>38</v>
      </c>
      <c r="V1177">
        <v>3.1</v>
      </c>
      <c r="W1177" t="s">
        <v>76</v>
      </c>
      <c r="X1177" t="s">
        <v>106</v>
      </c>
      <c r="Y1177" t="s">
        <v>72</v>
      </c>
    </row>
    <row r="1178" spans="1:25" x14ac:dyDescent="0.3">
      <c r="A1178" t="s">
        <v>2433</v>
      </c>
      <c r="B1178" s="1">
        <v>46102</v>
      </c>
      <c r="C1178" t="s">
        <v>117</v>
      </c>
      <c r="D1178" t="s">
        <v>4083</v>
      </c>
      <c r="E1178" t="s">
        <v>45</v>
      </c>
      <c r="F1178" t="s">
        <v>28</v>
      </c>
      <c r="G1178" t="s">
        <v>29</v>
      </c>
      <c r="H1178" t="s">
        <v>67</v>
      </c>
      <c r="I1178">
        <v>13</v>
      </c>
      <c r="J1178" t="s">
        <v>2434</v>
      </c>
      <c r="K1178">
        <v>48</v>
      </c>
      <c r="L1178" t="s">
        <v>63</v>
      </c>
      <c r="M1178">
        <v>7</v>
      </c>
      <c r="N1178" t="s">
        <v>64</v>
      </c>
      <c r="O1178" t="s">
        <v>34</v>
      </c>
      <c r="P1178" t="s">
        <v>50</v>
      </c>
      <c r="Q1178" s="2">
        <v>30731.45</v>
      </c>
      <c r="R1178" s="2">
        <v>469.14</v>
      </c>
      <c r="S1178" t="s">
        <v>94</v>
      </c>
      <c r="T1178" t="s">
        <v>71</v>
      </c>
      <c r="U1178" t="s">
        <v>38</v>
      </c>
      <c r="V1178">
        <v>2.2000000000000002</v>
      </c>
      <c r="W1178" t="s">
        <v>76</v>
      </c>
      <c r="X1178" t="s">
        <v>40</v>
      </c>
      <c r="Y1178" t="s">
        <v>41</v>
      </c>
    </row>
    <row r="1179" spans="1:25" x14ac:dyDescent="0.3">
      <c r="A1179" t="s">
        <v>2435</v>
      </c>
      <c r="B1179" s="1">
        <v>46103</v>
      </c>
      <c r="C1179" t="s">
        <v>78</v>
      </c>
      <c r="D1179" t="s">
        <v>58</v>
      </c>
      <c r="E1179" t="s">
        <v>89</v>
      </c>
      <c r="F1179" t="s">
        <v>28</v>
      </c>
      <c r="G1179" t="s">
        <v>29</v>
      </c>
      <c r="H1179" t="s">
        <v>61</v>
      </c>
      <c r="I1179">
        <v>5</v>
      </c>
      <c r="J1179" t="s">
        <v>2436</v>
      </c>
      <c r="K1179">
        <v>67</v>
      </c>
      <c r="L1179" t="s">
        <v>63</v>
      </c>
      <c r="M1179">
        <v>7</v>
      </c>
      <c r="N1179" t="s">
        <v>48</v>
      </c>
      <c r="O1179" t="s">
        <v>69</v>
      </c>
      <c r="P1179" t="s">
        <v>82</v>
      </c>
      <c r="Q1179" s="2">
        <v>36382.44</v>
      </c>
      <c r="R1179" s="2">
        <v>4741.63</v>
      </c>
      <c r="S1179" t="s">
        <v>36</v>
      </c>
      <c r="T1179" t="s">
        <v>37</v>
      </c>
      <c r="U1179" t="s">
        <v>53</v>
      </c>
      <c r="V1179">
        <v>4.4000000000000004</v>
      </c>
      <c r="W1179" t="s">
        <v>54</v>
      </c>
      <c r="X1179" t="s">
        <v>65</v>
      </c>
      <c r="Y1179" t="s">
        <v>72</v>
      </c>
    </row>
    <row r="1180" spans="1:25" x14ac:dyDescent="0.3">
      <c r="A1180" t="s">
        <v>2437</v>
      </c>
      <c r="B1180" s="1">
        <v>46104</v>
      </c>
      <c r="C1180" t="s">
        <v>117</v>
      </c>
      <c r="D1180" t="s">
        <v>4083</v>
      </c>
      <c r="E1180" t="s">
        <v>89</v>
      </c>
      <c r="F1180" t="s">
        <v>28</v>
      </c>
      <c r="G1180" t="s">
        <v>29</v>
      </c>
      <c r="H1180" t="s">
        <v>61</v>
      </c>
      <c r="I1180">
        <v>7</v>
      </c>
      <c r="J1180" t="s">
        <v>2438</v>
      </c>
      <c r="K1180">
        <v>59</v>
      </c>
      <c r="L1180" t="s">
        <v>32</v>
      </c>
      <c r="M1180">
        <v>1</v>
      </c>
      <c r="N1180" t="s">
        <v>91</v>
      </c>
      <c r="O1180" t="s">
        <v>49</v>
      </c>
      <c r="P1180" t="s">
        <v>82</v>
      </c>
      <c r="Q1180" s="2">
        <v>35316.44</v>
      </c>
      <c r="R1180" s="2">
        <v>2715.77</v>
      </c>
      <c r="S1180" t="s">
        <v>94</v>
      </c>
      <c r="T1180" t="s">
        <v>52</v>
      </c>
      <c r="U1180" t="s">
        <v>75</v>
      </c>
      <c r="V1180">
        <v>3.1</v>
      </c>
      <c r="W1180" t="s">
        <v>76</v>
      </c>
      <c r="X1180" t="s">
        <v>84</v>
      </c>
      <c r="Y1180" t="s">
        <v>72</v>
      </c>
    </row>
    <row r="1181" spans="1:25" x14ac:dyDescent="0.3">
      <c r="A1181" t="s">
        <v>2439</v>
      </c>
      <c r="B1181" s="1">
        <v>46105</v>
      </c>
      <c r="C1181" t="s">
        <v>43</v>
      </c>
      <c r="D1181" t="s">
        <v>58</v>
      </c>
      <c r="E1181" t="s">
        <v>4085</v>
      </c>
      <c r="F1181" t="s">
        <v>60</v>
      </c>
      <c r="G1181" t="s">
        <v>29</v>
      </c>
      <c r="H1181" t="s">
        <v>46</v>
      </c>
      <c r="I1181">
        <v>12</v>
      </c>
      <c r="J1181" t="s">
        <v>2440</v>
      </c>
      <c r="K1181">
        <v>43</v>
      </c>
      <c r="L1181" t="s">
        <v>63</v>
      </c>
      <c r="M1181">
        <v>4</v>
      </c>
      <c r="N1181" t="s">
        <v>64</v>
      </c>
      <c r="O1181" t="s">
        <v>34</v>
      </c>
      <c r="P1181" t="s">
        <v>82</v>
      </c>
      <c r="Q1181" s="2">
        <v>16466.8</v>
      </c>
      <c r="R1181" s="2">
        <v>1532.04</v>
      </c>
      <c r="S1181" t="s">
        <v>51</v>
      </c>
      <c r="T1181" t="s">
        <v>71</v>
      </c>
      <c r="U1181" t="s">
        <v>53</v>
      </c>
      <c r="V1181">
        <v>3.2</v>
      </c>
      <c r="W1181" t="s">
        <v>39</v>
      </c>
      <c r="X1181" t="s">
        <v>40</v>
      </c>
      <c r="Y1181" t="s">
        <v>41</v>
      </c>
    </row>
    <row r="1182" spans="1:25" x14ac:dyDescent="0.3">
      <c r="A1182" t="s">
        <v>2441</v>
      </c>
      <c r="B1182" s="1">
        <v>46106</v>
      </c>
      <c r="C1182" t="s">
        <v>117</v>
      </c>
      <c r="D1182" t="s">
        <v>4083</v>
      </c>
      <c r="E1182" t="s">
        <v>4084</v>
      </c>
      <c r="F1182" t="s">
        <v>60</v>
      </c>
      <c r="G1182" t="s">
        <v>29</v>
      </c>
      <c r="H1182" t="s">
        <v>27</v>
      </c>
      <c r="I1182">
        <v>10</v>
      </c>
      <c r="J1182" t="s">
        <v>2442</v>
      </c>
      <c r="K1182">
        <v>38</v>
      </c>
      <c r="L1182" t="s">
        <v>63</v>
      </c>
      <c r="M1182">
        <v>3</v>
      </c>
      <c r="N1182" t="s">
        <v>64</v>
      </c>
      <c r="O1182" t="s">
        <v>34</v>
      </c>
      <c r="P1182" t="s">
        <v>82</v>
      </c>
      <c r="Q1182" s="2">
        <v>40084.17</v>
      </c>
      <c r="R1182" s="2">
        <v>3466.96</v>
      </c>
      <c r="S1182" t="s">
        <v>36</v>
      </c>
      <c r="T1182" t="s">
        <v>52</v>
      </c>
      <c r="U1182" t="s">
        <v>83</v>
      </c>
      <c r="V1182">
        <v>4.5</v>
      </c>
      <c r="W1182" t="s">
        <v>103</v>
      </c>
      <c r="X1182" t="s">
        <v>84</v>
      </c>
      <c r="Y1182" t="s">
        <v>72</v>
      </c>
    </row>
    <row r="1183" spans="1:25" x14ac:dyDescent="0.3">
      <c r="A1183" t="s">
        <v>2443</v>
      </c>
      <c r="B1183" s="1">
        <v>46107</v>
      </c>
      <c r="C1183" t="s">
        <v>78</v>
      </c>
      <c r="D1183" t="s">
        <v>58</v>
      </c>
      <c r="E1183" t="s">
        <v>45</v>
      </c>
      <c r="F1183" t="s">
        <v>28</v>
      </c>
      <c r="G1183" t="s">
        <v>29</v>
      </c>
      <c r="H1183" t="s">
        <v>67</v>
      </c>
      <c r="I1183">
        <v>14</v>
      </c>
      <c r="J1183" t="s">
        <v>2444</v>
      </c>
      <c r="K1183">
        <v>53</v>
      </c>
      <c r="L1183" t="s">
        <v>63</v>
      </c>
      <c r="M1183">
        <v>3</v>
      </c>
      <c r="N1183" t="s">
        <v>33</v>
      </c>
      <c r="O1183" t="s">
        <v>49</v>
      </c>
      <c r="P1183" t="s">
        <v>50</v>
      </c>
      <c r="Q1183" s="2">
        <v>16517.91</v>
      </c>
      <c r="R1183" s="2">
        <v>223.63</v>
      </c>
      <c r="S1183" t="s">
        <v>51</v>
      </c>
      <c r="T1183" t="s">
        <v>37</v>
      </c>
      <c r="U1183" t="s">
        <v>53</v>
      </c>
      <c r="V1183">
        <v>4.7</v>
      </c>
      <c r="W1183" t="s">
        <v>103</v>
      </c>
      <c r="X1183" t="s">
        <v>40</v>
      </c>
      <c r="Y1183" t="s">
        <v>72</v>
      </c>
    </row>
    <row r="1184" spans="1:25" x14ac:dyDescent="0.3">
      <c r="A1184" t="s">
        <v>2445</v>
      </c>
      <c r="B1184" s="1">
        <v>46108</v>
      </c>
      <c r="C1184" t="s">
        <v>26</v>
      </c>
      <c r="D1184" t="s">
        <v>26</v>
      </c>
      <c r="E1184" t="s">
        <v>4084</v>
      </c>
      <c r="F1184" t="s">
        <v>60</v>
      </c>
      <c r="G1184" t="s">
        <v>29</v>
      </c>
      <c r="H1184" t="s">
        <v>27</v>
      </c>
      <c r="I1184">
        <v>3</v>
      </c>
      <c r="J1184" t="s">
        <v>2446</v>
      </c>
      <c r="K1184">
        <v>18</v>
      </c>
      <c r="L1184" t="s">
        <v>63</v>
      </c>
      <c r="M1184">
        <v>1</v>
      </c>
      <c r="N1184" t="s">
        <v>91</v>
      </c>
      <c r="O1184" t="s">
        <v>69</v>
      </c>
      <c r="P1184" t="s">
        <v>50</v>
      </c>
      <c r="Q1184" s="2">
        <v>11764.02</v>
      </c>
      <c r="R1184" s="2">
        <v>2421.98</v>
      </c>
      <c r="S1184" t="s">
        <v>51</v>
      </c>
      <c r="T1184" t="s">
        <v>37</v>
      </c>
      <c r="U1184" t="s">
        <v>53</v>
      </c>
      <c r="V1184">
        <v>4.3</v>
      </c>
      <c r="W1184" t="s">
        <v>54</v>
      </c>
      <c r="X1184" t="s">
        <v>40</v>
      </c>
      <c r="Y1184" t="s">
        <v>41</v>
      </c>
    </row>
    <row r="1185" spans="1:25" x14ac:dyDescent="0.3">
      <c r="A1185" t="s">
        <v>2447</v>
      </c>
      <c r="B1185" s="1">
        <v>46109</v>
      </c>
      <c r="C1185" t="s">
        <v>43</v>
      </c>
      <c r="D1185" t="s">
        <v>58</v>
      </c>
      <c r="E1185" t="s">
        <v>4084</v>
      </c>
      <c r="F1185" t="s">
        <v>60</v>
      </c>
      <c r="G1185" t="s">
        <v>29</v>
      </c>
      <c r="H1185" t="s">
        <v>27</v>
      </c>
      <c r="I1185">
        <v>10</v>
      </c>
      <c r="J1185" t="s">
        <v>2448</v>
      </c>
      <c r="K1185">
        <v>21</v>
      </c>
      <c r="L1185" t="s">
        <v>63</v>
      </c>
      <c r="M1185">
        <v>4</v>
      </c>
      <c r="N1185" t="s">
        <v>48</v>
      </c>
      <c r="O1185" t="s">
        <v>69</v>
      </c>
      <c r="P1185" t="s">
        <v>50</v>
      </c>
      <c r="Q1185" s="2">
        <v>20741.39</v>
      </c>
      <c r="R1185" s="2">
        <v>2429.85</v>
      </c>
      <c r="S1185" t="s">
        <v>115</v>
      </c>
      <c r="T1185" t="s">
        <v>71</v>
      </c>
      <c r="U1185" t="s">
        <v>75</v>
      </c>
      <c r="V1185">
        <v>1.3</v>
      </c>
      <c r="W1185" t="s">
        <v>124</v>
      </c>
      <c r="X1185" t="s">
        <v>40</v>
      </c>
      <c r="Y1185" t="s">
        <v>41</v>
      </c>
    </row>
    <row r="1186" spans="1:25" x14ac:dyDescent="0.3">
      <c r="A1186" t="s">
        <v>2449</v>
      </c>
      <c r="B1186" s="1">
        <v>46110</v>
      </c>
      <c r="C1186" t="s">
        <v>78</v>
      </c>
      <c r="D1186" t="s">
        <v>58</v>
      </c>
      <c r="E1186" t="s">
        <v>45</v>
      </c>
      <c r="F1186" t="s">
        <v>28</v>
      </c>
      <c r="G1186" t="s">
        <v>29</v>
      </c>
      <c r="H1186" t="s">
        <v>67</v>
      </c>
      <c r="I1186">
        <v>9</v>
      </c>
      <c r="J1186" t="s">
        <v>2450</v>
      </c>
      <c r="K1186">
        <v>21</v>
      </c>
      <c r="L1186" t="s">
        <v>80</v>
      </c>
      <c r="M1186">
        <v>2</v>
      </c>
      <c r="N1186" t="s">
        <v>64</v>
      </c>
      <c r="O1186" t="s">
        <v>69</v>
      </c>
      <c r="P1186" t="s">
        <v>35</v>
      </c>
      <c r="Q1186" s="2">
        <v>31898.48</v>
      </c>
      <c r="R1186" s="2">
        <v>809.88</v>
      </c>
      <c r="S1186" t="s">
        <v>115</v>
      </c>
      <c r="T1186" t="s">
        <v>37</v>
      </c>
      <c r="U1186" t="s">
        <v>38</v>
      </c>
      <c r="V1186">
        <v>2.8</v>
      </c>
      <c r="W1186" t="s">
        <v>76</v>
      </c>
      <c r="X1186" t="s">
        <v>65</v>
      </c>
      <c r="Y1186" t="s">
        <v>41</v>
      </c>
    </row>
    <row r="1187" spans="1:25" x14ac:dyDescent="0.3">
      <c r="A1187" t="s">
        <v>2451</v>
      </c>
      <c r="B1187" s="1">
        <v>46111</v>
      </c>
      <c r="C1187" t="s">
        <v>43</v>
      </c>
      <c r="D1187" t="s">
        <v>58</v>
      </c>
      <c r="E1187" t="s">
        <v>89</v>
      </c>
      <c r="F1187" t="s">
        <v>28</v>
      </c>
      <c r="G1187" t="s">
        <v>29</v>
      </c>
      <c r="H1187" t="s">
        <v>61</v>
      </c>
      <c r="I1187">
        <v>3</v>
      </c>
      <c r="J1187" t="s">
        <v>2452</v>
      </c>
      <c r="K1187">
        <v>43</v>
      </c>
      <c r="L1187" t="s">
        <v>80</v>
      </c>
      <c r="M1187">
        <v>6</v>
      </c>
      <c r="N1187" t="s">
        <v>64</v>
      </c>
      <c r="O1187" t="s">
        <v>34</v>
      </c>
      <c r="P1187" t="s">
        <v>70</v>
      </c>
      <c r="Q1187" s="2">
        <v>11390.08</v>
      </c>
      <c r="R1187" s="2">
        <v>4186.9399999999996</v>
      </c>
      <c r="S1187" t="s">
        <v>115</v>
      </c>
      <c r="T1187" t="s">
        <v>37</v>
      </c>
      <c r="U1187" t="s">
        <v>83</v>
      </c>
      <c r="V1187">
        <v>2.4</v>
      </c>
      <c r="W1187" t="s">
        <v>76</v>
      </c>
      <c r="X1187" t="s">
        <v>84</v>
      </c>
      <c r="Y1187" t="s">
        <v>41</v>
      </c>
    </row>
    <row r="1188" spans="1:25" x14ac:dyDescent="0.3">
      <c r="A1188" t="s">
        <v>2453</v>
      </c>
      <c r="B1188" s="1">
        <v>46112</v>
      </c>
      <c r="C1188" t="s">
        <v>57</v>
      </c>
      <c r="D1188" t="s">
        <v>44</v>
      </c>
      <c r="E1188" t="s">
        <v>45</v>
      </c>
      <c r="F1188" t="s">
        <v>28</v>
      </c>
      <c r="G1188" t="s">
        <v>29</v>
      </c>
      <c r="H1188" t="s">
        <v>67</v>
      </c>
      <c r="I1188">
        <v>12</v>
      </c>
      <c r="J1188" t="s">
        <v>2454</v>
      </c>
      <c r="K1188">
        <v>21</v>
      </c>
      <c r="L1188" t="s">
        <v>63</v>
      </c>
      <c r="M1188">
        <v>1</v>
      </c>
      <c r="N1188" t="s">
        <v>48</v>
      </c>
      <c r="O1188" t="s">
        <v>81</v>
      </c>
      <c r="P1188" t="s">
        <v>50</v>
      </c>
      <c r="Q1188" s="2">
        <v>34163.919999999998</v>
      </c>
      <c r="R1188" s="2">
        <v>3984.06</v>
      </c>
      <c r="S1188" t="s">
        <v>94</v>
      </c>
      <c r="T1188" t="s">
        <v>37</v>
      </c>
      <c r="U1188" t="s">
        <v>83</v>
      </c>
      <c r="V1188">
        <v>1.9</v>
      </c>
      <c r="W1188" t="s">
        <v>124</v>
      </c>
      <c r="X1188" t="s">
        <v>55</v>
      </c>
      <c r="Y1188" t="s">
        <v>72</v>
      </c>
    </row>
    <row r="1189" spans="1:25" x14ac:dyDescent="0.3">
      <c r="A1189" t="s">
        <v>2455</v>
      </c>
      <c r="B1189" s="1">
        <v>46113</v>
      </c>
      <c r="C1189" t="s">
        <v>117</v>
      </c>
      <c r="D1189" t="s">
        <v>4083</v>
      </c>
      <c r="E1189" t="s">
        <v>4084</v>
      </c>
      <c r="F1189" t="s">
        <v>60</v>
      </c>
      <c r="G1189" t="s">
        <v>29</v>
      </c>
      <c r="H1189" t="s">
        <v>30</v>
      </c>
      <c r="I1189">
        <v>14</v>
      </c>
      <c r="J1189" t="s">
        <v>2456</v>
      </c>
      <c r="K1189">
        <v>66</v>
      </c>
      <c r="L1189" t="s">
        <v>63</v>
      </c>
      <c r="M1189">
        <v>5</v>
      </c>
      <c r="N1189" t="s">
        <v>48</v>
      </c>
      <c r="O1189" t="s">
        <v>34</v>
      </c>
      <c r="P1189" t="s">
        <v>82</v>
      </c>
      <c r="Q1189" s="2">
        <v>43838.06</v>
      </c>
      <c r="R1189" s="2">
        <v>763.66</v>
      </c>
      <c r="S1189" t="s">
        <v>115</v>
      </c>
      <c r="T1189" t="s">
        <v>52</v>
      </c>
      <c r="U1189" t="s">
        <v>83</v>
      </c>
      <c r="V1189">
        <v>4.5999999999999996</v>
      </c>
      <c r="W1189" t="s">
        <v>103</v>
      </c>
      <c r="X1189" t="s">
        <v>55</v>
      </c>
      <c r="Y1189" t="s">
        <v>72</v>
      </c>
    </row>
    <row r="1190" spans="1:25" x14ac:dyDescent="0.3">
      <c r="A1190" t="s">
        <v>2457</v>
      </c>
      <c r="B1190" s="1">
        <v>46114</v>
      </c>
      <c r="C1190" t="s">
        <v>57</v>
      </c>
      <c r="D1190" t="s">
        <v>44</v>
      </c>
      <c r="E1190" t="s">
        <v>89</v>
      </c>
      <c r="F1190" t="s">
        <v>28</v>
      </c>
      <c r="G1190" t="s">
        <v>29</v>
      </c>
      <c r="H1190" t="s">
        <v>61</v>
      </c>
      <c r="I1190">
        <v>12</v>
      </c>
      <c r="J1190" t="s">
        <v>2458</v>
      </c>
      <c r="K1190">
        <v>26</v>
      </c>
      <c r="L1190" t="s">
        <v>63</v>
      </c>
      <c r="M1190">
        <v>4</v>
      </c>
      <c r="N1190" t="s">
        <v>64</v>
      </c>
      <c r="O1190" t="s">
        <v>69</v>
      </c>
      <c r="P1190" t="s">
        <v>50</v>
      </c>
      <c r="Q1190" s="2">
        <v>18191.32</v>
      </c>
      <c r="R1190" s="2">
        <v>1819.14</v>
      </c>
      <c r="S1190" t="s">
        <v>51</v>
      </c>
      <c r="T1190" t="s">
        <v>71</v>
      </c>
      <c r="U1190" t="s">
        <v>53</v>
      </c>
      <c r="V1190">
        <v>4.5999999999999996</v>
      </c>
      <c r="W1190" t="s">
        <v>103</v>
      </c>
      <c r="X1190" t="s">
        <v>106</v>
      </c>
      <c r="Y1190" t="s">
        <v>41</v>
      </c>
    </row>
    <row r="1191" spans="1:25" x14ac:dyDescent="0.3">
      <c r="A1191" t="s">
        <v>2459</v>
      </c>
      <c r="B1191" s="1">
        <v>46115</v>
      </c>
      <c r="C1191" t="s">
        <v>78</v>
      </c>
      <c r="D1191" t="s">
        <v>58</v>
      </c>
      <c r="E1191" t="s">
        <v>120</v>
      </c>
      <c r="F1191" t="s">
        <v>28</v>
      </c>
      <c r="G1191" t="s">
        <v>29</v>
      </c>
      <c r="H1191" t="s">
        <v>86</v>
      </c>
      <c r="I1191">
        <v>14</v>
      </c>
      <c r="J1191" t="s">
        <v>2460</v>
      </c>
      <c r="K1191">
        <v>47</v>
      </c>
      <c r="L1191" t="s">
        <v>63</v>
      </c>
      <c r="M1191">
        <v>5</v>
      </c>
      <c r="N1191" t="s">
        <v>48</v>
      </c>
      <c r="O1191" t="s">
        <v>34</v>
      </c>
      <c r="P1191" t="s">
        <v>70</v>
      </c>
      <c r="Q1191" s="2">
        <v>25259.3</v>
      </c>
      <c r="R1191" s="2">
        <v>502.15</v>
      </c>
      <c r="S1191" t="s">
        <v>36</v>
      </c>
      <c r="T1191" t="s">
        <v>71</v>
      </c>
      <c r="U1191" t="s">
        <v>75</v>
      </c>
      <c r="V1191">
        <v>2.9</v>
      </c>
      <c r="W1191" t="s">
        <v>76</v>
      </c>
      <c r="X1191" t="s">
        <v>65</v>
      </c>
      <c r="Y1191" t="s">
        <v>41</v>
      </c>
    </row>
    <row r="1192" spans="1:25" x14ac:dyDescent="0.3">
      <c r="A1192" t="s">
        <v>2461</v>
      </c>
      <c r="B1192" s="1">
        <v>46116</v>
      </c>
      <c r="C1192" t="s">
        <v>26</v>
      </c>
      <c r="D1192" t="s">
        <v>26</v>
      </c>
      <c r="E1192" t="s">
        <v>45</v>
      </c>
      <c r="F1192" t="s">
        <v>28</v>
      </c>
      <c r="G1192" t="s">
        <v>29</v>
      </c>
      <c r="H1192" t="s">
        <v>67</v>
      </c>
      <c r="I1192">
        <v>8</v>
      </c>
      <c r="J1192" t="s">
        <v>2462</v>
      </c>
      <c r="K1192">
        <v>68</v>
      </c>
      <c r="L1192" t="s">
        <v>32</v>
      </c>
      <c r="M1192">
        <v>5</v>
      </c>
      <c r="N1192" t="s">
        <v>33</v>
      </c>
      <c r="O1192" t="s">
        <v>81</v>
      </c>
      <c r="P1192" t="s">
        <v>35</v>
      </c>
      <c r="Q1192" s="2">
        <v>15273.97</v>
      </c>
      <c r="R1192" s="2">
        <v>4243.04</v>
      </c>
      <c r="S1192" t="s">
        <v>36</v>
      </c>
      <c r="T1192" t="s">
        <v>71</v>
      </c>
      <c r="U1192" t="s">
        <v>53</v>
      </c>
      <c r="V1192">
        <v>1.5</v>
      </c>
      <c r="W1192" t="s">
        <v>124</v>
      </c>
      <c r="X1192" t="s">
        <v>65</v>
      </c>
      <c r="Y1192" t="s">
        <v>41</v>
      </c>
    </row>
    <row r="1193" spans="1:25" x14ac:dyDescent="0.3">
      <c r="A1193" t="s">
        <v>2463</v>
      </c>
      <c r="B1193" s="1">
        <v>46117</v>
      </c>
      <c r="C1193" t="s">
        <v>43</v>
      </c>
      <c r="D1193" t="s">
        <v>58</v>
      </c>
      <c r="E1193" t="s">
        <v>45</v>
      </c>
      <c r="F1193" t="s">
        <v>28</v>
      </c>
      <c r="G1193" t="s">
        <v>29</v>
      </c>
      <c r="H1193" t="s">
        <v>67</v>
      </c>
      <c r="I1193">
        <v>3</v>
      </c>
      <c r="J1193" t="s">
        <v>2464</v>
      </c>
      <c r="K1193">
        <v>62</v>
      </c>
      <c r="L1193" t="s">
        <v>32</v>
      </c>
      <c r="M1193">
        <v>1</v>
      </c>
      <c r="N1193" t="s">
        <v>64</v>
      </c>
      <c r="O1193" t="s">
        <v>34</v>
      </c>
      <c r="P1193" t="s">
        <v>82</v>
      </c>
      <c r="Q1193" s="2">
        <v>21256.78</v>
      </c>
      <c r="R1193" s="2">
        <v>1616.6</v>
      </c>
      <c r="S1193" t="s">
        <v>51</v>
      </c>
      <c r="T1193" t="s">
        <v>37</v>
      </c>
      <c r="U1193" t="s">
        <v>38</v>
      </c>
      <c r="V1193">
        <v>1.1000000000000001</v>
      </c>
      <c r="W1193" t="s">
        <v>124</v>
      </c>
      <c r="X1193" t="s">
        <v>65</v>
      </c>
      <c r="Y1193" t="s">
        <v>41</v>
      </c>
    </row>
    <row r="1194" spans="1:25" x14ac:dyDescent="0.3">
      <c r="A1194" t="s">
        <v>2465</v>
      </c>
      <c r="B1194" s="1">
        <v>46118</v>
      </c>
      <c r="C1194" t="s">
        <v>117</v>
      </c>
      <c r="D1194" t="s">
        <v>4083</v>
      </c>
      <c r="E1194" t="s">
        <v>89</v>
      </c>
      <c r="F1194" t="s">
        <v>28</v>
      </c>
      <c r="G1194" t="s">
        <v>29</v>
      </c>
      <c r="H1194" t="s">
        <v>61</v>
      </c>
      <c r="I1194">
        <v>4</v>
      </c>
      <c r="J1194" t="s">
        <v>2466</v>
      </c>
      <c r="K1194">
        <v>21</v>
      </c>
      <c r="L1194" t="s">
        <v>32</v>
      </c>
      <c r="M1194">
        <v>4</v>
      </c>
      <c r="N1194" t="s">
        <v>33</v>
      </c>
      <c r="O1194" t="s">
        <v>49</v>
      </c>
      <c r="P1194" t="s">
        <v>35</v>
      </c>
      <c r="Q1194" s="2">
        <v>5988.68</v>
      </c>
      <c r="R1194" s="2">
        <v>2196.58</v>
      </c>
      <c r="S1194" t="s">
        <v>94</v>
      </c>
      <c r="T1194" t="s">
        <v>52</v>
      </c>
      <c r="U1194" t="s">
        <v>75</v>
      </c>
      <c r="V1194">
        <v>2.8</v>
      </c>
      <c r="W1194" t="s">
        <v>76</v>
      </c>
      <c r="X1194" t="s">
        <v>40</v>
      </c>
      <c r="Y1194" t="s">
        <v>72</v>
      </c>
    </row>
    <row r="1195" spans="1:25" x14ac:dyDescent="0.3">
      <c r="A1195" t="s">
        <v>2467</v>
      </c>
      <c r="B1195" s="1">
        <v>46119</v>
      </c>
      <c r="C1195" t="s">
        <v>43</v>
      </c>
      <c r="D1195" t="s">
        <v>58</v>
      </c>
      <c r="E1195" t="s">
        <v>120</v>
      </c>
      <c r="F1195" t="s">
        <v>28</v>
      </c>
      <c r="G1195" t="s">
        <v>29</v>
      </c>
      <c r="H1195" t="s">
        <v>86</v>
      </c>
      <c r="I1195">
        <v>7</v>
      </c>
      <c r="J1195" t="s">
        <v>2468</v>
      </c>
      <c r="K1195">
        <v>22</v>
      </c>
      <c r="L1195" t="s">
        <v>80</v>
      </c>
      <c r="M1195">
        <v>5</v>
      </c>
      <c r="N1195" t="s">
        <v>91</v>
      </c>
      <c r="O1195" t="s">
        <v>69</v>
      </c>
      <c r="P1195" t="s">
        <v>50</v>
      </c>
      <c r="Q1195" s="2">
        <v>47919.62</v>
      </c>
      <c r="R1195" s="2">
        <v>1619.36</v>
      </c>
      <c r="S1195" t="s">
        <v>36</v>
      </c>
      <c r="T1195" t="s">
        <v>71</v>
      </c>
      <c r="U1195" t="s">
        <v>83</v>
      </c>
      <c r="V1195">
        <v>1.2</v>
      </c>
      <c r="W1195" t="s">
        <v>124</v>
      </c>
      <c r="X1195" t="s">
        <v>65</v>
      </c>
      <c r="Y1195" t="s">
        <v>72</v>
      </c>
    </row>
    <row r="1196" spans="1:25" x14ac:dyDescent="0.3">
      <c r="A1196" t="s">
        <v>2469</v>
      </c>
      <c r="B1196" s="1">
        <v>46120</v>
      </c>
      <c r="C1196" t="s">
        <v>78</v>
      </c>
      <c r="D1196" t="s">
        <v>58</v>
      </c>
      <c r="E1196" t="s">
        <v>120</v>
      </c>
      <c r="F1196" t="s">
        <v>28</v>
      </c>
      <c r="G1196" t="s">
        <v>29</v>
      </c>
      <c r="H1196" t="s">
        <v>86</v>
      </c>
      <c r="I1196">
        <v>4</v>
      </c>
      <c r="J1196" t="s">
        <v>2470</v>
      </c>
      <c r="K1196">
        <v>62</v>
      </c>
      <c r="L1196" t="s">
        <v>63</v>
      </c>
      <c r="M1196">
        <v>7</v>
      </c>
      <c r="N1196" t="s">
        <v>33</v>
      </c>
      <c r="O1196" t="s">
        <v>69</v>
      </c>
      <c r="P1196" t="s">
        <v>82</v>
      </c>
      <c r="Q1196" s="2">
        <v>23715.06</v>
      </c>
      <c r="R1196" s="2">
        <v>1550.13</v>
      </c>
      <c r="S1196" t="s">
        <v>51</v>
      </c>
      <c r="T1196" t="s">
        <v>52</v>
      </c>
      <c r="U1196" t="s">
        <v>53</v>
      </c>
      <c r="V1196">
        <v>3.4</v>
      </c>
      <c r="W1196" t="s">
        <v>76</v>
      </c>
      <c r="X1196" t="s">
        <v>55</v>
      </c>
      <c r="Y1196" t="s">
        <v>72</v>
      </c>
    </row>
    <row r="1197" spans="1:25" x14ac:dyDescent="0.3">
      <c r="A1197" t="s">
        <v>2471</v>
      </c>
      <c r="B1197" s="1">
        <v>46121</v>
      </c>
      <c r="C1197" t="s">
        <v>43</v>
      </c>
      <c r="D1197" t="s">
        <v>58</v>
      </c>
      <c r="E1197" t="s">
        <v>89</v>
      </c>
      <c r="F1197" t="s">
        <v>28</v>
      </c>
      <c r="G1197" t="s">
        <v>29</v>
      </c>
      <c r="H1197" t="s">
        <v>61</v>
      </c>
      <c r="I1197">
        <v>12</v>
      </c>
      <c r="J1197" t="s">
        <v>2472</v>
      </c>
      <c r="K1197">
        <v>40</v>
      </c>
      <c r="L1197" t="s">
        <v>32</v>
      </c>
      <c r="M1197">
        <v>7</v>
      </c>
      <c r="N1197" t="s">
        <v>48</v>
      </c>
      <c r="O1197" t="s">
        <v>69</v>
      </c>
      <c r="P1197" t="s">
        <v>82</v>
      </c>
      <c r="Q1197" s="2">
        <v>40499.15</v>
      </c>
      <c r="R1197" s="2">
        <v>3736.51</v>
      </c>
      <c r="S1197" t="s">
        <v>51</v>
      </c>
      <c r="T1197" t="s">
        <v>71</v>
      </c>
      <c r="U1197" t="s">
        <v>75</v>
      </c>
      <c r="V1197">
        <v>3.4</v>
      </c>
      <c r="W1197" t="s">
        <v>76</v>
      </c>
      <c r="X1197" t="s">
        <v>65</v>
      </c>
      <c r="Y1197" t="s">
        <v>72</v>
      </c>
    </row>
    <row r="1198" spans="1:25" x14ac:dyDescent="0.3">
      <c r="A1198" t="s">
        <v>2473</v>
      </c>
      <c r="B1198" s="1">
        <v>46122</v>
      </c>
      <c r="C1198" t="s">
        <v>117</v>
      </c>
      <c r="D1198" t="s">
        <v>4083</v>
      </c>
      <c r="E1198" t="s">
        <v>4085</v>
      </c>
      <c r="F1198" t="s">
        <v>60</v>
      </c>
      <c r="G1198" t="s">
        <v>29</v>
      </c>
      <c r="H1198" t="s">
        <v>46</v>
      </c>
      <c r="I1198">
        <v>3</v>
      </c>
      <c r="J1198" t="s">
        <v>2474</v>
      </c>
      <c r="K1198">
        <v>33</v>
      </c>
      <c r="L1198" t="s">
        <v>63</v>
      </c>
      <c r="M1198">
        <v>4</v>
      </c>
      <c r="N1198" t="s">
        <v>64</v>
      </c>
      <c r="O1198" t="s">
        <v>34</v>
      </c>
      <c r="P1198" t="s">
        <v>50</v>
      </c>
      <c r="Q1198" s="2">
        <v>11418.95</v>
      </c>
      <c r="R1198" s="2">
        <v>3737.83</v>
      </c>
      <c r="S1198" t="s">
        <v>51</v>
      </c>
      <c r="T1198" t="s">
        <v>37</v>
      </c>
      <c r="U1198" t="s">
        <v>53</v>
      </c>
      <c r="V1198">
        <v>4.5999999999999996</v>
      </c>
      <c r="W1198" t="s">
        <v>103</v>
      </c>
      <c r="X1198" t="s">
        <v>40</v>
      </c>
      <c r="Y1198" t="s">
        <v>72</v>
      </c>
    </row>
    <row r="1199" spans="1:25" x14ac:dyDescent="0.3">
      <c r="A1199" t="s">
        <v>2475</v>
      </c>
      <c r="B1199" s="1">
        <v>46123</v>
      </c>
      <c r="C1199" t="s">
        <v>78</v>
      </c>
      <c r="D1199" t="s">
        <v>58</v>
      </c>
      <c r="E1199" t="s">
        <v>45</v>
      </c>
      <c r="F1199" t="s">
        <v>28</v>
      </c>
      <c r="G1199" t="s">
        <v>29</v>
      </c>
      <c r="H1199" t="s">
        <v>67</v>
      </c>
      <c r="I1199">
        <v>8</v>
      </c>
      <c r="J1199" t="s">
        <v>2476</v>
      </c>
      <c r="K1199">
        <v>39</v>
      </c>
      <c r="L1199" t="s">
        <v>63</v>
      </c>
      <c r="M1199">
        <v>3</v>
      </c>
      <c r="N1199" t="s">
        <v>33</v>
      </c>
      <c r="O1199" t="s">
        <v>34</v>
      </c>
      <c r="P1199" t="s">
        <v>50</v>
      </c>
      <c r="Q1199" s="2">
        <v>41555.980000000003</v>
      </c>
      <c r="R1199" s="2">
        <v>2588.94</v>
      </c>
      <c r="S1199" t="s">
        <v>36</v>
      </c>
      <c r="T1199" t="s">
        <v>71</v>
      </c>
      <c r="U1199" t="s">
        <v>75</v>
      </c>
      <c r="V1199">
        <v>1.8</v>
      </c>
      <c r="W1199" t="s">
        <v>124</v>
      </c>
      <c r="X1199" t="s">
        <v>84</v>
      </c>
      <c r="Y1199" t="s">
        <v>41</v>
      </c>
    </row>
    <row r="1200" spans="1:25" x14ac:dyDescent="0.3">
      <c r="A1200" t="s">
        <v>2477</v>
      </c>
      <c r="B1200" s="1">
        <v>46124</v>
      </c>
      <c r="C1200" t="s">
        <v>43</v>
      </c>
      <c r="D1200" t="s">
        <v>58</v>
      </c>
      <c r="E1200" t="s">
        <v>45</v>
      </c>
      <c r="F1200" t="s">
        <v>28</v>
      </c>
      <c r="G1200" t="s">
        <v>29</v>
      </c>
      <c r="H1200" t="s">
        <v>67</v>
      </c>
      <c r="I1200">
        <v>10</v>
      </c>
      <c r="J1200" t="s">
        <v>2478</v>
      </c>
      <c r="K1200">
        <v>54</v>
      </c>
      <c r="L1200" t="s">
        <v>80</v>
      </c>
      <c r="M1200">
        <v>6</v>
      </c>
      <c r="N1200" t="s">
        <v>48</v>
      </c>
      <c r="O1200" t="s">
        <v>34</v>
      </c>
      <c r="P1200" t="s">
        <v>70</v>
      </c>
      <c r="Q1200" s="2">
        <v>43706.63</v>
      </c>
      <c r="R1200" s="2">
        <v>3288.08</v>
      </c>
      <c r="S1200" t="s">
        <v>36</v>
      </c>
      <c r="T1200" t="s">
        <v>71</v>
      </c>
      <c r="U1200" t="s">
        <v>83</v>
      </c>
      <c r="V1200">
        <v>2.5</v>
      </c>
      <c r="W1200" t="s">
        <v>76</v>
      </c>
      <c r="X1200" t="s">
        <v>65</v>
      </c>
      <c r="Y1200" t="s">
        <v>41</v>
      </c>
    </row>
    <row r="1201" spans="1:25" x14ac:dyDescent="0.3">
      <c r="A1201" t="s">
        <v>2479</v>
      </c>
      <c r="B1201" s="1">
        <v>46125</v>
      </c>
      <c r="C1201" t="s">
        <v>26</v>
      </c>
      <c r="D1201" t="s">
        <v>26</v>
      </c>
      <c r="E1201" t="s">
        <v>4084</v>
      </c>
      <c r="F1201" t="s">
        <v>60</v>
      </c>
      <c r="G1201" t="s">
        <v>29</v>
      </c>
      <c r="H1201" t="s">
        <v>30</v>
      </c>
      <c r="I1201">
        <v>10</v>
      </c>
      <c r="J1201" t="s">
        <v>2480</v>
      </c>
      <c r="K1201">
        <v>25</v>
      </c>
      <c r="L1201" t="s">
        <v>80</v>
      </c>
      <c r="M1201">
        <v>5</v>
      </c>
      <c r="N1201" t="s">
        <v>48</v>
      </c>
      <c r="O1201" t="s">
        <v>69</v>
      </c>
      <c r="P1201" t="s">
        <v>50</v>
      </c>
      <c r="Q1201" s="2">
        <v>37196.47</v>
      </c>
      <c r="R1201" s="2">
        <v>2558.3200000000002</v>
      </c>
      <c r="S1201" t="s">
        <v>115</v>
      </c>
      <c r="T1201" t="s">
        <v>37</v>
      </c>
      <c r="U1201" t="s">
        <v>38</v>
      </c>
      <c r="V1201">
        <v>4.4000000000000004</v>
      </c>
      <c r="W1201" t="s">
        <v>54</v>
      </c>
      <c r="X1201" t="s">
        <v>84</v>
      </c>
      <c r="Y1201" t="s">
        <v>72</v>
      </c>
    </row>
    <row r="1202" spans="1:25" x14ac:dyDescent="0.3">
      <c r="A1202" t="s">
        <v>2481</v>
      </c>
      <c r="B1202" s="1">
        <v>46126</v>
      </c>
      <c r="C1202" t="s">
        <v>78</v>
      </c>
      <c r="D1202" t="s">
        <v>58</v>
      </c>
      <c r="E1202" t="s">
        <v>89</v>
      </c>
      <c r="F1202" t="s">
        <v>28</v>
      </c>
      <c r="G1202" t="s">
        <v>29</v>
      </c>
      <c r="H1202" t="s">
        <v>61</v>
      </c>
      <c r="I1202">
        <v>10</v>
      </c>
      <c r="J1202" t="s">
        <v>2482</v>
      </c>
      <c r="K1202">
        <v>65</v>
      </c>
      <c r="L1202" t="s">
        <v>32</v>
      </c>
      <c r="M1202">
        <v>5</v>
      </c>
      <c r="N1202" t="s">
        <v>33</v>
      </c>
      <c r="O1202" t="s">
        <v>34</v>
      </c>
      <c r="P1202" t="s">
        <v>50</v>
      </c>
      <c r="Q1202" s="2">
        <v>45644.37</v>
      </c>
      <c r="R1202" s="2">
        <v>142.94999999999999</v>
      </c>
      <c r="S1202" t="s">
        <v>115</v>
      </c>
      <c r="T1202" t="s">
        <v>37</v>
      </c>
      <c r="U1202" t="s">
        <v>38</v>
      </c>
      <c r="V1202">
        <v>2.9</v>
      </c>
      <c r="W1202" t="s">
        <v>76</v>
      </c>
      <c r="X1202" t="s">
        <v>106</v>
      </c>
      <c r="Y1202" t="s">
        <v>72</v>
      </c>
    </row>
    <row r="1203" spans="1:25" x14ac:dyDescent="0.3">
      <c r="A1203" t="s">
        <v>2483</v>
      </c>
      <c r="B1203" s="1">
        <v>46127</v>
      </c>
      <c r="C1203" t="s">
        <v>78</v>
      </c>
      <c r="D1203" t="s">
        <v>58</v>
      </c>
      <c r="E1203" t="s">
        <v>4084</v>
      </c>
      <c r="F1203" t="s">
        <v>60</v>
      </c>
      <c r="G1203" t="s">
        <v>29</v>
      </c>
      <c r="H1203" t="s">
        <v>27</v>
      </c>
      <c r="I1203">
        <v>13</v>
      </c>
      <c r="J1203" t="s">
        <v>2484</v>
      </c>
      <c r="K1203">
        <v>50</v>
      </c>
      <c r="L1203" t="s">
        <v>32</v>
      </c>
      <c r="M1203">
        <v>4</v>
      </c>
      <c r="N1203" t="s">
        <v>64</v>
      </c>
      <c r="O1203" t="s">
        <v>69</v>
      </c>
      <c r="P1203" t="s">
        <v>50</v>
      </c>
      <c r="Q1203" s="2">
        <v>12523.87</v>
      </c>
      <c r="R1203" s="2">
        <v>330.03</v>
      </c>
      <c r="S1203" t="s">
        <v>51</v>
      </c>
      <c r="T1203" t="s">
        <v>71</v>
      </c>
      <c r="U1203" t="s">
        <v>53</v>
      </c>
      <c r="V1203">
        <v>1.2</v>
      </c>
      <c r="W1203" t="s">
        <v>124</v>
      </c>
      <c r="X1203" t="s">
        <v>40</v>
      </c>
      <c r="Y1203" t="s">
        <v>41</v>
      </c>
    </row>
    <row r="1204" spans="1:25" x14ac:dyDescent="0.3">
      <c r="A1204" t="s">
        <v>2485</v>
      </c>
      <c r="B1204" s="1">
        <v>46128</v>
      </c>
      <c r="C1204" t="s">
        <v>26</v>
      </c>
      <c r="D1204" t="s">
        <v>26</v>
      </c>
      <c r="E1204" t="s">
        <v>4084</v>
      </c>
      <c r="F1204" t="s">
        <v>60</v>
      </c>
      <c r="G1204" t="s">
        <v>29</v>
      </c>
      <c r="H1204" t="s">
        <v>27</v>
      </c>
      <c r="I1204">
        <v>8</v>
      </c>
      <c r="J1204" t="s">
        <v>2486</v>
      </c>
      <c r="K1204">
        <v>55</v>
      </c>
      <c r="L1204" t="s">
        <v>80</v>
      </c>
      <c r="M1204">
        <v>7</v>
      </c>
      <c r="N1204" t="s">
        <v>33</v>
      </c>
      <c r="O1204" t="s">
        <v>34</v>
      </c>
      <c r="P1204" t="s">
        <v>82</v>
      </c>
      <c r="Q1204" s="2">
        <v>26441.68</v>
      </c>
      <c r="R1204" s="2">
        <v>1918.7</v>
      </c>
      <c r="S1204" t="s">
        <v>51</v>
      </c>
      <c r="T1204" t="s">
        <v>52</v>
      </c>
      <c r="U1204" t="s">
        <v>83</v>
      </c>
      <c r="V1204">
        <v>1.4</v>
      </c>
      <c r="W1204" t="s">
        <v>124</v>
      </c>
      <c r="X1204" t="s">
        <v>65</v>
      </c>
      <c r="Y1204" t="s">
        <v>72</v>
      </c>
    </row>
    <row r="1205" spans="1:25" x14ac:dyDescent="0.3">
      <c r="A1205" t="s">
        <v>2487</v>
      </c>
      <c r="B1205" s="1">
        <v>46129</v>
      </c>
      <c r="C1205" t="s">
        <v>57</v>
      </c>
      <c r="D1205" t="s">
        <v>44</v>
      </c>
      <c r="E1205" t="s">
        <v>120</v>
      </c>
      <c r="F1205" t="s">
        <v>28</v>
      </c>
      <c r="G1205" t="s">
        <v>29</v>
      </c>
      <c r="H1205" t="s">
        <v>86</v>
      </c>
      <c r="I1205">
        <v>13</v>
      </c>
      <c r="J1205" t="s">
        <v>2488</v>
      </c>
      <c r="K1205">
        <v>60</v>
      </c>
      <c r="L1205" t="s">
        <v>80</v>
      </c>
      <c r="M1205">
        <v>6</v>
      </c>
      <c r="N1205" t="s">
        <v>91</v>
      </c>
      <c r="O1205" t="s">
        <v>69</v>
      </c>
      <c r="P1205" t="s">
        <v>70</v>
      </c>
      <c r="Q1205" s="2">
        <v>32904.93</v>
      </c>
      <c r="R1205" s="2">
        <v>3748.73</v>
      </c>
      <c r="S1205" t="s">
        <v>51</v>
      </c>
      <c r="T1205" t="s">
        <v>37</v>
      </c>
      <c r="U1205" t="s">
        <v>53</v>
      </c>
      <c r="V1205">
        <v>4.3</v>
      </c>
      <c r="W1205" t="s">
        <v>39</v>
      </c>
      <c r="X1205" t="s">
        <v>106</v>
      </c>
      <c r="Y1205" t="s">
        <v>72</v>
      </c>
    </row>
    <row r="1206" spans="1:25" x14ac:dyDescent="0.3">
      <c r="A1206" t="s">
        <v>2489</v>
      </c>
      <c r="B1206" s="1">
        <v>46130</v>
      </c>
      <c r="C1206" t="s">
        <v>117</v>
      </c>
      <c r="D1206" t="s">
        <v>4083</v>
      </c>
      <c r="E1206" t="s">
        <v>45</v>
      </c>
      <c r="F1206" t="s">
        <v>28</v>
      </c>
      <c r="G1206" t="s">
        <v>29</v>
      </c>
      <c r="H1206" t="s">
        <v>67</v>
      </c>
      <c r="I1206">
        <v>5</v>
      </c>
      <c r="J1206" t="s">
        <v>2490</v>
      </c>
      <c r="K1206">
        <v>33</v>
      </c>
      <c r="L1206" t="s">
        <v>63</v>
      </c>
      <c r="M1206">
        <v>3</v>
      </c>
      <c r="N1206" t="s">
        <v>33</v>
      </c>
      <c r="O1206" t="s">
        <v>49</v>
      </c>
      <c r="P1206" t="s">
        <v>82</v>
      </c>
      <c r="Q1206" s="2">
        <v>31828.68</v>
      </c>
      <c r="R1206" s="2">
        <v>4566.13</v>
      </c>
      <c r="S1206" t="s">
        <v>51</v>
      </c>
      <c r="T1206" t="s">
        <v>71</v>
      </c>
      <c r="U1206" t="s">
        <v>53</v>
      </c>
      <c r="V1206">
        <v>4</v>
      </c>
      <c r="W1206" t="s">
        <v>54</v>
      </c>
      <c r="X1206" t="s">
        <v>106</v>
      </c>
      <c r="Y1206" t="s">
        <v>72</v>
      </c>
    </row>
    <row r="1207" spans="1:25" x14ac:dyDescent="0.3">
      <c r="A1207" t="s">
        <v>2491</v>
      </c>
      <c r="B1207" s="1">
        <v>46131</v>
      </c>
      <c r="C1207" t="s">
        <v>57</v>
      </c>
      <c r="D1207" t="s">
        <v>44</v>
      </c>
      <c r="E1207" t="s">
        <v>4084</v>
      </c>
      <c r="F1207" t="s">
        <v>60</v>
      </c>
      <c r="G1207" t="s">
        <v>29</v>
      </c>
      <c r="H1207" t="s">
        <v>27</v>
      </c>
      <c r="I1207">
        <v>3</v>
      </c>
      <c r="J1207" t="s">
        <v>2492</v>
      </c>
      <c r="K1207">
        <v>22</v>
      </c>
      <c r="L1207" t="s">
        <v>63</v>
      </c>
      <c r="M1207">
        <v>5</v>
      </c>
      <c r="N1207" t="s">
        <v>33</v>
      </c>
      <c r="O1207" t="s">
        <v>34</v>
      </c>
      <c r="P1207" t="s">
        <v>50</v>
      </c>
      <c r="Q1207" s="2">
        <v>43746.84</v>
      </c>
      <c r="R1207" s="2">
        <v>148.54</v>
      </c>
      <c r="S1207" t="s">
        <v>36</v>
      </c>
      <c r="T1207" t="s">
        <v>37</v>
      </c>
      <c r="U1207" t="s">
        <v>75</v>
      </c>
      <c r="V1207">
        <v>4.5</v>
      </c>
      <c r="W1207" t="s">
        <v>103</v>
      </c>
      <c r="X1207" t="s">
        <v>84</v>
      </c>
      <c r="Y1207" t="s">
        <v>72</v>
      </c>
    </row>
    <row r="1208" spans="1:25" x14ac:dyDescent="0.3">
      <c r="A1208" t="s">
        <v>2493</v>
      </c>
      <c r="B1208" s="1">
        <v>46132</v>
      </c>
      <c r="C1208" t="s">
        <v>43</v>
      </c>
      <c r="D1208" t="s">
        <v>58</v>
      </c>
      <c r="E1208" t="s">
        <v>120</v>
      </c>
      <c r="F1208" t="s">
        <v>28</v>
      </c>
      <c r="G1208" t="s">
        <v>29</v>
      </c>
      <c r="H1208" t="s">
        <v>86</v>
      </c>
      <c r="I1208">
        <v>4</v>
      </c>
      <c r="J1208" t="s">
        <v>2494</v>
      </c>
      <c r="K1208">
        <v>33</v>
      </c>
      <c r="L1208" t="s">
        <v>32</v>
      </c>
      <c r="M1208">
        <v>1</v>
      </c>
      <c r="N1208" t="s">
        <v>64</v>
      </c>
      <c r="O1208" t="s">
        <v>69</v>
      </c>
      <c r="P1208" t="s">
        <v>70</v>
      </c>
      <c r="Q1208" s="2">
        <v>14706.11</v>
      </c>
      <c r="R1208" s="2">
        <v>1840.15</v>
      </c>
      <c r="S1208" t="s">
        <v>115</v>
      </c>
      <c r="T1208" t="s">
        <v>52</v>
      </c>
      <c r="U1208" t="s">
        <v>75</v>
      </c>
      <c r="V1208">
        <v>1.5</v>
      </c>
      <c r="W1208" t="s">
        <v>124</v>
      </c>
      <c r="X1208" t="s">
        <v>55</v>
      </c>
      <c r="Y1208" t="s">
        <v>41</v>
      </c>
    </row>
    <row r="1209" spans="1:25" x14ac:dyDescent="0.3">
      <c r="A1209" t="s">
        <v>2495</v>
      </c>
      <c r="B1209" s="1">
        <v>46133</v>
      </c>
      <c r="C1209" t="s">
        <v>26</v>
      </c>
      <c r="D1209" t="s">
        <v>26</v>
      </c>
      <c r="E1209" t="s">
        <v>89</v>
      </c>
      <c r="F1209" t="s">
        <v>28</v>
      </c>
      <c r="G1209" t="s">
        <v>29</v>
      </c>
      <c r="H1209" t="s">
        <v>61</v>
      </c>
      <c r="I1209">
        <v>7</v>
      </c>
      <c r="J1209" t="s">
        <v>2496</v>
      </c>
      <c r="K1209">
        <v>24</v>
      </c>
      <c r="L1209" t="s">
        <v>32</v>
      </c>
      <c r="M1209">
        <v>7</v>
      </c>
      <c r="N1209" t="s">
        <v>33</v>
      </c>
      <c r="O1209" t="s">
        <v>49</v>
      </c>
      <c r="P1209" t="s">
        <v>50</v>
      </c>
      <c r="Q1209" s="2">
        <v>12903.97</v>
      </c>
      <c r="R1209" s="2">
        <v>1118.9100000000001</v>
      </c>
      <c r="S1209" t="s">
        <v>94</v>
      </c>
      <c r="T1209" t="s">
        <v>71</v>
      </c>
      <c r="U1209" t="s">
        <v>75</v>
      </c>
      <c r="V1209">
        <v>4</v>
      </c>
      <c r="W1209" t="s">
        <v>54</v>
      </c>
      <c r="X1209" t="s">
        <v>55</v>
      </c>
      <c r="Y1209" t="s">
        <v>72</v>
      </c>
    </row>
    <row r="1210" spans="1:25" x14ac:dyDescent="0.3">
      <c r="A1210" t="s">
        <v>2497</v>
      </c>
      <c r="B1210" s="1">
        <v>46134</v>
      </c>
      <c r="C1210" t="s">
        <v>57</v>
      </c>
      <c r="D1210" t="s">
        <v>44</v>
      </c>
      <c r="E1210" t="s">
        <v>4084</v>
      </c>
      <c r="F1210" t="s">
        <v>60</v>
      </c>
      <c r="G1210" t="s">
        <v>29</v>
      </c>
      <c r="H1210" t="s">
        <v>27</v>
      </c>
      <c r="I1210">
        <v>12</v>
      </c>
      <c r="J1210" t="s">
        <v>2498</v>
      </c>
      <c r="K1210">
        <v>68</v>
      </c>
      <c r="L1210" t="s">
        <v>80</v>
      </c>
      <c r="M1210">
        <v>4</v>
      </c>
      <c r="N1210" t="s">
        <v>48</v>
      </c>
      <c r="O1210" t="s">
        <v>49</v>
      </c>
      <c r="P1210" t="s">
        <v>82</v>
      </c>
      <c r="Q1210" s="2">
        <v>16402.04</v>
      </c>
      <c r="R1210" s="2">
        <v>4076.03</v>
      </c>
      <c r="S1210" t="s">
        <v>51</v>
      </c>
      <c r="T1210" t="s">
        <v>71</v>
      </c>
      <c r="U1210" t="s">
        <v>83</v>
      </c>
      <c r="V1210">
        <v>3.6</v>
      </c>
      <c r="W1210" t="s">
        <v>54</v>
      </c>
      <c r="X1210" t="s">
        <v>55</v>
      </c>
      <c r="Y1210" t="s">
        <v>72</v>
      </c>
    </row>
    <row r="1211" spans="1:25" x14ac:dyDescent="0.3">
      <c r="A1211" t="s">
        <v>2499</v>
      </c>
      <c r="B1211" s="1">
        <v>46135</v>
      </c>
      <c r="C1211" t="s">
        <v>78</v>
      </c>
      <c r="D1211" t="s">
        <v>58</v>
      </c>
      <c r="E1211" t="s">
        <v>45</v>
      </c>
      <c r="F1211" t="s">
        <v>28</v>
      </c>
      <c r="G1211" t="s">
        <v>29</v>
      </c>
      <c r="H1211" t="s">
        <v>67</v>
      </c>
      <c r="I1211">
        <v>7</v>
      </c>
      <c r="J1211" t="s">
        <v>2500</v>
      </c>
      <c r="K1211">
        <v>18</v>
      </c>
      <c r="L1211" t="s">
        <v>32</v>
      </c>
      <c r="M1211">
        <v>4</v>
      </c>
      <c r="N1211" t="s">
        <v>64</v>
      </c>
      <c r="O1211" t="s">
        <v>81</v>
      </c>
      <c r="P1211" t="s">
        <v>82</v>
      </c>
      <c r="Q1211" s="2">
        <v>45119.75</v>
      </c>
      <c r="R1211" s="2">
        <v>4229.84</v>
      </c>
      <c r="S1211" t="s">
        <v>115</v>
      </c>
      <c r="T1211" t="s">
        <v>52</v>
      </c>
      <c r="U1211" t="s">
        <v>83</v>
      </c>
      <c r="V1211">
        <v>1.9</v>
      </c>
      <c r="W1211" t="s">
        <v>124</v>
      </c>
      <c r="X1211" t="s">
        <v>55</v>
      </c>
      <c r="Y1211" t="s">
        <v>72</v>
      </c>
    </row>
    <row r="1212" spans="1:25" x14ac:dyDescent="0.3">
      <c r="A1212" t="s">
        <v>2501</v>
      </c>
      <c r="B1212" s="1">
        <v>46136</v>
      </c>
      <c r="C1212" t="s">
        <v>43</v>
      </c>
      <c r="D1212" t="s">
        <v>58</v>
      </c>
      <c r="E1212" t="s">
        <v>4084</v>
      </c>
      <c r="F1212" t="s">
        <v>60</v>
      </c>
      <c r="G1212" t="s">
        <v>29</v>
      </c>
      <c r="H1212" t="s">
        <v>30</v>
      </c>
      <c r="I1212">
        <v>12</v>
      </c>
      <c r="J1212" t="s">
        <v>2502</v>
      </c>
      <c r="K1212">
        <v>26</v>
      </c>
      <c r="L1212" t="s">
        <v>63</v>
      </c>
      <c r="M1212">
        <v>7</v>
      </c>
      <c r="N1212" t="s">
        <v>48</v>
      </c>
      <c r="O1212" t="s">
        <v>34</v>
      </c>
      <c r="P1212" t="s">
        <v>50</v>
      </c>
      <c r="Q1212" s="2">
        <v>47346.22</v>
      </c>
      <c r="R1212" s="2">
        <v>1032.04</v>
      </c>
      <c r="S1212" t="s">
        <v>51</v>
      </c>
      <c r="T1212" t="s">
        <v>52</v>
      </c>
      <c r="U1212" t="s">
        <v>53</v>
      </c>
      <c r="V1212">
        <v>4.9000000000000004</v>
      </c>
      <c r="W1212" t="s">
        <v>103</v>
      </c>
      <c r="X1212" t="s">
        <v>40</v>
      </c>
      <c r="Y1212" t="s">
        <v>72</v>
      </c>
    </row>
    <row r="1213" spans="1:25" x14ac:dyDescent="0.3">
      <c r="A1213" t="s">
        <v>2503</v>
      </c>
      <c r="B1213" s="1">
        <v>46137</v>
      </c>
      <c r="C1213" t="s">
        <v>43</v>
      </c>
      <c r="D1213" t="s">
        <v>58</v>
      </c>
      <c r="E1213" t="s">
        <v>89</v>
      </c>
      <c r="F1213" t="s">
        <v>28</v>
      </c>
      <c r="G1213" t="s">
        <v>29</v>
      </c>
      <c r="H1213" t="s">
        <v>61</v>
      </c>
      <c r="I1213">
        <v>3</v>
      </c>
      <c r="J1213" t="s">
        <v>2504</v>
      </c>
      <c r="K1213">
        <v>35</v>
      </c>
      <c r="L1213" t="s">
        <v>80</v>
      </c>
      <c r="M1213">
        <v>5</v>
      </c>
      <c r="N1213" t="s">
        <v>64</v>
      </c>
      <c r="O1213" t="s">
        <v>69</v>
      </c>
      <c r="P1213" t="s">
        <v>70</v>
      </c>
      <c r="Q1213" s="2">
        <v>30633.35</v>
      </c>
      <c r="R1213" s="2">
        <v>3554.14</v>
      </c>
      <c r="S1213" t="s">
        <v>36</v>
      </c>
      <c r="T1213" t="s">
        <v>71</v>
      </c>
      <c r="U1213" t="s">
        <v>75</v>
      </c>
      <c r="V1213">
        <v>3.3</v>
      </c>
      <c r="W1213" t="s">
        <v>39</v>
      </c>
      <c r="X1213" t="s">
        <v>65</v>
      </c>
      <c r="Y1213" t="s">
        <v>72</v>
      </c>
    </row>
    <row r="1214" spans="1:25" x14ac:dyDescent="0.3">
      <c r="A1214" t="s">
        <v>2505</v>
      </c>
      <c r="B1214" s="1">
        <v>46138</v>
      </c>
      <c r="C1214" t="s">
        <v>57</v>
      </c>
      <c r="D1214" t="s">
        <v>44</v>
      </c>
      <c r="E1214" t="s">
        <v>4084</v>
      </c>
      <c r="F1214" t="s">
        <v>60</v>
      </c>
      <c r="G1214" t="s">
        <v>29</v>
      </c>
      <c r="H1214" t="s">
        <v>27</v>
      </c>
      <c r="I1214">
        <v>3</v>
      </c>
      <c r="J1214" t="s">
        <v>2506</v>
      </c>
      <c r="K1214">
        <v>62</v>
      </c>
      <c r="L1214" t="s">
        <v>63</v>
      </c>
      <c r="M1214">
        <v>3</v>
      </c>
      <c r="N1214" t="s">
        <v>91</v>
      </c>
      <c r="O1214" t="s">
        <v>81</v>
      </c>
      <c r="P1214" t="s">
        <v>82</v>
      </c>
      <c r="Q1214" s="2">
        <v>27561.74</v>
      </c>
      <c r="R1214" s="2">
        <v>3658.78</v>
      </c>
      <c r="S1214" t="s">
        <v>94</v>
      </c>
      <c r="T1214" t="s">
        <v>52</v>
      </c>
      <c r="U1214" t="s">
        <v>83</v>
      </c>
      <c r="V1214">
        <v>4.5999999999999996</v>
      </c>
      <c r="W1214" t="s">
        <v>103</v>
      </c>
      <c r="X1214" t="s">
        <v>65</v>
      </c>
      <c r="Y1214" t="s">
        <v>41</v>
      </c>
    </row>
    <row r="1215" spans="1:25" x14ac:dyDescent="0.3">
      <c r="A1215" t="s">
        <v>2507</v>
      </c>
      <c r="B1215" s="1">
        <v>46139</v>
      </c>
      <c r="C1215" t="s">
        <v>57</v>
      </c>
      <c r="D1215" t="s">
        <v>44</v>
      </c>
      <c r="E1215" t="s">
        <v>45</v>
      </c>
      <c r="F1215" t="s">
        <v>28</v>
      </c>
      <c r="G1215" t="s">
        <v>29</v>
      </c>
      <c r="H1215" t="s">
        <v>67</v>
      </c>
      <c r="I1215">
        <v>11</v>
      </c>
      <c r="J1215" t="s">
        <v>2508</v>
      </c>
      <c r="K1215">
        <v>64</v>
      </c>
      <c r="L1215" t="s">
        <v>80</v>
      </c>
      <c r="M1215">
        <v>5</v>
      </c>
      <c r="N1215" t="s">
        <v>91</v>
      </c>
      <c r="O1215" t="s">
        <v>34</v>
      </c>
      <c r="P1215" t="s">
        <v>50</v>
      </c>
      <c r="Q1215" s="2">
        <v>32242.35</v>
      </c>
      <c r="R1215" s="2">
        <v>885.29</v>
      </c>
      <c r="S1215" t="s">
        <v>115</v>
      </c>
      <c r="T1215" t="s">
        <v>52</v>
      </c>
      <c r="U1215" t="s">
        <v>53</v>
      </c>
      <c r="V1215">
        <v>4.4000000000000004</v>
      </c>
      <c r="W1215" t="s">
        <v>54</v>
      </c>
      <c r="X1215" t="s">
        <v>40</v>
      </c>
      <c r="Y1215" t="s">
        <v>41</v>
      </c>
    </row>
    <row r="1216" spans="1:25" x14ac:dyDescent="0.3">
      <c r="A1216" t="s">
        <v>2509</v>
      </c>
      <c r="B1216" s="1">
        <v>46140</v>
      </c>
      <c r="C1216" t="s">
        <v>26</v>
      </c>
      <c r="D1216" t="s">
        <v>26</v>
      </c>
      <c r="E1216" t="s">
        <v>120</v>
      </c>
      <c r="F1216" t="s">
        <v>28</v>
      </c>
      <c r="G1216" t="s">
        <v>29</v>
      </c>
      <c r="H1216" t="s">
        <v>86</v>
      </c>
      <c r="I1216">
        <v>4</v>
      </c>
      <c r="J1216" t="s">
        <v>2510</v>
      </c>
      <c r="K1216">
        <v>20</v>
      </c>
      <c r="L1216" t="s">
        <v>80</v>
      </c>
      <c r="M1216">
        <v>7</v>
      </c>
      <c r="N1216" t="s">
        <v>91</v>
      </c>
      <c r="O1216" t="s">
        <v>49</v>
      </c>
      <c r="P1216" t="s">
        <v>35</v>
      </c>
      <c r="Q1216" s="2">
        <v>32733.84</v>
      </c>
      <c r="R1216" s="2">
        <v>2168.48</v>
      </c>
      <c r="S1216" t="s">
        <v>115</v>
      </c>
      <c r="T1216" t="s">
        <v>71</v>
      </c>
      <c r="U1216" t="s">
        <v>83</v>
      </c>
      <c r="V1216">
        <v>2.2999999999999998</v>
      </c>
      <c r="W1216" t="s">
        <v>76</v>
      </c>
      <c r="X1216" t="s">
        <v>84</v>
      </c>
      <c r="Y1216" t="s">
        <v>41</v>
      </c>
    </row>
    <row r="1217" spans="1:25" x14ac:dyDescent="0.3">
      <c r="A1217" t="s">
        <v>2511</v>
      </c>
      <c r="B1217" s="1">
        <v>46141</v>
      </c>
      <c r="C1217" t="s">
        <v>117</v>
      </c>
      <c r="D1217" t="s">
        <v>4083</v>
      </c>
      <c r="E1217" t="s">
        <v>45</v>
      </c>
      <c r="F1217" t="s">
        <v>28</v>
      </c>
      <c r="G1217" t="s">
        <v>29</v>
      </c>
      <c r="H1217" t="s">
        <v>67</v>
      </c>
      <c r="I1217">
        <v>9</v>
      </c>
      <c r="J1217" t="s">
        <v>2512</v>
      </c>
      <c r="K1217">
        <v>41</v>
      </c>
      <c r="L1217" t="s">
        <v>63</v>
      </c>
      <c r="M1217">
        <v>2</v>
      </c>
      <c r="N1217" t="s">
        <v>33</v>
      </c>
      <c r="O1217" t="s">
        <v>34</v>
      </c>
      <c r="P1217" t="s">
        <v>50</v>
      </c>
      <c r="Q1217" s="2">
        <v>12663.71</v>
      </c>
      <c r="R1217" s="2">
        <v>3101.69</v>
      </c>
      <c r="S1217" t="s">
        <v>94</v>
      </c>
      <c r="T1217" t="s">
        <v>37</v>
      </c>
      <c r="U1217" t="s">
        <v>53</v>
      </c>
      <c r="V1217">
        <v>3.1</v>
      </c>
      <c r="W1217" t="s">
        <v>76</v>
      </c>
      <c r="X1217" t="s">
        <v>65</v>
      </c>
      <c r="Y1217" t="s">
        <v>72</v>
      </c>
    </row>
    <row r="1218" spans="1:25" x14ac:dyDescent="0.3">
      <c r="A1218" t="s">
        <v>2513</v>
      </c>
      <c r="B1218" s="1">
        <v>46142</v>
      </c>
      <c r="C1218" t="s">
        <v>57</v>
      </c>
      <c r="D1218" t="s">
        <v>44</v>
      </c>
      <c r="E1218" t="s">
        <v>120</v>
      </c>
      <c r="F1218" t="s">
        <v>28</v>
      </c>
      <c r="G1218" t="s">
        <v>29</v>
      </c>
      <c r="H1218" t="s">
        <v>86</v>
      </c>
      <c r="I1218">
        <v>12</v>
      </c>
      <c r="J1218" t="s">
        <v>2514</v>
      </c>
      <c r="K1218">
        <v>45</v>
      </c>
      <c r="L1218" t="s">
        <v>32</v>
      </c>
      <c r="M1218">
        <v>5</v>
      </c>
      <c r="N1218" t="s">
        <v>91</v>
      </c>
      <c r="O1218" t="s">
        <v>69</v>
      </c>
      <c r="P1218" t="s">
        <v>50</v>
      </c>
      <c r="Q1218" s="2">
        <v>35888.49</v>
      </c>
      <c r="R1218" s="2">
        <v>130.33000000000001</v>
      </c>
      <c r="S1218" t="s">
        <v>36</v>
      </c>
      <c r="T1218" t="s">
        <v>52</v>
      </c>
      <c r="U1218" t="s">
        <v>38</v>
      </c>
      <c r="V1218">
        <v>2.7</v>
      </c>
      <c r="W1218" t="s">
        <v>76</v>
      </c>
      <c r="X1218" t="s">
        <v>106</v>
      </c>
      <c r="Y1218" t="s">
        <v>72</v>
      </c>
    </row>
    <row r="1219" spans="1:25" x14ac:dyDescent="0.3">
      <c r="A1219" t="s">
        <v>2515</v>
      </c>
      <c r="B1219" s="1">
        <v>46143</v>
      </c>
      <c r="C1219" t="s">
        <v>57</v>
      </c>
      <c r="D1219" t="s">
        <v>44</v>
      </c>
      <c r="E1219" t="s">
        <v>4085</v>
      </c>
      <c r="F1219" t="s">
        <v>60</v>
      </c>
      <c r="G1219" t="s">
        <v>29</v>
      </c>
      <c r="H1219" t="s">
        <v>46</v>
      </c>
      <c r="I1219">
        <v>6</v>
      </c>
      <c r="J1219" t="s">
        <v>2516</v>
      </c>
      <c r="K1219">
        <v>27</v>
      </c>
      <c r="L1219" t="s">
        <v>32</v>
      </c>
      <c r="M1219">
        <v>6</v>
      </c>
      <c r="N1219" t="s">
        <v>64</v>
      </c>
      <c r="O1219" t="s">
        <v>49</v>
      </c>
      <c r="P1219" t="s">
        <v>70</v>
      </c>
      <c r="Q1219" s="2">
        <v>25355.8</v>
      </c>
      <c r="R1219" s="2">
        <v>2022.96</v>
      </c>
      <c r="S1219" t="s">
        <v>94</v>
      </c>
      <c r="T1219" t="s">
        <v>37</v>
      </c>
      <c r="U1219" t="s">
        <v>75</v>
      </c>
      <c r="V1219">
        <v>3.8</v>
      </c>
      <c r="W1219" t="s">
        <v>54</v>
      </c>
      <c r="X1219" t="s">
        <v>65</v>
      </c>
      <c r="Y1219" t="s">
        <v>41</v>
      </c>
    </row>
    <row r="1220" spans="1:25" x14ac:dyDescent="0.3">
      <c r="A1220" t="s">
        <v>2517</v>
      </c>
      <c r="B1220" s="1">
        <v>46144</v>
      </c>
      <c r="C1220" t="s">
        <v>78</v>
      </c>
      <c r="D1220" t="s">
        <v>58</v>
      </c>
      <c r="E1220" t="s">
        <v>45</v>
      </c>
      <c r="F1220" t="s">
        <v>28</v>
      </c>
      <c r="G1220" t="s">
        <v>29</v>
      </c>
      <c r="H1220" t="s">
        <v>67</v>
      </c>
      <c r="I1220">
        <v>9</v>
      </c>
      <c r="J1220" t="s">
        <v>2518</v>
      </c>
      <c r="K1220">
        <v>26</v>
      </c>
      <c r="L1220" t="s">
        <v>32</v>
      </c>
      <c r="M1220">
        <v>7</v>
      </c>
      <c r="N1220" t="s">
        <v>91</v>
      </c>
      <c r="O1220" t="s">
        <v>81</v>
      </c>
      <c r="P1220" t="s">
        <v>50</v>
      </c>
      <c r="Q1220" s="2">
        <v>28282.19</v>
      </c>
      <c r="R1220" s="2">
        <v>774.79</v>
      </c>
      <c r="S1220" t="s">
        <v>115</v>
      </c>
      <c r="T1220" t="s">
        <v>37</v>
      </c>
      <c r="U1220" t="s">
        <v>38</v>
      </c>
      <c r="V1220">
        <v>3.4</v>
      </c>
      <c r="W1220" t="s">
        <v>39</v>
      </c>
      <c r="X1220" t="s">
        <v>40</v>
      </c>
      <c r="Y1220" t="s">
        <v>41</v>
      </c>
    </row>
    <row r="1221" spans="1:25" x14ac:dyDescent="0.3">
      <c r="A1221" t="s">
        <v>2519</v>
      </c>
      <c r="B1221" s="1">
        <v>46145</v>
      </c>
      <c r="C1221" t="s">
        <v>43</v>
      </c>
      <c r="D1221" t="s">
        <v>58</v>
      </c>
      <c r="E1221" t="s">
        <v>45</v>
      </c>
      <c r="F1221" t="s">
        <v>28</v>
      </c>
      <c r="G1221" t="s">
        <v>29</v>
      </c>
      <c r="H1221" t="s">
        <v>67</v>
      </c>
      <c r="I1221">
        <v>10</v>
      </c>
      <c r="J1221" t="s">
        <v>2520</v>
      </c>
      <c r="K1221">
        <v>30</v>
      </c>
      <c r="L1221" t="s">
        <v>32</v>
      </c>
      <c r="M1221">
        <v>6</v>
      </c>
      <c r="N1221" t="s">
        <v>64</v>
      </c>
      <c r="O1221" t="s">
        <v>34</v>
      </c>
      <c r="P1221" t="s">
        <v>35</v>
      </c>
      <c r="Q1221" s="2">
        <v>6364.25</v>
      </c>
      <c r="R1221" s="2">
        <v>2709.48</v>
      </c>
      <c r="S1221" t="s">
        <v>94</v>
      </c>
      <c r="T1221" t="s">
        <v>37</v>
      </c>
      <c r="U1221" t="s">
        <v>53</v>
      </c>
      <c r="V1221">
        <v>4.0999999999999996</v>
      </c>
      <c r="W1221" t="s">
        <v>54</v>
      </c>
      <c r="X1221" t="s">
        <v>84</v>
      </c>
      <c r="Y1221" t="s">
        <v>72</v>
      </c>
    </row>
    <row r="1222" spans="1:25" x14ac:dyDescent="0.3">
      <c r="A1222" t="s">
        <v>2521</v>
      </c>
      <c r="B1222" s="1">
        <v>46146</v>
      </c>
      <c r="C1222" t="s">
        <v>117</v>
      </c>
      <c r="D1222" t="s">
        <v>4083</v>
      </c>
      <c r="E1222" t="s">
        <v>89</v>
      </c>
      <c r="F1222" t="s">
        <v>28</v>
      </c>
      <c r="G1222" t="s">
        <v>29</v>
      </c>
      <c r="H1222" t="s">
        <v>61</v>
      </c>
      <c r="I1222">
        <v>7</v>
      </c>
      <c r="J1222" t="s">
        <v>2522</v>
      </c>
      <c r="K1222">
        <v>65</v>
      </c>
      <c r="L1222" t="s">
        <v>63</v>
      </c>
      <c r="M1222">
        <v>7</v>
      </c>
      <c r="N1222" t="s">
        <v>48</v>
      </c>
      <c r="O1222" t="s">
        <v>34</v>
      </c>
      <c r="P1222" t="s">
        <v>50</v>
      </c>
      <c r="Q1222" s="2">
        <v>39405.050000000003</v>
      </c>
      <c r="R1222" s="2">
        <v>4214.59</v>
      </c>
      <c r="S1222" t="s">
        <v>36</v>
      </c>
      <c r="T1222" t="s">
        <v>52</v>
      </c>
      <c r="U1222" t="s">
        <v>53</v>
      </c>
      <c r="V1222">
        <v>1</v>
      </c>
      <c r="W1222" t="s">
        <v>124</v>
      </c>
      <c r="X1222" t="s">
        <v>65</v>
      </c>
      <c r="Y1222" t="s">
        <v>72</v>
      </c>
    </row>
    <row r="1223" spans="1:25" x14ac:dyDescent="0.3">
      <c r="A1223" t="s">
        <v>2523</v>
      </c>
      <c r="B1223" s="1">
        <v>46147</v>
      </c>
      <c r="C1223" t="s">
        <v>78</v>
      </c>
      <c r="D1223" t="s">
        <v>58</v>
      </c>
      <c r="E1223" t="s">
        <v>4084</v>
      </c>
      <c r="F1223" t="s">
        <v>60</v>
      </c>
      <c r="G1223" t="s">
        <v>29</v>
      </c>
      <c r="H1223" t="s">
        <v>27</v>
      </c>
      <c r="I1223">
        <v>14</v>
      </c>
      <c r="J1223" t="s">
        <v>2524</v>
      </c>
      <c r="K1223">
        <v>52</v>
      </c>
      <c r="L1223" t="s">
        <v>80</v>
      </c>
      <c r="M1223">
        <v>2</v>
      </c>
      <c r="N1223" t="s">
        <v>33</v>
      </c>
      <c r="O1223" t="s">
        <v>81</v>
      </c>
      <c r="P1223" t="s">
        <v>35</v>
      </c>
      <c r="Q1223" s="2">
        <v>42594.26</v>
      </c>
      <c r="R1223" s="2">
        <v>2623.77</v>
      </c>
      <c r="S1223" t="s">
        <v>36</v>
      </c>
      <c r="T1223" t="s">
        <v>71</v>
      </c>
      <c r="U1223" t="s">
        <v>75</v>
      </c>
      <c r="V1223">
        <v>3.8</v>
      </c>
      <c r="W1223" t="s">
        <v>54</v>
      </c>
      <c r="X1223" t="s">
        <v>40</v>
      </c>
      <c r="Y1223" t="s">
        <v>41</v>
      </c>
    </row>
    <row r="1224" spans="1:25" x14ac:dyDescent="0.3">
      <c r="A1224" t="s">
        <v>2525</v>
      </c>
      <c r="B1224" s="1">
        <v>46148</v>
      </c>
      <c r="C1224" t="s">
        <v>26</v>
      </c>
      <c r="D1224" t="s">
        <v>26</v>
      </c>
      <c r="E1224" t="s">
        <v>120</v>
      </c>
      <c r="F1224" t="s">
        <v>28</v>
      </c>
      <c r="G1224" t="s">
        <v>29</v>
      </c>
      <c r="H1224" t="s">
        <v>86</v>
      </c>
      <c r="I1224">
        <v>14</v>
      </c>
      <c r="J1224" t="s">
        <v>2526</v>
      </c>
      <c r="K1224">
        <v>40</v>
      </c>
      <c r="L1224" t="s">
        <v>63</v>
      </c>
      <c r="M1224">
        <v>6</v>
      </c>
      <c r="N1224" t="s">
        <v>48</v>
      </c>
      <c r="O1224" t="s">
        <v>34</v>
      </c>
      <c r="P1224" t="s">
        <v>82</v>
      </c>
      <c r="Q1224" s="2">
        <v>32873.97</v>
      </c>
      <c r="R1224" s="2">
        <v>179.92</v>
      </c>
      <c r="S1224" t="s">
        <v>51</v>
      </c>
      <c r="T1224" t="s">
        <v>71</v>
      </c>
      <c r="U1224" t="s">
        <v>75</v>
      </c>
      <c r="V1224">
        <v>2.2999999999999998</v>
      </c>
      <c r="W1224" t="s">
        <v>76</v>
      </c>
      <c r="X1224" t="s">
        <v>106</v>
      </c>
      <c r="Y1224" t="s">
        <v>72</v>
      </c>
    </row>
    <row r="1225" spans="1:25" x14ac:dyDescent="0.3">
      <c r="A1225" t="s">
        <v>2527</v>
      </c>
      <c r="B1225" s="1">
        <v>46149</v>
      </c>
      <c r="C1225" t="s">
        <v>26</v>
      </c>
      <c r="D1225" t="s">
        <v>26</v>
      </c>
      <c r="E1225" t="s">
        <v>120</v>
      </c>
      <c r="F1225" t="s">
        <v>28</v>
      </c>
      <c r="G1225" t="s">
        <v>29</v>
      </c>
      <c r="H1225" t="s">
        <v>86</v>
      </c>
      <c r="I1225">
        <v>3</v>
      </c>
      <c r="J1225" t="s">
        <v>2528</v>
      </c>
      <c r="K1225">
        <v>64</v>
      </c>
      <c r="L1225" t="s">
        <v>32</v>
      </c>
      <c r="M1225">
        <v>6</v>
      </c>
      <c r="N1225" t="s">
        <v>48</v>
      </c>
      <c r="O1225" t="s">
        <v>34</v>
      </c>
      <c r="P1225" t="s">
        <v>50</v>
      </c>
      <c r="Q1225" s="2">
        <v>38692.559999999998</v>
      </c>
      <c r="R1225" s="2">
        <v>148.29</v>
      </c>
      <c r="S1225" t="s">
        <v>94</v>
      </c>
      <c r="T1225" t="s">
        <v>71</v>
      </c>
      <c r="U1225" t="s">
        <v>53</v>
      </c>
      <c r="V1225">
        <v>1.9</v>
      </c>
      <c r="W1225" t="s">
        <v>124</v>
      </c>
      <c r="X1225" t="s">
        <v>55</v>
      </c>
      <c r="Y1225" t="s">
        <v>72</v>
      </c>
    </row>
    <row r="1226" spans="1:25" x14ac:dyDescent="0.3">
      <c r="A1226" t="s">
        <v>2529</v>
      </c>
      <c r="B1226" s="1">
        <v>46150</v>
      </c>
      <c r="C1226" t="s">
        <v>57</v>
      </c>
      <c r="D1226" t="s">
        <v>44</v>
      </c>
      <c r="E1226" t="s">
        <v>89</v>
      </c>
      <c r="F1226" t="s">
        <v>28</v>
      </c>
      <c r="G1226" t="s">
        <v>29</v>
      </c>
      <c r="H1226" t="s">
        <v>61</v>
      </c>
      <c r="I1226">
        <v>6</v>
      </c>
      <c r="J1226" t="s">
        <v>2530</v>
      </c>
      <c r="K1226">
        <v>34</v>
      </c>
      <c r="L1226" t="s">
        <v>32</v>
      </c>
      <c r="M1226">
        <v>1</v>
      </c>
      <c r="N1226" t="s">
        <v>91</v>
      </c>
      <c r="O1226" t="s">
        <v>34</v>
      </c>
      <c r="P1226" t="s">
        <v>70</v>
      </c>
      <c r="Q1226" s="2">
        <v>28521.77</v>
      </c>
      <c r="R1226" s="2">
        <v>3027.52</v>
      </c>
      <c r="S1226" t="s">
        <v>94</v>
      </c>
      <c r="T1226" t="s">
        <v>71</v>
      </c>
      <c r="U1226" t="s">
        <v>83</v>
      </c>
      <c r="V1226">
        <v>4.2</v>
      </c>
      <c r="W1226" t="s">
        <v>54</v>
      </c>
      <c r="X1226" t="s">
        <v>106</v>
      </c>
      <c r="Y1226" t="s">
        <v>41</v>
      </c>
    </row>
    <row r="1227" spans="1:25" x14ac:dyDescent="0.3">
      <c r="A1227" t="s">
        <v>2531</v>
      </c>
      <c r="B1227" s="1">
        <v>46151</v>
      </c>
      <c r="C1227" t="s">
        <v>57</v>
      </c>
      <c r="D1227" t="s">
        <v>44</v>
      </c>
      <c r="E1227" t="s">
        <v>89</v>
      </c>
      <c r="F1227" t="s">
        <v>28</v>
      </c>
      <c r="G1227" t="s">
        <v>29</v>
      </c>
      <c r="H1227" t="s">
        <v>61</v>
      </c>
      <c r="I1227">
        <v>12</v>
      </c>
      <c r="J1227" t="s">
        <v>2532</v>
      </c>
      <c r="K1227">
        <v>63</v>
      </c>
      <c r="L1227" t="s">
        <v>63</v>
      </c>
      <c r="M1227">
        <v>4</v>
      </c>
      <c r="N1227" t="s">
        <v>91</v>
      </c>
      <c r="O1227" t="s">
        <v>49</v>
      </c>
      <c r="P1227" t="s">
        <v>50</v>
      </c>
      <c r="Q1227" s="2">
        <v>32825.9</v>
      </c>
      <c r="R1227" s="2">
        <v>1639.91</v>
      </c>
      <c r="S1227" t="s">
        <v>115</v>
      </c>
      <c r="T1227" t="s">
        <v>71</v>
      </c>
      <c r="U1227" t="s">
        <v>75</v>
      </c>
      <c r="V1227">
        <v>1.4</v>
      </c>
      <c r="W1227" t="s">
        <v>124</v>
      </c>
      <c r="X1227" t="s">
        <v>106</v>
      </c>
      <c r="Y1227" t="s">
        <v>72</v>
      </c>
    </row>
    <row r="1228" spans="1:25" x14ac:dyDescent="0.3">
      <c r="A1228" t="s">
        <v>2533</v>
      </c>
      <c r="B1228" s="1">
        <v>46152</v>
      </c>
      <c r="C1228" t="s">
        <v>26</v>
      </c>
      <c r="D1228" t="s">
        <v>26</v>
      </c>
      <c r="E1228" t="s">
        <v>4084</v>
      </c>
      <c r="F1228" t="s">
        <v>60</v>
      </c>
      <c r="G1228" t="s">
        <v>29</v>
      </c>
      <c r="H1228" t="s">
        <v>27</v>
      </c>
      <c r="I1228">
        <v>5</v>
      </c>
      <c r="J1228" t="s">
        <v>2534</v>
      </c>
      <c r="K1228">
        <v>24</v>
      </c>
      <c r="L1228" t="s">
        <v>80</v>
      </c>
      <c r="M1228">
        <v>6</v>
      </c>
      <c r="N1228" t="s">
        <v>91</v>
      </c>
      <c r="O1228" t="s">
        <v>49</v>
      </c>
      <c r="P1228" t="s">
        <v>35</v>
      </c>
      <c r="Q1228" s="2">
        <v>22755.73</v>
      </c>
      <c r="R1228" s="2">
        <v>2863.33</v>
      </c>
      <c r="S1228" t="s">
        <v>36</v>
      </c>
      <c r="T1228" t="s">
        <v>71</v>
      </c>
      <c r="U1228" t="s">
        <v>53</v>
      </c>
      <c r="V1228">
        <v>1.9</v>
      </c>
      <c r="W1228" t="s">
        <v>124</v>
      </c>
      <c r="X1228" t="s">
        <v>84</v>
      </c>
      <c r="Y1228" t="s">
        <v>72</v>
      </c>
    </row>
    <row r="1229" spans="1:25" x14ac:dyDescent="0.3">
      <c r="A1229" t="s">
        <v>2535</v>
      </c>
      <c r="B1229" s="1">
        <v>46153</v>
      </c>
      <c r="C1229" t="s">
        <v>57</v>
      </c>
      <c r="D1229" t="s">
        <v>44</v>
      </c>
      <c r="E1229" t="s">
        <v>4084</v>
      </c>
      <c r="F1229" t="s">
        <v>60</v>
      </c>
      <c r="G1229" t="s">
        <v>29</v>
      </c>
      <c r="H1229" t="s">
        <v>27</v>
      </c>
      <c r="I1229">
        <v>12</v>
      </c>
      <c r="J1229" t="s">
        <v>2536</v>
      </c>
      <c r="K1229">
        <v>69</v>
      </c>
      <c r="L1229" t="s">
        <v>63</v>
      </c>
      <c r="M1229">
        <v>4</v>
      </c>
      <c r="N1229" t="s">
        <v>48</v>
      </c>
      <c r="O1229" t="s">
        <v>69</v>
      </c>
      <c r="P1229" t="s">
        <v>35</v>
      </c>
      <c r="Q1229" s="2">
        <v>40634.339999999997</v>
      </c>
      <c r="R1229" s="2">
        <v>818.19</v>
      </c>
      <c r="S1229" t="s">
        <v>94</v>
      </c>
      <c r="T1229" t="s">
        <v>37</v>
      </c>
      <c r="U1229" t="s">
        <v>75</v>
      </c>
      <c r="V1229">
        <v>1.8</v>
      </c>
      <c r="W1229" t="s">
        <v>124</v>
      </c>
      <c r="X1229" t="s">
        <v>65</v>
      </c>
      <c r="Y1229" t="s">
        <v>72</v>
      </c>
    </row>
    <row r="1230" spans="1:25" x14ac:dyDescent="0.3">
      <c r="A1230" t="s">
        <v>2537</v>
      </c>
      <c r="B1230" s="1">
        <v>46154</v>
      </c>
      <c r="C1230" t="s">
        <v>117</v>
      </c>
      <c r="D1230" t="s">
        <v>4083</v>
      </c>
      <c r="E1230" t="s">
        <v>45</v>
      </c>
      <c r="F1230" t="s">
        <v>28</v>
      </c>
      <c r="G1230" t="s">
        <v>29</v>
      </c>
      <c r="H1230" t="s">
        <v>67</v>
      </c>
      <c r="I1230">
        <v>14</v>
      </c>
      <c r="J1230" t="s">
        <v>2538</v>
      </c>
      <c r="K1230">
        <v>33</v>
      </c>
      <c r="L1230" t="s">
        <v>63</v>
      </c>
      <c r="M1230">
        <v>7</v>
      </c>
      <c r="N1230" t="s">
        <v>33</v>
      </c>
      <c r="O1230" t="s">
        <v>34</v>
      </c>
      <c r="P1230" t="s">
        <v>70</v>
      </c>
      <c r="Q1230" s="2">
        <v>26072.19</v>
      </c>
      <c r="R1230" s="2">
        <v>3884.31</v>
      </c>
      <c r="S1230" t="s">
        <v>115</v>
      </c>
      <c r="T1230" t="s">
        <v>37</v>
      </c>
      <c r="U1230" t="s">
        <v>75</v>
      </c>
      <c r="V1230">
        <v>2.7</v>
      </c>
      <c r="W1230" t="s">
        <v>76</v>
      </c>
      <c r="X1230" t="s">
        <v>55</v>
      </c>
      <c r="Y1230" t="s">
        <v>41</v>
      </c>
    </row>
    <row r="1231" spans="1:25" x14ac:dyDescent="0.3">
      <c r="A1231" t="s">
        <v>2539</v>
      </c>
      <c r="B1231" s="1">
        <v>46155</v>
      </c>
      <c r="C1231" t="s">
        <v>57</v>
      </c>
      <c r="D1231" t="s">
        <v>44</v>
      </c>
      <c r="E1231" t="s">
        <v>4085</v>
      </c>
      <c r="F1231" t="s">
        <v>60</v>
      </c>
      <c r="G1231" t="s">
        <v>29</v>
      </c>
      <c r="H1231" t="s">
        <v>46</v>
      </c>
      <c r="I1231">
        <v>7</v>
      </c>
      <c r="J1231" t="s">
        <v>2540</v>
      </c>
      <c r="K1231">
        <v>57</v>
      </c>
      <c r="L1231" t="s">
        <v>63</v>
      </c>
      <c r="M1231">
        <v>3</v>
      </c>
      <c r="N1231" t="s">
        <v>33</v>
      </c>
      <c r="O1231" t="s">
        <v>69</v>
      </c>
      <c r="P1231" t="s">
        <v>35</v>
      </c>
      <c r="Q1231" s="2">
        <v>35609.58</v>
      </c>
      <c r="R1231" s="2">
        <v>4303.6000000000004</v>
      </c>
      <c r="S1231" t="s">
        <v>51</v>
      </c>
      <c r="T1231" t="s">
        <v>37</v>
      </c>
      <c r="U1231" t="s">
        <v>38</v>
      </c>
      <c r="V1231">
        <v>2.2999999999999998</v>
      </c>
      <c r="W1231" t="s">
        <v>76</v>
      </c>
      <c r="X1231" t="s">
        <v>40</v>
      </c>
      <c r="Y1231" t="s">
        <v>72</v>
      </c>
    </row>
    <row r="1232" spans="1:25" x14ac:dyDescent="0.3">
      <c r="A1232" t="s">
        <v>2541</v>
      </c>
      <c r="B1232" s="1">
        <v>46156</v>
      </c>
      <c r="C1232" t="s">
        <v>43</v>
      </c>
      <c r="D1232" t="s">
        <v>58</v>
      </c>
      <c r="E1232" t="s">
        <v>4084</v>
      </c>
      <c r="F1232" t="s">
        <v>60</v>
      </c>
      <c r="G1232" t="s">
        <v>29</v>
      </c>
      <c r="H1232" t="s">
        <v>30</v>
      </c>
      <c r="I1232">
        <v>12</v>
      </c>
      <c r="J1232" t="s">
        <v>2542</v>
      </c>
      <c r="K1232">
        <v>53</v>
      </c>
      <c r="L1232" t="s">
        <v>80</v>
      </c>
      <c r="M1232">
        <v>5</v>
      </c>
      <c r="N1232" t="s">
        <v>48</v>
      </c>
      <c r="O1232" t="s">
        <v>49</v>
      </c>
      <c r="P1232" t="s">
        <v>50</v>
      </c>
      <c r="Q1232" s="2">
        <v>32964.32</v>
      </c>
      <c r="R1232" s="2">
        <v>4446.13</v>
      </c>
      <c r="S1232" t="s">
        <v>94</v>
      </c>
      <c r="T1232" t="s">
        <v>52</v>
      </c>
      <c r="U1232" t="s">
        <v>38</v>
      </c>
      <c r="V1232">
        <v>3.9</v>
      </c>
      <c r="W1232" t="s">
        <v>54</v>
      </c>
      <c r="X1232" t="s">
        <v>55</v>
      </c>
      <c r="Y1232" t="s">
        <v>72</v>
      </c>
    </row>
    <row r="1233" spans="1:25" x14ac:dyDescent="0.3">
      <c r="A1233" t="s">
        <v>2543</v>
      </c>
      <c r="B1233" s="1">
        <v>46157</v>
      </c>
      <c r="C1233" t="s">
        <v>57</v>
      </c>
      <c r="D1233" t="s">
        <v>44</v>
      </c>
      <c r="E1233" t="s">
        <v>89</v>
      </c>
      <c r="F1233" t="s">
        <v>28</v>
      </c>
      <c r="G1233" t="s">
        <v>29</v>
      </c>
      <c r="H1233" t="s">
        <v>61</v>
      </c>
      <c r="I1233">
        <v>12</v>
      </c>
      <c r="J1233" t="s">
        <v>2544</v>
      </c>
      <c r="K1233">
        <v>37</v>
      </c>
      <c r="L1233" t="s">
        <v>63</v>
      </c>
      <c r="M1233">
        <v>1</v>
      </c>
      <c r="N1233" t="s">
        <v>33</v>
      </c>
      <c r="O1233" t="s">
        <v>34</v>
      </c>
      <c r="P1233" t="s">
        <v>35</v>
      </c>
      <c r="Q1233" s="2">
        <v>36604.15</v>
      </c>
      <c r="R1233" s="2">
        <v>1520.37</v>
      </c>
      <c r="S1233" t="s">
        <v>94</v>
      </c>
      <c r="T1233" t="s">
        <v>52</v>
      </c>
      <c r="U1233" t="s">
        <v>83</v>
      </c>
      <c r="V1233">
        <v>3.8</v>
      </c>
      <c r="W1233" t="s">
        <v>54</v>
      </c>
      <c r="X1233" t="s">
        <v>65</v>
      </c>
      <c r="Y1233" t="s">
        <v>41</v>
      </c>
    </row>
    <row r="1234" spans="1:25" x14ac:dyDescent="0.3">
      <c r="A1234" t="s">
        <v>2545</v>
      </c>
      <c r="B1234" s="1">
        <v>46158</v>
      </c>
      <c r="C1234" t="s">
        <v>78</v>
      </c>
      <c r="D1234" t="s">
        <v>58</v>
      </c>
      <c r="E1234" t="s">
        <v>4084</v>
      </c>
      <c r="F1234" t="s">
        <v>60</v>
      </c>
      <c r="G1234" t="s">
        <v>29</v>
      </c>
      <c r="H1234" t="s">
        <v>27</v>
      </c>
      <c r="I1234">
        <v>8</v>
      </c>
      <c r="J1234" t="s">
        <v>2546</v>
      </c>
      <c r="K1234">
        <v>41</v>
      </c>
      <c r="L1234" t="s">
        <v>63</v>
      </c>
      <c r="M1234">
        <v>7</v>
      </c>
      <c r="N1234" t="s">
        <v>48</v>
      </c>
      <c r="O1234" t="s">
        <v>69</v>
      </c>
      <c r="P1234" t="s">
        <v>50</v>
      </c>
      <c r="Q1234" s="2">
        <v>40334.71</v>
      </c>
      <c r="R1234" s="2">
        <v>3303.68</v>
      </c>
      <c r="S1234" t="s">
        <v>115</v>
      </c>
      <c r="T1234" t="s">
        <v>52</v>
      </c>
      <c r="U1234" t="s">
        <v>75</v>
      </c>
      <c r="V1234">
        <v>2.2999999999999998</v>
      </c>
      <c r="W1234" t="s">
        <v>76</v>
      </c>
      <c r="X1234" t="s">
        <v>84</v>
      </c>
      <c r="Y1234" t="s">
        <v>72</v>
      </c>
    </row>
    <row r="1235" spans="1:25" x14ac:dyDescent="0.3">
      <c r="A1235" t="s">
        <v>2547</v>
      </c>
      <c r="B1235" s="1">
        <v>46159</v>
      </c>
      <c r="C1235" t="s">
        <v>117</v>
      </c>
      <c r="D1235" t="s">
        <v>4083</v>
      </c>
      <c r="E1235" t="s">
        <v>120</v>
      </c>
      <c r="F1235" t="s">
        <v>28</v>
      </c>
      <c r="G1235" t="s">
        <v>29</v>
      </c>
      <c r="H1235" t="s">
        <v>86</v>
      </c>
      <c r="I1235">
        <v>4</v>
      </c>
      <c r="J1235" t="s">
        <v>2548</v>
      </c>
      <c r="K1235">
        <v>64</v>
      </c>
      <c r="L1235" t="s">
        <v>32</v>
      </c>
      <c r="M1235">
        <v>2</v>
      </c>
      <c r="N1235" t="s">
        <v>48</v>
      </c>
      <c r="O1235" t="s">
        <v>34</v>
      </c>
      <c r="P1235" t="s">
        <v>50</v>
      </c>
      <c r="Q1235" s="2">
        <v>28072.11</v>
      </c>
      <c r="R1235" s="2">
        <v>1395.21</v>
      </c>
      <c r="S1235" t="s">
        <v>115</v>
      </c>
      <c r="T1235" t="s">
        <v>71</v>
      </c>
      <c r="U1235" t="s">
        <v>53</v>
      </c>
      <c r="V1235">
        <v>2.7</v>
      </c>
      <c r="W1235" t="s">
        <v>76</v>
      </c>
      <c r="X1235" t="s">
        <v>65</v>
      </c>
      <c r="Y1235" t="s">
        <v>72</v>
      </c>
    </row>
    <row r="1236" spans="1:25" x14ac:dyDescent="0.3">
      <c r="A1236" t="s">
        <v>2549</v>
      </c>
      <c r="B1236" s="1">
        <v>46160</v>
      </c>
      <c r="C1236" t="s">
        <v>78</v>
      </c>
      <c r="D1236" t="s">
        <v>58</v>
      </c>
      <c r="E1236" t="s">
        <v>4085</v>
      </c>
      <c r="F1236" t="s">
        <v>60</v>
      </c>
      <c r="G1236" t="s">
        <v>29</v>
      </c>
      <c r="H1236" t="s">
        <v>46</v>
      </c>
      <c r="I1236">
        <v>9</v>
      </c>
      <c r="J1236" t="s">
        <v>2550</v>
      </c>
      <c r="K1236">
        <v>22</v>
      </c>
      <c r="L1236" t="s">
        <v>63</v>
      </c>
      <c r="M1236">
        <v>3</v>
      </c>
      <c r="N1236" t="s">
        <v>33</v>
      </c>
      <c r="O1236" t="s">
        <v>34</v>
      </c>
      <c r="P1236" t="s">
        <v>35</v>
      </c>
      <c r="Q1236" s="2">
        <v>41587.97</v>
      </c>
      <c r="R1236" s="2">
        <v>3813.78</v>
      </c>
      <c r="S1236" t="s">
        <v>36</v>
      </c>
      <c r="T1236" t="s">
        <v>37</v>
      </c>
      <c r="U1236" t="s">
        <v>53</v>
      </c>
      <c r="V1236">
        <v>1.8</v>
      </c>
      <c r="W1236" t="s">
        <v>124</v>
      </c>
      <c r="X1236" t="s">
        <v>40</v>
      </c>
      <c r="Y1236" t="s">
        <v>72</v>
      </c>
    </row>
    <row r="1237" spans="1:25" x14ac:dyDescent="0.3">
      <c r="A1237" t="s">
        <v>2551</v>
      </c>
      <c r="B1237" s="1">
        <v>46161</v>
      </c>
      <c r="C1237" t="s">
        <v>78</v>
      </c>
      <c r="D1237" t="s">
        <v>58</v>
      </c>
      <c r="E1237" t="s">
        <v>45</v>
      </c>
      <c r="F1237" t="s">
        <v>28</v>
      </c>
      <c r="G1237" t="s">
        <v>29</v>
      </c>
      <c r="H1237" t="s">
        <v>67</v>
      </c>
      <c r="I1237">
        <v>5</v>
      </c>
      <c r="J1237" t="s">
        <v>2552</v>
      </c>
      <c r="K1237">
        <v>62</v>
      </c>
      <c r="L1237" t="s">
        <v>32</v>
      </c>
      <c r="M1237">
        <v>1</v>
      </c>
      <c r="N1237" t="s">
        <v>64</v>
      </c>
      <c r="O1237" t="s">
        <v>81</v>
      </c>
      <c r="P1237" t="s">
        <v>70</v>
      </c>
      <c r="Q1237" s="2">
        <v>27376.58</v>
      </c>
      <c r="R1237" s="2">
        <v>602.63</v>
      </c>
      <c r="S1237" t="s">
        <v>36</v>
      </c>
      <c r="T1237" t="s">
        <v>52</v>
      </c>
      <c r="U1237" t="s">
        <v>75</v>
      </c>
      <c r="V1237">
        <v>3.7</v>
      </c>
      <c r="W1237" t="s">
        <v>54</v>
      </c>
      <c r="X1237" t="s">
        <v>55</v>
      </c>
      <c r="Y1237" t="s">
        <v>41</v>
      </c>
    </row>
    <row r="1238" spans="1:25" x14ac:dyDescent="0.3">
      <c r="A1238" t="s">
        <v>2553</v>
      </c>
      <c r="B1238" s="1">
        <v>46162</v>
      </c>
      <c r="C1238" t="s">
        <v>43</v>
      </c>
      <c r="D1238" t="s">
        <v>58</v>
      </c>
      <c r="E1238" t="s">
        <v>120</v>
      </c>
      <c r="F1238" t="s">
        <v>28</v>
      </c>
      <c r="G1238" t="s">
        <v>29</v>
      </c>
      <c r="H1238" t="s">
        <v>86</v>
      </c>
      <c r="I1238">
        <v>3</v>
      </c>
      <c r="J1238" t="s">
        <v>2554</v>
      </c>
      <c r="K1238">
        <v>23</v>
      </c>
      <c r="L1238" t="s">
        <v>32</v>
      </c>
      <c r="M1238">
        <v>1</v>
      </c>
      <c r="N1238" t="s">
        <v>64</v>
      </c>
      <c r="O1238" t="s">
        <v>69</v>
      </c>
      <c r="P1238" t="s">
        <v>82</v>
      </c>
      <c r="Q1238" s="2">
        <v>48048.54</v>
      </c>
      <c r="R1238" s="2">
        <v>3813.82</v>
      </c>
      <c r="S1238" t="s">
        <v>36</v>
      </c>
      <c r="T1238" t="s">
        <v>37</v>
      </c>
      <c r="U1238" t="s">
        <v>75</v>
      </c>
      <c r="V1238">
        <v>2.6</v>
      </c>
      <c r="W1238" t="s">
        <v>76</v>
      </c>
      <c r="X1238" t="s">
        <v>106</v>
      </c>
      <c r="Y1238" t="s">
        <v>41</v>
      </c>
    </row>
    <row r="1239" spans="1:25" x14ac:dyDescent="0.3">
      <c r="A1239" t="s">
        <v>2555</v>
      </c>
      <c r="B1239" s="1">
        <v>46163</v>
      </c>
      <c r="C1239" t="s">
        <v>117</v>
      </c>
      <c r="D1239" t="s">
        <v>4083</v>
      </c>
      <c r="E1239" t="s">
        <v>120</v>
      </c>
      <c r="F1239" t="s">
        <v>28</v>
      </c>
      <c r="G1239" t="s">
        <v>29</v>
      </c>
      <c r="H1239" t="s">
        <v>86</v>
      </c>
      <c r="I1239">
        <v>12</v>
      </c>
      <c r="J1239" t="s">
        <v>2556</v>
      </c>
      <c r="K1239">
        <v>45</v>
      </c>
      <c r="L1239" t="s">
        <v>32</v>
      </c>
      <c r="M1239">
        <v>7</v>
      </c>
      <c r="N1239" t="s">
        <v>91</v>
      </c>
      <c r="O1239" t="s">
        <v>49</v>
      </c>
      <c r="P1239" t="s">
        <v>70</v>
      </c>
      <c r="Q1239" s="2">
        <v>38870.230000000003</v>
      </c>
      <c r="R1239" s="2">
        <v>2198.64</v>
      </c>
      <c r="S1239" t="s">
        <v>94</v>
      </c>
      <c r="T1239" t="s">
        <v>71</v>
      </c>
      <c r="U1239" t="s">
        <v>83</v>
      </c>
      <c r="V1239">
        <v>1.5</v>
      </c>
      <c r="W1239" t="s">
        <v>124</v>
      </c>
      <c r="X1239" t="s">
        <v>65</v>
      </c>
      <c r="Y1239" t="s">
        <v>72</v>
      </c>
    </row>
    <row r="1240" spans="1:25" x14ac:dyDescent="0.3">
      <c r="A1240" t="s">
        <v>2557</v>
      </c>
      <c r="B1240" s="1">
        <v>46164</v>
      </c>
      <c r="C1240" t="s">
        <v>117</v>
      </c>
      <c r="D1240" t="s">
        <v>4083</v>
      </c>
      <c r="E1240" t="s">
        <v>4085</v>
      </c>
      <c r="F1240" t="s">
        <v>60</v>
      </c>
      <c r="G1240" t="s">
        <v>29</v>
      </c>
      <c r="H1240" t="s">
        <v>46</v>
      </c>
      <c r="I1240">
        <v>5</v>
      </c>
      <c r="J1240" t="s">
        <v>2558</v>
      </c>
      <c r="K1240">
        <v>22</v>
      </c>
      <c r="L1240" t="s">
        <v>80</v>
      </c>
      <c r="M1240">
        <v>2</v>
      </c>
      <c r="N1240" t="s">
        <v>33</v>
      </c>
      <c r="O1240" t="s">
        <v>69</v>
      </c>
      <c r="P1240" t="s">
        <v>82</v>
      </c>
      <c r="Q1240" s="2">
        <v>12701.37</v>
      </c>
      <c r="R1240" s="2">
        <v>4277.75</v>
      </c>
      <c r="S1240" t="s">
        <v>115</v>
      </c>
      <c r="T1240" t="s">
        <v>37</v>
      </c>
      <c r="U1240" t="s">
        <v>83</v>
      </c>
      <c r="V1240">
        <v>1.5</v>
      </c>
      <c r="W1240" t="s">
        <v>124</v>
      </c>
      <c r="X1240" t="s">
        <v>84</v>
      </c>
      <c r="Y1240" t="s">
        <v>41</v>
      </c>
    </row>
    <row r="1241" spans="1:25" x14ac:dyDescent="0.3">
      <c r="A1241" t="s">
        <v>2559</v>
      </c>
      <c r="B1241" s="1">
        <v>46165</v>
      </c>
      <c r="C1241" t="s">
        <v>117</v>
      </c>
      <c r="D1241" t="s">
        <v>4083</v>
      </c>
      <c r="E1241" t="s">
        <v>45</v>
      </c>
      <c r="F1241" t="s">
        <v>28</v>
      </c>
      <c r="G1241" t="s">
        <v>29</v>
      </c>
      <c r="H1241" t="s">
        <v>67</v>
      </c>
      <c r="I1241">
        <v>11</v>
      </c>
      <c r="J1241" t="s">
        <v>2560</v>
      </c>
      <c r="K1241">
        <v>66</v>
      </c>
      <c r="L1241" t="s">
        <v>32</v>
      </c>
      <c r="M1241">
        <v>2</v>
      </c>
      <c r="N1241" t="s">
        <v>91</v>
      </c>
      <c r="O1241" t="s">
        <v>69</v>
      </c>
      <c r="P1241" t="s">
        <v>70</v>
      </c>
      <c r="Q1241" s="2">
        <v>42331.3</v>
      </c>
      <c r="R1241" s="2">
        <v>3694.65</v>
      </c>
      <c r="S1241" t="s">
        <v>36</v>
      </c>
      <c r="T1241" t="s">
        <v>71</v>
      </c>
      <c r="U1241" t="s">
        <v>83</v>
      </c>
      <c r="V1241">
        <v>2.2999999999999998</v>
      </c>
      <c r="W1241" t="s">
        <v>76</v>
      </c>
      <c r="X1241" t="s">
        <v>84</v>
      </c>
      <c r="Y1241" t="s">
        <v>41</v>
      </c>
    </row>
    <row r="1242" spans="1:25" x14ac:dyDescent="0.3">
      <c r="A1242" t="s">
        <v>2561</v>
      </c>
      <c r="B1242" s="1">
        <v>46166</v>
      </c>
      <c r="C1242" t="s">
        <v>117</v>
      </c>
      <c r="D1242" t="s">
        <v>4083</v>
      </c>
      <c r="E1242" t="s">
        <v>89</v>
      </c>
      <c r="F1242" t="s">
        <v>28</v>
      </c>
      <c r="G1242" t="s">
        <v>29</v>
      </c>
      <c r="H1242" t="s">
        <v>61</v>
      </c>
      <c r="I1242">
        <v>12</v>
      </c>
      <c r="J1242" t="s">
        <v>2562</v>
      </c>
      <c r="K1242">
        <v>56</v>
      </c>
      <c r="L1242" t="s">
        <v>63</v>
      </c>
      <c r="M1242">
        <v>4</v>
      </c>
      <c r="N1242" t="s">
        <v>48</v>
      </c>
      <c r="O1242" t="s">
        <v>69</v>
      </c>
      <c r="P1242" t="s">
        <v>50</v>
      </c>
      <c r="Q1242" s="2">
        <v>29821.439999999999</v>
      </c>
      <c r="R1242" s="2">
        <v>1882.6</v>
      </c>
      <c r="S1242" t="s">
        <v>94</v>
      </c>
      <c r="T1242" t="s">
        <v>52</v>
      </c>
      <c r="U1242" t="s">
        <v>53</v>
      </c>
      <c r="V1242">
        <v>4</v>
      </c>
      <c r="W1242" t="s">
        <v>54</v>
      </c>
      <c r="X1242" t="s">
        <v>55</v>
      </c>
      <c r="Y1242" t="s">
        <v>41</v>
      </c>
    </row>
    <row r="1243" spans="1:25" x14ac:dyDescent="0.3">
      <c r="A1243" t="s">
        <v>2563</v>
      </c>
      <c r="B1243" s="1">
        <v>46167</v>
      </c>
      <c r="C1243" t="s">
        <v>117</v>
      </c>
      <c r="D1243" t="s">
        <v>4083</v>
      </c>
      <c r="E1243" t="s">
        <v>45</v>
      </c>
      <c r="F1243" t="s">
        <v>28</v>
      </c>
      <c r="G1243" t="s">
        <v>29</v>
      </c>
      <c r="H1243" t="s">
        <v>67</v>
      </c>
      <c r="I1243">
        <v>13</v>
      </c>
      <c r="J1243" t="s">
        <v>2564</v>
      </c>
      <c r="K1243">
        <v>55</v>
      </c>
      <c r="L1243" t="s">
        <v>63</v>
      </c>
      <c r="M1243">
        <v>5</v>
      </c>
      <c r="N1243" t="s">
        <v>64</v>
      </c>
      <c r="O1243" t="s">
        <v>81</v>
      </c>
      <c r="P1243" t="s">
        <v>50</v>
      </c>
      <c r="Q1243" s="2">
        <v>49300.74</v>
      </c>
      <c r="R1243" s="2">
        <v>4517.7</v>
      </c>
      <c r="S1243" t="s">
        <v>36</v>
      </c>
      <c r="T1243" t="s">
        <v>71</v>
      </c>
      <c r="U1243" t="s">
        <v>38</v>
      </c>
      <c r="V1243">
        <v>1.1000000000000001</v>
      </c>
      <c r="W1243" t="s">
        <v>124</v>
      </c>
      <c r="X1243" t="s">
        <v>106</v>
      </c>
      <c r="Y1243" t="s">
        <v>41</v>
      </c>
    </row>
    <row r="1244" spans="1:25" x14ac:dyDescent="0.3">
      <c r="A1244" t="s">
        <v>2565</v>
      </c>
      <c r="B1244" s="1">
        <v>46168</v>
      </c>
      <c r="C1244" t="s">
        <v>43</v>
      </c>
      <c r="D1244" t="s">
        <v>58</v>
      </c>
      <c r="E1244" t="s">
        <v>4084</v>
      </c>
      <c r="F1244" t="s">
        <v>60</v>
      </c>
      <c r="G1244" t="s">
        <v>29</v>
      </c>
      <c r="H1244" t="s">
        <v>30</v>
      </c>
      <c r="I1244">
        <v>13</v>
      </c>
      <c r="J1244" t="s">
        <v>2566</v>
      </c>
      <c r="K1244">
        <v>19</v>
      </c>
      <c r="L1244" t="s">
        <v>32</v>
      </c>
      <c r="M1244">
        <v>7</v>
      </c>
      <c r="N1244" t="s">
        <v>33</v>
      </c>
      <c r="O1244" t="s">
        <v>34</v>
      </c>
      <c r="P1244" t="s">
        <v>35</v>
      </c>
      <c r="Q1244" s="2">
        <v>37346.86</v>
      </c>
      <c r="R1244" s="2">
        <v>1416.69</v>
      </c>
      <c r="S1244" t="s">
        <v>51</v>
      </c>
      <c r="T1244" t="s">
        <v>71</v>
      </c>
      <c r="U1244" t="s">
        <v>83</v>
      </c>
      <c r="V1244">
        <v>2</v>
      </c>
      <c r="W1244" t="s">
        <v>76</v>
      </c>
      <c r="X1244" t="s">
        <v>40</v>
      </c>
      <c r="Y1244" t="s">
        <v>41</v>
      </c>
    </row>
    <row r="1245" spans="1:25" x14ac:dyDescent="0.3">
      <c r="A1245" t="s">
        <v>2567</v>
      </c>
      <c r="B1245" s="1">
        <v>46169</v>
      </c>
      <c r="C1245" t="s">
        <v>57</v>
      </c>
      <c r="D1245" t="s">
        <v>44</v>
      </c>
      <c r="E1245" t="s">
        <v>120</v>
      </c>
      <c r="F1245" t="s">
        <v>28</v>
      </c>
      <c r="G1245" t="s">
        <v>29</v>
      </c>
      <c r="H1245" t="s">
        <v>86</v>
      </c>
      <c r="I1245">
        <v>8</v>
      </c>
      <c r="J1245" t="s">
        <v>2568</v>
      </c>
      <c r="K1245">
        <v>60</v>
      </c>
      <c r="L1245" t="s">
        <v>32</v>
      </c>
      <c r="M1245">
        <v>3</v>
      </c>
      <c r="N1245" t="s">
        <v>33</v>
      </c>
      <c r="O1245" t="s">
        <v>49</v>
      </c>
      <c r="P1245" t="s">
        <v>82</v>
      </c>
      <c r="Q1245" s="2">
        <v>8797.58</v>
      </c>
      <c r="R1245" s="2">
        <v>4834.9399999999996</v>
      </c>
      <c r="S1245" t="s">
        <v>94</v>
      </c>
      <c r="T1245" t="s">
        <v>37</v>
      </c>
      <c r="U1245" t="s">
        <v>53</v>
      </c>
      <c r="V1245">
        <v>1.6</v>
      </c>
      <c r="W1245" t="s">
        <v>124</v>
      </c>
      <c r="X1245" t="s">
        <v>106</v>
      </c>
      <c r="Y1245" t="s">
        <v>41</v>
      </c>
    </row>
    <row r="1246" spans="1:25" x14ac:dyDescent="0.3">
      <c r="A1246" t="s">
        <v>2569</v>
      </c>
      <c r="B1246" s="1">
        <v>46170</v>
      </c>
      <c r="C1246" t="s">
        <v>78</v>
      </c>
      <c r="D1246" t="s">
        <v>58</v>
      </c>
      <c r="E1246" t="s">
        <v>4084</v>
      </c>
      <c r="F1246" t="s">
        <v>60</v>
      </c>
      <c r="G1246" t="s">
        <v>29</v>
      </c>
      <c r="H1246" t="s">
        <v>27</v>
      </c>
      <c r="I1246">
        <v>13</v>
      </c>
      <c r="J1246" t="s">
        <v>2570</v>
      </c>
      <c r="K1246">
        <v>56</v>
      </c>
      <c r="L1246" t="s">
        <v>63</v>
      </c>
      <c r="M1246">
        <v>5</v>
      </c>
      <c r="N1246" t="s">
        <v>33</v>
      </c>
      <c r="O1246" t="s">
        <v>81</v>
      </c>
      <c r="P1246" t="s">
        <v>82</v>
      </c>
      <c r="Q1246" s="2">
        <v>22773.22</v>
      </c>
      <c r="R1246" s="2">
        <v>3836.02</v>
      </c>
      <c r="S1246" t="s">
        <v>36</v>
      </c>
      <c r="T1246" t="s">
        <v>71</v>
      </c>
      <c r="U1246" t="s">
        <v>83</v>
      </c>
      <c r="V1246">
        <v>4.8</v>
      </c>
      <c r="W1246" t="s">
        <v>103</v>
      </c>
      <c r="X1246" t="s">
        <v>55</v>
      </c>
      <c r="Y1246" t="s">
        <v>41</v>
      </c>
    </row>
    <row r="1247" spans="1:25" x14ac:dyDescent="0.3">
      <c r="A1247" t="s">
        <v>2571</v>
      </c>
      <c r="B1247" s="1">
        <v>46171</v>
      </c>
      <c r="C1247" t="s">
        <v>117</v>
      </c>
      <c r="D1247" t="s">
        <v>4083</v>
      </c>
      <c r="E1247" t="s">
        <v>89</v>
      </c>
      <c r="F1247" t="s">
        <v>28</v>
      </c>
      <c r="G1247" t="s">
        <v>29</v>
      </c>
      <c r="H1247" t="s">
        <v>61</v>
      </c>
      <c r="I1247">
        <v>8</v>
      </c>
      <c r="J1247" t="s">
        <v>2572</v>
      </c>
      <c r="K1247">
        <v>38</v>
      </c>
      <c r="L1247" t="s">
        <v>32</v>
      </c>
      <c r="M1247">
        <v>3</v>
      </c>
      <c r="N1247" t="s">
        <v>64</v>
      </c>
      <c r="O1247" t="s">
        <v>49</v>
      </c>
      <c r="P1247" t="s">
        <v>35</v>
      </c>
      <c r="Q1247" s="2">
        <v>28277.39</v>
      </c>
      <c r="R1247" s="2">
        <v>4953.37</v>
      </c>
      <c r="S1247" t="s">
        <v>36</v>
      </c>
      <c r="T1247" t="s">
        <v>52</v>
      </c>
      <c r="U1247" t="s">
        <v>53</v>
      </c>
      <c r="V1247">
        <v>3.8</v>
      </c>
      <c r="W1247" t="s">
        <v>54</v>
      </c>
      <c r="X1247" t="s">
        <v>106</v>
      </c>
      <c r="Y1247" t="s">
        <v>41</v>
      </c>
    </row>
    <row r="1248" spans="1:25" x14ac:dyDescent="0.3">
      <c r="A1248" t="s">
        <v>2573</v>
      </c>
      <c r="B1248" s="1">
        <v>46172</v>
      </c>
      <c r="C1248" t="s">
        <v>57</v>
      </c>
      <c r="D1248" t="s">
        <v>44</v>
      </c>
      <c r="E1248" t="s">
        <v>4084</v>
      </c>
      <c r="F1248" t="s">
        <v>60</v>
      </c>
      <c r="G1248" t="s">
        <v>29</v>
      </c>
      <c r="H1248" t="s">
        <v>27</v>
      </c>
      <c r="I1248">
        <v>6</v>
      </c>
      <c r="J1248" t="s">
        <v>2574</v>
      </c>
      <c r="K1248">
        <v>57</v>
      </c>
      <c r="L1248" t="s">
        <v>80</v>
      </c>
      <c r="M1248">
        <v>1</v>
      </c>
      <c r="N1248" t="s">
        <v>91</v>
      </c>
      <c r="O1248" t="s">
        <v>81</v>
      </c>
      <c r="P1248" t="s">
        <v>70</v>
      </c>
      <c r="Q1248" s="2">
        <v>42755.61</v>
      </c>
      <c r="R1248" s="2">
        <v>269.52</v>
      </c>
      <c r="S1248" t="s">
        <v>51</v>
      </c>
      <c r="T1248" t="s">
        <v>52</v>
      </c>
      <c r="U1248" t="s">
        <v>75</v>
      </c>
      <c r="V1248">
        <v>1.9</v>
      </c>
      <c r="W1248" t="s">
        <v>124</v>
      </c>
      <c r="X1248" t="s">
        <v>55</v>
      </c>
      <c r="Y1248" t="s">
        <v>41</v>
      </c>
    </row>
    <row r="1249" spans="1:25" x14ac:dyDescent="0.3">
      <c r="A1249" t="s">
        <v>2575</v>
      </c>
      <c r="B1249" s="1">
        <v>46173</v>
      </c>
      <c r="C1249" t="s">
        <v>57</v>
      </c>
      <c r="D1249" t="s">
        <v>44</v>
      </c>
      <c r="E1249" t="s">
        <v>45</v>
      </c>
      <c r="F1249" t="s">
        <v>28</v>
      </c>
      <c r="G1249" t="s">
        <v>29</v>
      </c>
      <c r="H1249" t="s">
        <v>67</v>
      </c>
      <c r="I1249">
        <v>10</v>
      </c>
      <c r="J1249" t="s">
        <v>2576</v>
      </c>
      <c r="K1249">
        <v>54</v>
      </c>
      <c r="L1249" t="s">
        <v>32</v>
      </c>
      <c r="M1249">
        <v>6</v>
      </c>
      <c r="N1249" t="s">
        <v>64</v>
      </c>
      <c r="O1249" t="s">
        <v>34</v>
      </c>
      <c r="P1249" t="s">
        <v>35</v>
      </c>
      <c r="Q1249" s="2">
        <v>37820.550000000003</v>
      </c>
      <c r="R1249" s="2">
        <v>1370.18</v>
      </c>
      <c r="S1249" t="s">
        <v>51</v>
      </c>
      <c r="T1249" t="s">
        <v>71</v>
      </c>
      <c r="U1249" t="s">
        <v>53</v>
      </c>
      <c r="V1249">
        <v>1.8</v>
      </c>
      <c r="W1249" t="s">
        <v>124</v>
      </c>
      <c r="X1249" t="s">
        <v>106</v>
      </c>
      <c r="Y1249" t="s">
        <v>72</v>
      </c>
    </row>
    <row r="1250" spans="1:25" x14ac:dyDescent="0.3">
      <c r="A1250" t="s">
        <v>2577</v>
      </c>
      <c r="B1250" s="1">
        <v>46174</v>
      </c>
      <c r="C1250" t="s">
        <v>78</v>
      </c>
      <c r="D1250" t="s">
        <v>58</v>
      </c>
      <c r="E1250" t="s">
        <v>4084</v>
      </c>
      <c r="F1250" t="s">
        <v>60</v>
      </c>
      <c r="G1250" t="s">
        <v>29</v>
      </c>
      <c r="H1250" t="s">
        <v>30</v>
      </c>
      <c r="I1250">
        <v>7</v>
      </c>
      <c r="J1250" t="s">
        <v>2578</v>
      </c>
      <c r="K1250">
        <v>35</v>
      </c>
      <c r="L1250" t="s">
        <v>80</v>
      </c>
      <c r="M1250">
        <v>6</v>
      </c>
      <c r="N1250" t="s">
        <v>91</v>
      </c>
      <c r="O1250" t="s">
        <v>49</v>
      </c>
      <c r="P1250" t="s">
        <v>70</v>
      </c>
      <c r="Q1250" s="2">
        <v>21621.200000000001</v>
      </c>
      <c r="R1250" s="2">
        <v>3706.32</v>
      </c>
      <c r="S1250" t="s">
        <v>36</v>
      </c>
      <c r="T1250" t="s">
        <v>37</v>
      </c>
      <c r="U1250" t="s">
        <v>75</v>
      </c>
      <c r="V1250">
        <v>4.4000000000000004</v>
      </c>
      <c r="W1250" t="s">
        <v>39</v>
      </c>
      <c r="X1250" t="s">
        <v>65</v>
      </c>
      <c r="Y1250" t="s">
        <v>41</v>
      </c>
    </row>
    <row r="1251" spans="1:25" x14ac:dyDescent="0.3">
      <c r="A1251" t="s">
        <v>2579</v>
      </c>
      <c r="B1251" s="1">
        <v>46175</v>
      </c>
      <c r="C1251" t="s">
        <v>43</v>
      </c>
      <c r="D1251" t="s">
        <v>58</v>
      </c>
      <c r="E1251" t="s">
        <v>89</v>
      </c>
      <c r="F1251" t="s">
        <v>28</v>
      </c>
      <c r="G1251" t="s">
        <v>29</v>
      </c>
      <c r="H1251" t="s">
        <v>61</v>
      </c>
      <c r="I1251">
        <v>9</v>
      </c>
      <c r="J1251" t="s">
        <v>2580</v>
      </c>
      <c r="K1251">
        <v>65</v>
      </c>
      <c r="L1251" t="s">
        <v>80</v>
      </c>
      <c r="M1251">
        <v>7</v>
      </c>
      <c r="N1251" t="s">
        <v>48</v>
      </c>
      <c r="O1251" t="s">
        <v>69</v>
      </c>
      <c r="P1251" t="s">
        <v>35</v>
      </c>
      <c r="Q1251" s="2">
        <v>34404.47</v>
      </c>
      <c r="R1251" s="2">
        <v>4611.25</v>
      </c>
      <c r="S1251" t="s">
        <v>36</v>
      </c>
      <c r="T1251" t="s">
        <v>52</v>
      </c>
      <c r="U1251" t="s">
        <v>53</v>
      </c>
      <c r="V1251">
        <v>1.8</v>
      </c>
      <c r="W1251" t="s">
        <v>124</v>
      </c>
      <c r="X1251" t="s">
        <v>84</v>
      </c>
      <c r="Y1251" t="s">
        <v>41</v>
      </c>
    </row>
    <row r="1252" spans="1:25" x14ac:dyDescent="0.3">
      <c r="A1252" t="s">
        <v>2581</v>
      </c>
      <c r="B1252" s="1">
        <v>46176</v>
      </c>
      <c r="C1252" t="s">
        <v>26</v>
      </c>
      <c r="D1252" t="s">
        <v>26</v>
      </c>
      <c r="E1252" t="s">
        <v>89</v>
      </c>
      <c r="F1252" t="s">
        <v>28</v>
      </c>
      <c r="G1252" t="s">
        <v>29</v>
      </c>
      <c r="H1252" t="s">
        <v>61</v>
      </c>
      <c r="I1252">
        <v>11</v>
      </c>
      <c r="J1252" t="s">
        <v>2582</v>
      </c>
      <c r="K1252">
        <v>63</v>
      </c>
      <c r="L1252" t="s">
        <v>80</v>
      </c>
      <c r="M1252">
        <v>2</v>
      </c>
      <c r="N1252" t="s">
        <v>48</v>
      </c>
      <c r="O1252" t="s">
        <v>81</v>
      </c>
      <c r="P1252" t="s">
        <v>82</v>
      </c>
      <c r="Q1252" s="2">
        <v>30960.99</v>
      </c>
      <c r="R1252" s="2">
        <v>143.85</v>
      </c>
      <c r="S1252" t="s">
        <v>115</v>
      </c>
      <c r="T1252" t="s">
        <v>52</v>
      </c>
      <c r="U1252" t="s">
        <v>38</v>
      </c>
      <c r="V1252">
        <v>5</v>
      </c>
      <c r="W1252" t="s">
        <v>103</v>
      </c>
      <c r="X1252" t="s">
        <v>55</v>
      </c>
      <c r="Y1252" t="s">
        <v>72</v>
      </c>
    </row>
    <row r="1253" spans="1:25" x14ac:dyDescent="0.3">
      <c r="A1253" t="s">
        <v>2583</v>
      </c>
      <c r="B1253" s="1">
        <v>46177</v>
      </c>
      <c r="C1253" t="s">
        <v>26</v>
      </c>
      <c r="D1253" t="s">
        <v>26</v>
      </c>
      <c r="E1253" t="s">
        <v>89</v>
      </c>
      <c r="F1253" t="s">
        <v>28</v>
      </c>
      <c r="G1253" t="s">
        <v>29</v>
      </c>
      <c r="H1253" t="s">
        <v>61</v>
      </c>
      <c r="I1253">
        <v>7</v>
      </c>
      <c r="J1253" t="s">
        <v>2584</v>
      </c>
      <c r="K1253">
        <v>29</v>
      </c>
      <c r="L1253" t="s">
        <v>32</v>
      </c>
      <c r="M1253">
        <v>2</v>
      </c>
      <c r="N1253" t="s">
        <v>91</v>
      </c>
      <c r="O1253" t="s">
        <v>49</v>
      </c>
      <c r="P1253" t="s">
        <v>82</v>
      </c>
      <c r="Q1253" s="2">
        <v>10672.37</v>
      </c>
      <c r="R1253" s="2">
        <v>0.05</v>
      </c>
      <c r="S1253" t="s">
        <v>36</v>
      </c>
      <c r="T1253" t="s">
        <v>71</v>
      </c>
      <c r="U1253" t="s">
        <v>53</v>
      </c>
      <c r="V1253">
        <v>2.1</v>
      </c>
      <c r="W1253" t="s">
        <v>76</v>
      </c>
      <c r="X1253" t="s">
        <v>55</v>
      </c>
      <c r="Y1253" t="s">
        <v>72</v>
      </c>
    </row>
    <row r="1254" spans="1:25" x14ac:dyDescent="0.3">
      <c r="A1254" t="s">
        <v>2585</v>
      </c>
      <c r="B1254" s="1">
        <v>46178</v>
      </c>
      <c r="C1254" t="s">
        <v>57</v>
      </c>
      <c r="D1254" t="s">
        <v>44</v>
      </c>
      <c r="E1254" t="s">
        <v>45</v>
      </c>
      <c r="F1254" t="s">
        <v>28</v>
      </c>
      <c r="G1254" t="s">
        <v>29</v>
      </c>
      <c r="H1254" t="s">
        <v>67</v>
      </c>
      <c r="I1254">
        <v>13</v>
      </c>
      <c r="J1254" t="s">
        <v>2586</v>
      </c>
      <c r="K1254">
        <v>34</v>
      </c>
      <c r="L1254" t="s">
        <v>80</v>
      </c>
      <c r="M1254">
        <v>1</v>
      </c>
      <c r="N1254" t="s">
        <v>48</v>
      </c>
      <c r="O1254" t="s">
        <v>34</v>
      </c>
      <c r="P1254" t="s">
        <v>70</v>
      </c>
      <c r="Q1254" s="2">
        <v>15568.64</v>
      </c>
      <c r="R1254" s="2">
        <v>1281.21</v>
      </c>
      <c r="S1254" t="s">
        <v>36</v>
      </c>
      <c r="T1254" t="s">
        <v>71</v>
      </c>
      <c r="U1254" t="s">
        <v>75</v>
      </c>
      <c r="V1254">
        <v>1.3</v>
      </c>
      <c r="W1254" t="s">
        <v>124</v>
      </c>
      <c r="X1254" t="s">
        <v>84</v>
      </c>
      <c r="Y1254" t="s">
        <v>72</v>
      </c>
    </row>
    <row r="1255" spans="1:25" x14ac:dyDescent="0.3">
      <c r="A1255" t="s">
        <v>2587</v>
      </c>
      <c r="B1255" s="1">
        <v>46179</v>
      </c>
      <c r="C1255" t="s">
        <v>78</v>
      </c>
      <c r="D1255" t="s">
        <v>58</v>
      </c>
      <c r="E1255" t="s">
        <v>89</v>
      </c>
      <c r="F1255" t="s">
        <v>28</v>
      </c>
      <c r="G1255" t="s">
        <v>29</v>
      </c>
      <c r="H1255" t="s">
        <v>61</v>
      </c>
      <c r="I1255">
        <v>7</v>
      </c>
      <c r="J1255" t="s">
        <v>2588</v>
      </c>
      <c r="K1255">
        <v>54</v>
      </c>
      <c r="L1255" t="s">
        <v>80</v>
      </c>
      <c r="M1255">
        <v>1</v>
      </c>
      <c r="N1255" t="s">
        <v>48</v>
      </c>
      <c r="O1255" t="s">
        <v>49</v>
      </c>
      <c r="P1255" t="s">
        <v>82</v>
      </c>
      <c r="Q1255" s="2">
        <v>20350.5</v>
      </c>
      <c r="R1255" s="2">
        <v>4263.8900000000003</v>
      </c>
      <c r="S1255" t="s">
        <v>115</v>
      </c>
      <c r="T1255" t="s">
        <v>52</v>
      </c>
      <c r="U1255" t="s">
        <v>38</v>
      </c>
      <c r="V1255">
        <v>3.8</v>
      </c>
      <c r="W1255" t="s">
        <v>39</v>
      </c>
      <c r="X1255" t="s">
        <v>40</v>
      </c>
      <c r="Y1255" t="s">
        <v>72</v>
      </c>
    </row>
    <row r="1256" spans="1:25" x14ac:dyDescent="0.3">
      <c r="A1256" t="s">
        <v>2589</v>
      </c>
      <c r="B1256" s="1">
        <v>46180</v>
      </c>
      <c r="C1256" t="s">
        <v>26</v>
      </c>
      <c r="D1256" t="s">
        <v>26</v>
      </c>
      <c r="E1256" t="s">
        <v>120</v>
      </c>
      <c r="F1256" t="s">
        <v>28</v>
      </c>
      <c r="G1256" t="s">
        <v>29</v>
      </c>
      <c r="H1256" t="s">
        <v>86</v>
      </c>
      <c r="I1256">
        <v>6</v>
      </c>
      <c r="J1256" t="s">
        <v>2590</v>
      </c>
      <c r="K1256">
        <v>63</v>
      </c>
      <c r="L1256" t="s">
        <v>32</v>
      </c>
      <c r="M1256">
        <v>3</v>
      </c>
      <c r="N1256" t="s">
        <v>33</v>
      </c>
      <c r="O1256" t="s">
        <v>81</v>
      </c>
      <c r="P1256" t="s">
        <v>82</v>
      </c>
      <c r="Q1256" s="2">
        <v>13796.75</v>
      </c>
      <c r="R1256" s="2">
        <v>3835.77</v>
      </c>
      <c r="S1256" t="s">
        <v>115</v>
      </c>
      <c r="T1256" t="s">
        <v>71</v>
      </c>
      <c r="U1256" t="s">
        <v>53</v>
      </c>
      <c r="V1256">
        <v>3.4</v>
      </c>
      <c r="W1256" t="s">
        <v>76</v>
      </c>
      <c r="X1256" t="s">
        <v>55</v>
      </c>
      <c r="Y1256" t="s">
        <v>41</v>
      </c>
    </row>
    <row r="1257" spans="1:25" x14ac:dyDescent="0.3">
      <c r="A1257" t="s">
        <v>2591</v>
      </c>
      <c r="B1257" s="1">
        <v>46181</v>
      </c>
      <c r="C1257" t="s">
        <v>57</v>
      </c>
      <c r="D1257" t="s">
        <v>44</v>
      </c>
      <c r="E1257" t="s">
        <v>89</v>
      </c>
      <c r="F1257" t="s">
        <v>28</v>
      </c>
      <c r="G1257" t="s">
        <v>29</v>
      </c>
      <c r="H1257" t="s">
        <v>61</v>
      </c>
      <c r="I1257">
        <v>8</v>
      </c>
      <c r="J1257" t="s">
        <v>2592</v>
      </c>
      <c r="K1257">
        <v>55</v>
      </c>
      <c r="L1257" t="s">
        <v>80</v>
      </c>
      <c r="M1257">
        <v>1</v>
      </c>
      <c r="N1257" t="s">
        <v>33</v>
      </c>
      <c r="O1257" t="s">
        <v>34</v>
      </c>
      <c r="P1257" t="s">
        <v>82</v>
      </c>
      <c r="Q1257" s="2">
        <v>11756.02</v>
      </c>
      <c r="R1257" s="2">
        <v>1701.39</v>
      </c>
      <c r="S1257" t="s">
        <v>36</v>
      </c>
      <c r="T1257" t="s">
        <v>71</v>
      </c>
      <c r="U1257" t="s">
        <v>53</v>
      </c>
      <c r="V1257">
        <v>5</v>
      </c>
      <c r="W1257" t="s">
        <v>103</v>
      </c>
      <c r="X1257" t="s">
        <v>65</v>
      </c>
      <c r="Y1257" t="s">
        <v>41</v>
      </c>
    </row>
    <row r="1258" spans="1:25" x14ac:dyDescent="0.3">
      <c r="A1258" t="s">
        <v>2593</v>
      </c>
      <c r="B1258" s="1">
        <v>46182</v>
      </c>
      <c r="C1258" t="s">
        <v>43</v>
      </c>
      <c r="D1258" t="s">
        <v>58</v>
      </c>
      <c r="E1258" t="s">
        <v>4084</v>
      </c>
      <c r="F1258" t="s">
        <v>60</v>
      </c>
      <c r="G1258" t="s">
        <v>29</v>
      </c>
      <c r="H1258" t="s">
        <v>30</v>
      </c>
      <c r="I1258">
        <v>4</v>
      </c>
      <c r="J1258" t="s">
        <v>2594</v>
      </c>
      <c r="K1258">
        <v>32</v>
      </c>
      <c r="L1258" t="s">
        <v>32</v>
      </c>
      <c r="M1258">
        <v>7</v>
      </c>
      <c r="N1258" t="s">
        <v>64</v>
      </c>
      <c r="O1258" t="s">
        <v>69</v>
      </c>
      <c r="P1258" t="s">
        <v>82</v>
      </c>
      <c r="Q1258" s="2">
        <v>7618.9</v>
      </c>
      <c r="R1258" s="2">
        <v>10.06</v>
      </c>
      <c r="S1258" t="s">
        <v>115</v>
      </c>
      <c r="T1258" t="s">
        <v>52</v>
      </c>
      <c r="U1258" t="s">
        <v>83</v>
      </c>
      <c r="V1258">
        <v>4.2</v>
      </c>
      <c r="W1258" t="s">
        <v>54</v>
      </c>
      <c r="X1258" t="s">
        <v>106</v>
      </c>
      <c r="Y1258" t="s">
        <v>41</v>
      </c>
    </row>
    <row r="1259" spans="1:25" x14ac:dyDescent="0.3">
      <c r="A1259" t="s">
        <v>2595</v>
      </c>
      <c r="B1259" s="1">
        <v>46183</v>
      </c>
      <c r="C1259" t="s">
        <v>26</v>
      </c>
      <c r="D1259" t="s">
        <v>26</v>
      </c>
      <c r="E1259" t="s">
        <v>4084</v>
      </c>
      <c r="F1259" t="s">
        <v>60</v>
      </c>
      <c r="G1259" t="s">
        <v>29</v>
      </c>
      <c r="H1259" t="s">
        <v>27</v>
      </c>
      <c r="I1259">
        <v>5</v>
      </c>
      <c r="J1259" t="s">
        <v>2596</v>
      </c>
      <c r="K1259">
        <v>24</v>
      </c>
      <c r="L1259" t="s">
        <v>63</v>
      </c>
      <c r="M1259">
        <v>3</v>
      </c>
      <c r="N1259" t="s">
        <v>64</v>
      </c>
      <c r="O1259" t="s">
        <v>81</v>
      </c>
      <c r="P1259" t="s">
        <v>50</v>
      </c>
      <c r="Q1259" s="2">
        <v>44289.62</v>
      </c>
      <c r="R1259" s="2">
        <v>2773.53</v>
      </c>
      <c r="S1259" t="s">
        <v>94</v>
      </c>
      <c r="T1259" t="s">
        <v>37</v>
      </c>
      <c r="U1259" t="s">
        <v>38</v>
      </c>
      <c r="V1259">
        <v>2.7</v>
      </c>
      <c r="W1259" t="s">
        <v>76</v>
      </c>
      <c r="X1259" t="s">
        <v>65</v>
      </c>
      <c r="Y1259" t="s">
        <v>72</v>
      </c>
    </row>
    <row r="1260" spans="1:25" x14ac:dyDescent="0.3">
      <c r="A1260" t="s">
        <v>2597</v>
      </c>
      <c r="B1260" s="1">
        <v>46184</v>
      </c>
      <c r="C1260" t="s">
        <v>57</v>
      </c>
      <c r="D1260" t="s">
        <v>44</v>
      </c>
      <c r="E1260" t="s">
        <v>4084</v>
      </c>
      <c r="F1260" t="s">
        <v>60</v>
      </c>
      <c r="G1260" t="s">
        <v>29</v>
      </c>
      <c r="H1260" t="s">
        <v>30</v>
      </c>
      <c r="I1260">
        <v>3</v>
      </c>
      <c r="J1260" t="s">
        <v>2598</v>
      </c>
      <c r="K1260">
        <v>31</v>
      </c>
      <c r="L1260" t="s">
        <v>80</v>
      </c>
      <c r="M1260">
        <v>5</v>
      </c>
      <c r="N1260" t="s">
        <v>64</v>
      </c>
      <c r="O1260" t="s">
        <v>81</v>
      </c>
      <c r="P1260" t="s">
        <v>35</v>
      </c>
      <c r="Q1260" s="2">
        <v>18002.45</v>
      </c>
      <c r="R1260" s="2">
        <v>1189.78</v>
      </c>
      <c r="S1260" t="s">
        <v>51</v>
      </c>
      <c r="T1260" t="s">
        <v>37</v>
      </c>
      <c r="U1260" t="s">
        <v>75</v>
      </c>
      <c r="V1260">
        <v>3.7</v>
      </c>
      <c r="W1260" t="s">
        <v>54</v>
      </c>
      <c r="X1260" t="s">
        <v>55</v>
      </c>
      <c r="Y1260" t="s">
        <v>41</v>
      </c>
    </row>
    <row r="1261" spans="1:25" x14ac:dyDescent="0.3">
      <c r="A1261" t="s">
        <v>2599</v>
      </c>
      <c r="B1261" s="1">
        <v>46185</v>
      </c>
      <c r="C1261" t="s">
        <v>57</v>
      </c>
      <c r="D1261" t="s">
        <v>44</v>
      </c>
      <c r="E1261" t="s">
        <v>45</v>
      </c>
      <c r="F1261" t="s">
        <v>28</v>
      </c>
      <c r="G1261" t="s">
        <v>29</v>
      </c>
      <c r="H1261" t="s">
        <v>67</v>
      </c>
      <c r="I1261">
        <v>4</v>
      </c>
      <c r="J1261" t="s">
        <v>2600</v>
      </c>
      <c r="K1261">
        <v>67</v>
      </c>
      <c r="L1261" t="s">
        <v>32</v>
      </c>
      <c r="M1261">
        <v>2</v>
      </c>
      <c r="N1261" t="s">
        <v>33</v>
      </c>
      <c r="O1261" t="s">
        <v>34</v>
      </c>
      <c r="P1261" t="s">
        <v>35</v>
      </c>
      <c r="Q1261" s="2">
        <v>18064.43</v>
      </c>
      <c r="R1261" s="2">
        <v>3728.04</v>
      </c>
      <c r="S1261" t="s">
        <v>94</v>
      </c>
      <c r="T1261" t="s">
        <v>52</v>
      </c>
      <c r="U1261" t="s">
        <v>38</v>
      </c>
      <c r="V1261">
        <v>4.3</v>
      </c>
      <c r="W1261" t="s">
        <v>54</v>
      </c>
      <c r="X1261" t="s">
        <v>40</v>
      </c>
      <c r="Y1261" t="s">
        <v>41</v>
      </c>
    </row>
    <row r="1262" spans="1:25" x14ac:dyDescent="0.3">
      <c r="A1262" t="s">
        <v>2601</v>
      </c>
      <c r="B1262" s="1">
        <v>46186</v>
      </c>
      <c r="C1262" t="s">
        <v>117</v>
      </c>
      <c r="D1262" t="s">
        <v>4083</v>
      </c>
      <c r="E1262" t="s">
        <v>4084</v>
      </c>
      <c r="F1262" t="s">
        <v>60</v>
      </c>
      <c r="G1262" t="s">
        <v>29</v>
      </c>
      <c r="H1262" t="s">
        <v>30</v>
      </c>
      <c r="I1262">
        <v>4</v>
      </c>
      <c r="J1262" t="s">
        <v>2602</v>
      </c>
      <c r="K1262">
        <v>18</v>
      </c>
      <c r="L1262" t="s">
        <v>63</v>
      </c>
      <c r="M1262">
        <v>2</v>
      </c>
      <c r="N1262" t="s">
        <v>64</v>
      </c>
      <c r="O1262" t="s">
        <v>81</v>
      </c>
      <c r="P1262" t="s">
        <v>50</v>
      </c>
      <c r="Q1262" s="2">
        <v>14280.27</v>
      </c>
      <c r="R1262" s="2">
        <v>2231.75</v>
      </c>
      <c r="S1262" t="s">
        <v>51</v>
      </c>
      <c r="T1262" t="s">
        <v>71</v>
      </c>
      <c r="U1262" t="s">
        <v>75</v>
      </c>
      <c r="V1262">
        <v>3.1</v>
      </c>
      <c r="W1262" t="s">
        <v>76</v>
      </c>
      <c r="X1262" t="s">
        <v>55</v>
      </c>
      <c r="Y1262" t="s">
        <v>72</v>
      </c>
    </row>
    <row r="1263" spans="1:25" x14ac:dyDescent="0.3">
      <c r="A1263" t="s">
        <v>2603</v>
      </c>
      <c r="B1263" s="1">
        <v>46187</v>
      </c>
      <c r="C1263" t="s">
        <v>43</v>
      </c>
      <c r="D1263" t="s">
        <v>58</v>
      </c>
      <c r="E1263" t="s">
        <v>45</v>
      </c>
      <c r="F1263" t="s">
        <v>28</v>
      </c>
      <c r="G1263" t="s">
        <v>29</v>
      </c>
      <c r="H1263" t="s">
        <v>67</v>
      </c>
      <c r="I1263">
        <v>10</v>
      </c>
      <c r="J1263" t="s">
        <v>2604</v>
      </c>
      <c r="K1263">
        <v>55</v>
      </c>
      <c r="L1263" t="s">
        <v>80</v>
      </c>
      <c r="M1263">
        <v>6</v>
      </c>
      <c r="N1263" t="s">
        <v>64</v>
      </c>
      <c r="O1263" t="s">
        <v>49</v>
      </c>
      <c r="P1263" t="s">
        <v>82</v>
      </c>
      <c r="Q1263" s="2">
        <v>26392.880000000001</v>
      </c>
      <c r="R1263" s="2">
        <v>3393.01</v>
      </c>
      <c r="S1263" t="s">
        <v>51</v>
      </c>
      <c r="T1263" t="s">
        <v>52</v>
      </c>
      <c r="U1263" t="s">
        <v>83</v>
      </c>
      <c r="V1263">
        <v>2.1</v>
      </c>
      <c r="W1263" t="s">
        <v>76</v>
      </c>
      <c r="X1263" t="s">
        <v>40</v>
      </c>
      <c r="Y1263" t="s">
        <v>72</v>
      </c>
    </row>
    <row r="1264" spans="1:25" x14ac:dyDescent="0.3">
      <c r="A1264" t="s">
        <v>2605</v>
      </c>
      <c r="B1264" s="1">
        <v>46188</v>
      </c>
      <c r="C1264" t="s">
        <v>117</v>
      </c>
      <c r="D1264" t="s">
        <v>4083</v>
      </c>
      <c r="E1264" t="s">
        <v>45</v>
      </c>
      <c r="F1264" t="s">
        <v>28</v>
      </c>
      <c r="G1264" t="s">
        <v>29</v>
      </c>
      <c r="H1264" t="s">
        <v>67</v>
      </c>
      <c r="I1264">
        <v>10</v>
      </c>
      <c r="J1264" t="s">
        <v>2606</v>
      </c>
      <c r="K1264">
        <v>20</v>
      </c>
      <c r="L1264" t="s">
        <v>80</v>
      </c>
      <c r="M1264">
        <v>6</v>
      </c>
      <c r="N1264" t="s">
        <v>33</v>
      </c>
      <c r="O1264" t="s">
        <v>69</v>
      </c>
      <c r="P1264" t="s">
        <v>35</v>
      </c>
      <c r="Q1264" s="2">
        <v>28140.89</v>
      </c>
      <c r="R1264" s="2">
        <v>4261.54</v>
      </c>
      <c r="S1264" t="s">
        <v>36</v>
      </c>
      <c r="T1264" t="s">
        <v>52</v>
      </c>
      <c r="U1264" t="s">
        <v>83</v>
      </c>
      <c r="V1264">
        <v>1.8</v>
      </c>
      <c r="W1264" t="s">
        <v>124</v>
      </c>
      <c r="X1264" t="s">
        <v>84</v>
      </c>
      <c r="Y1264" t="s">
        <v>72</v>
      </c>
    </row>
    <row r="1265" spans="1:25" x14ac:dyDescent="0.3">
      <c r="A1265" t="s">
        <v>2607</v>
      </c>
      <c r="B1265" s="1">
        <v>46189</v>
      </c>
      <c r="C1265" t="s">
        <v>78</v>
      </c>
      <c r="D1265" t="s">
        <v>58</v>
      </c>
      <c r="E1265" t="s">
        <v>89</v>
      </c>
      <c r="F1265" t="s">
        <v>28</v>
      </c>
      <c r="G1265" t="s">
        <v>29</v>
      </c>
      <c r="H1265" t="s">
        <v>61</v>
      </c>
      <c r="I1265">
        <v>4</v>
      </c>
      <c r="J1265" t="s">
        <v>2608</v>
      </c>
      <c r="K1265">
        <v>54</v>
      </c>
      <c r="L1265" t="s">
        <v>32</v>
      </c>
      <c r="M1265">
        <v>7</v>
      </c>
      <c r="N1265" t="s">
        <v>91</v>
      </c>
      <c r="O1265" t="s">
        <v>49</v>
      </c>
      <c r="P1265" t="s">
        <v>35</v>
      </c>
      <c r="Q1265" s="2">
        <v>14372.66</v>
      </c>
      <c r="R1265" s="2">
        <v>2678.8</v>
      </c>
      <c r="S1265" t="s">
        <v>51</v>
      </c>
      <c r="T1265" t="s">
        <v>71</v>
      </c>
      <c r="U1265" t="s">
        <v>75</v>
      </c>
      <c r="V1265">
        <v>2.2000000000000002</v>
      </c>
      <c r="W1265" t="s">
        <v>76</v>
      </c>
      <c r="X1265" t="s">
        <v>106</v>
      </c>
      <c r="Y1265" t="s">
        <v>72</v>
      </c>
    </row>
    <row r="1266" spans="1:25" x14ac:dyDescent="0.3">
      <c r="A1266" t="s">
        <v>2609</v>
      </c>
      <c r="B1266" s="1">
        <v>46190</v>
      </c>
      <c r="C1266" t="s">
        <v>117</v>
      </c>
      <c r="D1266" t="s">
        <v>4083</v>
      </c>
      <c r="E1266" t="s">
        <v>120</v>
      </c>
      <c r="F1266" t="s">
        <v>28</v>
      </c>
      <c r="G1266" t="s">
        <v>29</v>
      </c>
      <c r="H1266" t="s">
        <v>86</v>
      </c>
      <c r="I1266">
        <v>8</v>
      </c>
      <c r="J1266" t="s">
        <v>2610</v>
      </c>
      <c r="K1266">
        <v>61</v>
      </c>
      <c r="L1266" t="s">
        <v>63</v>
      </c>
      <c r="M1266">
        <v>2</v>
      </c>
      <c r="N1266" t="s">
        <v>33</v>
      </c>
      <c r="O1266" t="s">
        <v>34</v>
      </c>
      <c r="P1266" t="s">
        <v>35</v>
      </c>
      <c r="Q1266" s="2">
        <v>32385.67</v>
      </c>
      <c r="R1266" s="2">
        <v>1679.78</v>
      </c>
      <c r="S1266" t="s">
        <v>94</v>
      </c>
      <c r="T1266" t="s">
        <v>37</v>
      </c>
      <c r="U1266" t="s">
        <v>75</v>
      </c>
      <c r="V1266">
        <v>4.4000000000000004</v>
      </c>
      <c r="W1266" t="s">
        <v>54</v>
      </c>
      <c r="X1266" t="s">
        <v>65</v>
      </c>
      <c r="Y1266" t="s">
        <v>72</v>
      </c>
    </row>
    <row r="1267" spans="1:25" x14ac:dyDescent="0.3">
      <c r="A1267" t="s">
        <v>2611</v>
      </c>
      <c r="B1267" s="1">
        <v>46191</v>
      </c>
      <c r="C1267" t="s">
        <v>117</v>
      </c>
      <c r="D1267" t="s">
        <v>4083</v>
      </c>
      <c r="E1267" t="s">
        <v>89</v>
      </c>
      <c r="F1267" t="s">
        <v>28</v>
      </c>
      <c r="G1267" t="s">
        <v>29</v>
      </c>
      <c r="H1267" t="s">
        <v>61</v>
      </c>
      <c r="I1267">
        <v>7</v>
      </c>
      <c r="J1267" t="s">
        <v>2612</v>
      </c>
      <c r="K1267">
        <v>48</v>
      </c>
      <c r="L1267" t="s">
        <v>32</v>
      </c>
      <c r="M1267">
        <v>7</v>
      </c>
      <c r="N1267" t="s">
        <v>91</v>
      </c>
      <c r="O1267" t="s">
        <v>81</v>
      </c>
      <c r="P1267" t="s">
        <v>70</v>
      </c>
      <c r="Q1267" s="2">
        <v>37535</v>
      </c>
      <c r="R1267" s="2">
        <v>3847.72</v>
      </c>
      <c r="S1267" t="s">
        <v>36</v>
      </c>
      <c r="T1267" t="s">
        <v>37</v>
      </c>
      <c r="U1267" t="s">
        <v>75</v>
      </c>
      <c r="V1267">
        <v>2.5</v>
      </c>
      <c r="W1267" t="s">
        <v>76</v>
      </c>
      <c r="X1267" t="s">
        <v>40</v>
      </c>
      <c r="Y1267" t="s">
        <v>41</v>
      </c>
    </row>
    <row r="1268" spans="1:25" x14ac:dyDescent="0.3">
      <c r="A1268" t="s">
        <v>2613</v>
      </c>
      <c r="B1268" s="1">
        <v>46192</v>
      </c>
      <c r="C1268" t="s">
        <v>26</v>
      </c>
      <c r="D1268" t="s">
        <v>26</v>
      </c>
      <c r="E1268" t="s">
        <v>89</v>
      </c>
      <c r="F1268" t="s">
        <v>28</v>
      </c>
      <c r="G1268" t="s">
        <v>29</v>
      </c>
      <c r="H1268" t="s">
        <v>61</v>
      </c>
      <c r="I1268">
        <v>5</v>
      </c>
      <c r="J1268" t="s">
        <v>2614</v>
      </c>
      <c r="K1268">
        <v>60</v>
      </c>
      <c r="L1268" t="s">
        <v>80</v>
      </c>
      <c r="M1268">
        <v>5</v>
      </c>
      <c r="N1268" t="s">
        <v>33</v>
      </c>
      <c r="O1268" t="s">
        <v>69</v>
      </c>
      <c r="P1268" t="s">
        <v>50</v>
      </c>
      <c r="Q1268" s="2">
        <v>21822.799999999999</v>
      </c>
      <c r="R1268" s="2">
        <v>1325.94</v>
      </c>
      <c r="S1268" t="s">
        <v>115</v>
      </c>
      <c r="T1268" t="s">
        <v>71</v>
      </c>
      <c r="U1268" t="s">
        <v>83</v>
      </c>
      <c r="V1268">
        <v>2.1</v>
      </c>
      <c r="W1268" t="s">
        <v>76</v>
      </c>
      <c r="X1268" t="s">
        <v>65</v>
      </c>
      <c r="Y1268" t="s">
        <v>72</v>
      </c>
    </row>
    <row r="1269" spans="1:25" x14ac:dyDescent="0.3">
      <c r="A1269" t="s">
        <v>2615</v>
      </c>
      <c r="B1269" s="1">
        <v>46193</v>
      </c>
      <c r="C1269" t="s">
        <v>57</v>
      </c>
      <c r="D1269" t="s">
        <v>44</v>
      </c>
      <c r="E1269" t="s">
        <v>45</v>
      </c>
      <c r="F1269" t="s">
        <v>28</v>
      </c>
      <c r="G1269" t="s">
        <v>29</v>
      </c>
      <c r="H1269" t="s">
        <v>67</v>
      </c>
      <c r="I1269">
        <v>7</v>
      </c>
      <c r="J1269" t="s">
        <v>2616</v>
      </c>
      <c r="K1269">
        <v>30</v>
      </c>
      <c r="L1269" t="s">
        <v>80</v>
      </c>
      <c r="M1269">
        <v>5</v>
      </c>
      <c r="N1269" t="s">
        <v>64</v>
      </c>
      <c r="O1269" t="s">
        <v>34</v>
      </c>
      <c r="P1269" t="s">
        <v>70</v>
      </c>
      <c r="Q1269" s="2">
        <v>31345.33</v>
      </c>
      <c r="R1269" s="2">
        <v>4457.59</v>
      </c>
      <c r="S1269" t="s">
        <v>94</v>
      </c>
      <c r="T1269" t="s">
        <v>52</v>
      </c>
      <c r="U1269" t="s">
        <v>38</v>
      </c>
      <c r="V1269">
        <v>4.2</v>
      </c>
      <c r="W1269" t="s">
        <v>54</v>
      </c>
      <c r="X1269" t="s">
        <v>84</v>
      </c>
      <c r="Y1269" t="s">
        <v>72</v>
      </c>
    </row>
    <row r="1270" spans="1:25" x14ac:dyDescent="0.3">
      <c r="A1270" t="s">
        <v>2617</v>
      </c>
      <c r="B1270" s="1">
        <v>46194</v>
      </c>
      <c r="C1270" t="s">
        <v>43</v>
      </c>
      <c r="D1270" t="s">
        <v>58</v>
      </c>
      <c r="E1270" t="s">
        <v>45</v>
      </c>
      <c r="F1270" t="s">
        <v>28</v>
      </c>
      <c r="G1270" t="s">
        <v>29</v>
      </c>
      <c r="H1270" t="s">
        <v>67</v>
      </c>
      <c r="I1270">
        <v>7</v>
      </c>
      <c r="J1270" t="s">
        <v>2618</v>
      </c>
      <c r="K1270">
        <v>65</v>
      </c>
      <c r="L1270" t="s">
        <v>80</v>
      </c>
      <c r="M1270">
        <v>4</v>
      </c>
      <c r="N1270" t="s">
        <v>48</v>
      </c>
      <c r="O1270" t="s">
        <v>49</v>
      </c>
      <c r="P1270" t="s">
        <v>70</v>
      </c>
      <c r="Q1270" s="2">
        <v>27603.59</v>
      </c>
      <c r="R1270" s="2">
        <v>357.14</v>
      </c>
      <c r="S1270" t="s">
        <v>36</v>
      </c>
      <c r="T1270" t="s">
        <v>71</v>
      </c>
      <c r="U1270" t="s">
        <v>83</v>
      </c>
      <c r="V1270">
        <v>1.1000000000000001</v>
      </c>
      <c r="W1270" t="s">
        <v>124</v>
      </c>
      <c r="X1270" t="s">
        <v>55</v>
      </c>
      <c r="Y1270" t="s">
        <v>41</v>
      </c>
    </row>
    <row r="1271" spans="1:25" x14ac:dyDescent="0.3">
      <c r="A1271" t="s">
        <v>2619</v>
      </c>
      <c r="B1271" s="1">
        <v>46195</v>
      </c>
      <c r="C1271" t="s">
        <v>117</v>
      </c>
      <c r="D1271" t="s">
        <v>4083</v>
      </c>
      <c r="E1271" t="s">
        <v>4084</v>
      </c>
      <c r="F1271" t="s">
        <v>60</v>
      </c>
      <c r="G1271" t="s">
        <v>29</v>
      </c>
      <c r="H1271" t="s">
        <v>27</v>
      </c>
      <c r="I1271">
        <v>7</v>
      </c>
      <c r="J1271" t="s">
        <v>2620</v>
      </c>
      <c r="K1271">
        <v>35</v>
      </c>
      <c r="L1271" t="s">
        <v>80</v>
      </c>
      <c r="M1271">
        <v>3</v>
      </c>
      <c r="N1271" t="s">
        <v>48</v>
      </c>
      <c r="O1271" t="s">
        <v>81</v>
      </c>
      <c r="P1271" t="s">
        <v>50</v>
      </c>
      <c r="Q1271" s="2">
        <v>13799.68</v>
      </c>
      <c r="R1271" s="2">
        <v>4177.34</v>
      </c>
      <c r="S1271" t="s">
        <v>51</v>
      </c>
      <c r="T1271" t="s">
        <v>52</v>
      </c>
      <c r="U1271" t="s">
        <v>53</v>
      </c>
      <c r="V1271">
        <v>3.4</v>
      </c>
      <c r="W1271" t="s">
        <v>76</v>
      </c>
      <c r="X1271" t="s">
        <v>40</v>
      </c>
      <c r="Y1271" t="s">
        <v>41</v>
      </c>
    </row>
    <row r="1272" spans="1:25" x14ac:dyDescent="0.3">
      <c r="A1272" t="s">
        <v>2621</v>
      </c>
      <c r="B1272" s="1">
        <v>46196</v>
      </c>
      <c r="C1272" t="s">
        <v>43</v>
      </c>
      <c r="D1272" t="s">
        <v>58</v>
      </c>
      <c r="E1272" t="s">
        <v>4084</v>
      </c>
      <c r="F1272" t="s">
        <v>60</v>
      </c>
      <c r="G1272" t="s">
        <v>29</v>
      </c>
      <c r="H1272" t="s">
        <v>30</v>
      </c>
      <c r="I1272">
        <v>5</v>
      </c>
      <c r="J1272" t="s">
        <v>2622</v>
      </c>
      <c r="K1272">
        <v>34</v>
      </c>
      <c r="L1272" t="s">
        <v>63</v>
      </c>
      <c r="M1272">
        <v>6</v>
      </c>
      <c r="N1272" t="s">
        <v>91</v>
      </c>
      <c r="O1272" t="s">
        <v>81</v>
      </c>
      <c r="P1272" t="s">
        <v>35</v>
      </c>
      <c r="Q1272" s="2">
        <v>37850.49</v>
      </c>
      <c r="R1272" s="2">
        <v>457.78</v>
      </c>
      <c r="S1272" t="s">
        <v>94</v>
      </c>
      <c r="T1272" t="s">
        <v>71</v>
      </c>
      <c r="U1272" t="s">
        <v>83</v>
      </c>
      <c r="V1272">
        <v>4.5</v>
      </c>
      <c r="W1272" t="s">
        <v>103</v>
      </c>
      <c r="X1272" t="s">
        <v>106</v>
      </c>
      <c r="Y1272" t="s">
        <v>41</v>
      </c>
    </row>
    <row r="1273" spans="1:25" x14ac:dyDescent="0.3">
      <c r="A1273" t="s">
        <v>2623</v>
      </c>
      <c r="B1273" s="1">
        <v>46197</v>
      </c>
      <c r="C1273" t="s">
        <v>117</v>
      </c>
      <c r="D1273" t="s">
        <v>4083</v>
      </c>
      <c r="E1273" t="s">
        <v>89</v>
      </c>
      <c r="F1273" t="s">
        <v>28</v>
      </c>
      <c r="G1273" t="s">
        <v>29</v>
      </c>
      <c r="H1273" t="s">
        <v>61</v>
      </c>
      <c r="I1273">
        <v>5</v>
      </c>
      <c r="J1273" t="s">
        <v>2624</v>
      </c>
      <c r="K1273">
        <v>34</v>
      </c>
      <c r="L1273" t="s">
        <v>63</v>
      </c>
      <c r="M1273">
        <v>3</v>
      </c>
      <c r="N1273" t="s">
        <v>91</v>
      </c>
      <c r="O1273" t="s">
        <v>34</v>
      </c>
      <c r="P1273" t="s">
        <v>70</v>
      </c>
      <c r="Q1273" s="2">
        <v>41065.39</v>
      </c>
      <c r="R1273" s="2">
        <v>280.68</v>
      </c>
      <c r="S1273" t="s">
        <v>51</v>
      </c>
      <c r="T1273" t="s">
        <v>71</v>
      </c>
      <c r="U1273" t="s">
        <v>53</v>
      </c>
      <c r="V1273">
        <v>2.6</v>
      </c>
      <c r="W1273" t="s">
        <v>76</v>
      </c>
      <c r="X1273" t="s">
        <v>40</v>
      </c>
      <c r="Y1273" t="s">
        <v>72</v>
      </c>
    </row>
    <row r="1274" spans="1:25" x14ac:dyDescent="0.3">
      <c r="A1274" t="s">
        <v>2625</v>
      </c>
      <c r="B1274" s="1">
        <v>46198</v>
      </c>
      <c r="C1274" t="s">
        <v>78</v>
      </c>
      <c r="D1274" t="s">
        <v>58</v>
      </c>
      <c r="E1274" t="s">
        <v>4085</v>
      </c>
      <c r="F1274" t="s">
        <v>60</v>
      </c>
      <c r="G1274" t="s">
        <v>29</v>
      </c>
      <c r="H1274" t="s">
        <v>46</v>
      </c>
      <c r="I1274">
        <v>6</v>
      </c>
      <c r="J1274" t="s">
        <v>2626</v>
      </c>
      <c r="K1274">
        <v>28</v>
      </c>
      <c r="L1274" t="s">
        <v>32</v>
      </c>
      <c r="M1274">
        <v>6</v>
      </c>
      <c r="N1274" t="s">
        <v>91</v>
      </c>
      <c r="O1274" t="s">
        <v>49</v>
      </c>
      <c r="P1274" t="s">
        <v>35</v>
      </c>
      <c r="Q1274" s="2">
        <v>34195.69</v>
      </c>
      <c r="R1274" s="2">
        <v>1816.28</v>
      </c>
      <c r="S1274" t="s">
        <v>36</v>
      </c>
      <c r="T1274" t="s">
        <v>37</v>
      </c>
      <c r="U1274" t="s">
        <v>53</v>
      </c>
      <c r="V1274">
        <v>2.1</v>
      </c>
      <c r="W1274" t="s">
        <v>76</v>
      </c>
      <c r="X1274" t="s">
        <v>55</v>
      </c>
      <c r="Y1274" t="s">
        <v>72</v>
      </c>
    </row>
    <row r="1275" spans="1:25" x14ac:dyDescent="0.3">
      <c r="A1275" t="s">
        <v>2627</v>
      </c>
      <c r="B1275" s="1">
        <v>46199</v>
      </c>
      <c r="C1275" t="s">
        <v>117</v>
      </c>
      <c r="D1275" t="s">
        <v>4083</v>
      </c>
      <c r="E1275" t="s">
        <v>4085</v>
      </c>
      <c r="F1275" t="s">
        <v>60</v>
      </c>
      <c r="G1275" t="s">
        <v>29</v>
      </c>
      <c r="H1275" t="s">
        <v>46</v>
      </c>
      <c r="I1275">
        <v>9</v>
      </c>
      <c r="J1275" t="s">
        <v>2628</v>
      </c>
      <c r="K1275">
        <v>37</v>
      </c>
      <c r="L1275" t="s">
        <v>32</v>
      </c>
      <c r="M1275">
        <v>4</v>
      </c>
      <c r="N1275" t="s">
        <v>48</v>
      </c>
      <c r="O1275" t="s">
        <v>81</v>
      </c>
      <c r="P1275" t="s">
        <v>70</v>
      </c>
      <c r="Q1275" s="2">
        <v>19575.32</v>
      </c>
      <c r="R1275" s="2">
        <v>4782.75</v>
      </c>
      <c r="S1275" t="s">
        <v>36</v>
      </c>
      <c r="T1275" t="s">
        <v>37</v>
      </c>
      <c r="U1275" t="s">
        <v>83</v>
      </c>
      <c r="V1275">
        <v>3</v>
      </c>
      <c r="W1275" t="s">
        <v>39</v>
      </c>
      <c r="X1275" t="s">
        <v>55</v>
      </c>
      <c r="Y1275" t="s">
        <v>41</v>
      </c>
    </row>
    <row r="1276" spans="1:25" x14ac:dyDescent="0.3">
      <c r="A1276" t="s">
        <v>2629</v>
      </c>
      <c r="B1276" s="1">
        <v>46200</v>
      </c>
      <c r="C1276" t="s">
        <v>26</v>
      </c>
      <c r="D1276" t="s">
        <v>26</v>
      </c>
      <c r="E1276" t="s">
        <v>4084</v>
      </c>
      <c r="F1276" t="s">
        <v>60</v>
      </c>
      <c r="G1276" t="s">
        <v>29</v>
      </c>
      <c r="H1276" t="s">
        <v>27</v>
      </c>
      <c r="I1276">
        <v>14</v>
      </c>
      <c r="J1276" t="s">
        <v>2630</v>
      </c>
      <c r="K1276">
        <v>27</v>
      </c>
      <c r="L1276" t="s">
        <v>32</v>
      </c>
      <c r="M1276">
        <v>2</v>
      </c>
      <c r="N1276" t="s">
        <v>91</v>
      </c>
      <c r="O1276" t="s">
        <v>49</v>
      </c>
      <c r="P1276" t="s">
        <v>35</v>
      </c>
      <c r="Q1276" s="2">
        <v>46705.66</v>
      </c>
      <c r="R1276" s="2">
        <v>4917.43</v>
      </c>
      <c r="S1276" t="s">
        <v>115</v>
      </c>
      <c r="T1276" t="s">
        <v>71</v>
      </c>
      <c r="U1276" t="s">
        <v>83</v>
      </c>
      <c r="V1276">
        <v>3.9</v>
      </c>
      <c r="W1276" t="s">
        <v>54</v>
      </c>
      <c r="X1276" t="s">
        <v>106</v>
      </c>
      <c r="Y1276" t="s">
        <v>41</v>
      </c>
    </row>
    <row r="1277" spans="1:25" x14ac:dyDescent="0.3">
      <c r="A1277" t="s">
        <v>2631</v>
      </c>
      <c r="B1277" s="1">
        <v>46201</v>
      </c>
      <c r="C1277" t="s">
        <v>57</v>
      </c>
      <c r="D1277" t="s">
        <v>44</v>
      </c>
      <c r="E1277" t="s">
        <v>4085</v>
      </c>
      <c r="F1277" t="s">
        <v>60</v>
      </c>
      <c r="G1277" t="s">
        <v>29</v>
      </c>
      <c r="H1277" t="s">
        <v>46</v>
      </c>
      <c r="I1277">
        <v>14</v>
      </c>
      <c r="J1277" t="s">
        <v>2632</v>
      </c>
      <c r="K1277">
        <v>46</v>
      </c>
      <c r="L1277" t="s">
        <v>80</v>
      </c>
      <c r="M1277">
        <v>7</v>
      </c>
      <c r="N1277" t="s">
        <v>33</v>
      </c>
      <c r="O1277" t="s">
        <v>69</v>
      </c>
      <c r="P1277" t="s">
        <v>82</v>
      </c>
      <c r="Q1277" s="2">
        <v>25491.13</v>
      </c>
      <c r="R1277" s="2">
        <v>1010.35</v>
      </c>
      <c r="S1277" t="s">
        <v>115</v>
      </c>
      <c r="T1277" t="s">
        <v>71</v>
      </c>
      <c r="U1277" t="s">
        <v>83</v>
      </c>
      <c r="V1277">
        <v>3.1</v>
      </c>
      <c r="W1277" t="s">
        <v>39</v>
      </c>
      <c r="X1277" t="s">
        <v>106</v>
      </c>
      <c r="Y1277" t="s">
        <v>72</v>
      </c>
    </row>
    <row r="1278" spans="1:25" x14ac:dyDescent="0.3">
      <c r="A1278" t="s">
        <v>2633</v>
      </c>
      <c r="B1278" s="1">
        <v>46202</v>
      </c>
      <c r="C1278" t="s">
        <v>78</v>
      </c>
      <c r="D1278" t="s">
        <v>58</v>
      </c>
      <c r="E1278" t="s">
        <v>4084</v>
      </c>
      <c r="F1278" t="s">
        <v>60</v>
      </c>
      <c r="G1278" t="s">
        <v>29</v>
      </c>
      <c r="H1278" t="s">
        <v>30</v>
      </c>
      <c r="I1278">
        <v>14</v>
      </c>
      <c r="J1278" t="s">
        <v>2634</v>
      </c>
      <c r="K1278">
        <v>65</v>
      </c>
      <c r="L1278" t="s">
        <v>32</v>
      </c>
      <c r="M1278">
        <v>3</v>
      </c>
      <c r="N1278" t="s">
        <v>33</v>
      </c>
      <c r="O1278" t="s">
        <v>81</v>
      </c>
      <c r="P1278" t="s">
        <v>82</v>
      </c>
      <c r="Q1278" s="2">
        <v>16964.53</v>
      </c>
      <c r="R1278" s="2">
        <v>743.19</v>
      </c>
      <c r="S1278" t="s">
        <v>94</v>
      </c>
      <c r="T1278" t="s">
        <v>37</v>
      </c>
      <c r="U1278" t="s">
        <v>38</v>
      </c>
      <c r="V1278">
        <v>1</v>
      </c>
      <c r="W1278" t="s">
        <v>124</v>
      </c>
      <c r="X1278" t="s">
        <v>84</v>
      </c>
      <c r="Y1278" t="s">
        <v>41</v>
      </c>
    </row>
    <row r="1279" spans="1:25" x14ac:dyDescent="0.3">
      <c r="A1279" t="s">
        <v>2635</v>
      </c>
      <c r="B1279" s="1">
        <v>46203</v>
      </c>
      <c r="C1279" t="s">
        <v>117</v>
      </c>
      <c r="D1279" t="s">
        <v>4083</v>
      </c>
      <c r="E1279" t="s">
        <v>45</v>
      </c>
      <c r="F1279" t="s">
        <v>28</v>
      </c>
      <c r="G1279" t="s">
        <v>29</v>
      </c>
      <c r="H1279" t="s">
        <v>67</v>
      </c>
      <c r="I1279">
        <v>4</v>
      </c>
      <c r="J1279" t="s">
        <v>2636</v>
      </c>
      <c r="K1279">
        <v>51</v>
      </c>
      <c r="L1279" t="s">
        <v>63</v>
      </c>
      <c r="M1279">
        <v>6</v>
      </c>
      <c r="N1279" t="s">
        <v>48</v>
      </c>
      <c r="O1279" t="s">
        <v>69</v>
      </c>
      <c r="P1279" t="s">
        <v>82</v>
      </c>
      <c r="Q1279" s="2">
        <v>23370.560000000001</v>
      </c>
      <c r="R1279" s="2">
        <v>1764.77</v>
      </c>
      <c r="S1279" t="s">
        <v>115</v>
      </c>
      <c r="T1279" t="s">
        <v>52</v>
      </c>
      <c r="U1279" t="s">
        <v>83</v>
      </c>
      <c r="V1279">
        <v>1.3</v>
      </c>
      <c r="W1279" t="s">
        <v>124</v>
      </c>
      <c r="X1279" t="s">
        <v>65</v>
      </c>
      <c r="Y1279" t="s">
        <v>41</v>
      </c>
    </row>
    <row r="1280" spans="1:25" x14ac:dyDescent="0.3">
      <c r="A1280" t="s">
        <v>2637</v>
      </c>
      <c r="B1280" s="1">
        <v>46204</v>
      </c>
      <c r="C1280" t="s">
        <v>43</v>
      </c>
      <c r="D1280" t="s">
        <v>58</v>
      </c>
      <c r="E1280" t="s">
        <v>89</v>
      </c>
      <c r="F1280" t="s">
        <v>28</v>
      </c>
      <c r="G1280" t="s">
        <v>29</v>
      </c>
      <c r="H1280" t="s">
        <v>61</v>
      </c>
      <c r="I1280">
        <v>12</v>
      </c>
      <c r="J1280" t="s">
        <v>2638</v>
      </c>
      <c r="K1280">
        <v>34</v>
      </c>
      <c r="L1280" t="s">
        <v>32</v>
      </c>
      <c r="M1280">
        <v>3</v>
      </c>
      <c r="N1280" t="s">
        <v>33</v>
      </c>
      <c r="O1280" t="s">
        <v>81</v>
      </c>
      <c r="P1280" t="s">
        <v>50</v>
      </c>
      <c r="Q1280" s="2">
        <v>36143.379999999997</v>
      </c>
      <c r="R1280" s="2">
        <v>1685.43</v>
      </c>
      <c r="S1280" t="s">
        <v>51</v>
      </c>
      <c r="T1280" t="s">
        <v>37</v>
      </c>
      <c r="U1280" t="s">
        <v>75</v>
      </c>
      <c r="V1280">
        <v>3.9</v>
      </c>
      <c r="W1280" t="s">
        <v>54</v>
      </c>
      <c r="X1280" t="s">
        <v>40</v>
      </c>
      <c r="Y1280" t="s">
        <v>41</v>
      </c>
    </row>
    <row r="1281" spans="1:25" x14ac:dyDescent="0.3">
      <c r="A1281" t="s">
        <v>2639</v>
      </c>
      <c r="B1281" s="1">
        <v>46205</v>
      </c>
      <c r="C1281" t="s">
        <v>78</v>
      </c>
      <c r="D1281" t="s">
        <v>58</v>
      </c>
      <c r="E1281" t="s">
        <v>120</v>
      </c>
      <c r="F1281" t="s">
        <v>28</v>
      </c>
      <c r="G1281" t="s">
        <v>29</v>
      </c>
      <c r="H1281" t="s">
        <v>86</v>
      </c>
      <c r="I1281">
        <v>6</v>
      </c>
      <c r="J1281" t="s">
        <v>2640</v>
      </c>
      <c r="K1281">
        <v>69</v>
      </c>
      <c r="L1281" t="s">
        <v>32</v>
      </c>
      <c r="M1281">
        <v>2</v>
      </c>
      <c r="N1281" t="s">
        <v>91</v>
      </c>
      <c r="O1281" t="s">
        <v>34</v>
      </c>
      <c r="P1281" t="s">
        <v>82</v>
      </c>
      <c r="Q1281" s="2">
        <v>43066.93</v>
      </c>
      <c r="R1281" s="2">
        <v>3797.96</v>
      </c>
      <c r="S1281" t="s">
        <v>51</v>
      </c>
      <c r="T1281" t="s">
        <v>52</v>
      </c>
      <c r="U1281" t="s">
        <v>83</v>
      </c>
      <c r="V1281">
        <v>2.6</v>
      </c>
      <c r="W1281" t="s">
        <v>76</v>
      </c>
      <c r="X1281" t="s">
        <v>84</v>
      </c>
      <c r="Y1281" t="s">
        <v>41</v>
      </c>
    </row>
    <row r="1282" spans="1:25" x14ac:dyDescent="0.3">
      <c r="A1282" t="s">
        <v>2641</v>
      </c>
      <c r="B1282" s="1">
        <v>46206</v>
      </c>
      <c r="C1282" t="s">
        <v>78</v>
      </c>
      <c r="D1282" t="s">
        <v>58</v>
      </c>
      <c r="E1282" t="s">
        <v>89</v>
      </c>
      <c r="F1282" t="s">
        <v>28</v>
      </c>
      <c r="G1282" t="s">
        <v>29</v>
      </c>
      <c r="H1282" t="s">
        <v>61</v>
      </c>
      <c r="I1282">
        <v>6</v>
      </c>
      <c r="J1282" t="s">
        <v>2642</v>
      </c>
      <c r="K1282">
        <v>59</v>
      </c>
      <c r="L1282" t="s">
        <v>63</v>
      </c>
      <c r="M1282">
        <v>7</v>
      </c>
      <c r="N1282" t="s">
        <v>48</v>
      </c>
      <c r="O1282" t="s">
        <v>81</v>
      </c>
      <c r="P1282" t="s">
        <v>70</v>
      </c>
      <c r="Q1282" s="2">
        <v>21045.9</v>
      </c>
      <c r="R1282" s="2">
        <v>2220</v>
      </c>
      <c r="S1282" t="s">
        <v>115</v>
      </c>
      <c r="T1282" t="s">
        <v>37</v>
      </c>
      <c r="U1282" t="s">
        <v>53</v>
      </c>
      <c r="V1282">
        <v>4.0999999999999996</v>
      </c>
      <c r="W1282" t="s">
        <v>54</v>
      </c>
      <c r="X1282" t="s">
        <v>65</v>
      </c>
      <c r="Y1282" t="s">
        <v>72</v>
      </c>
    </row>
    <row r="1283" spans="1:25" x14ac:dyDescent="0.3">
      <c r="A1283" t="s">
        <v>2643</v>
      </c>
      <c r="B1283" s="1">
        <v>46207</v>
      </c>
      <c r="C1283" t="s">
        <v>117</v>
      </c>
      <c r="D1283" t="s">
        <v>4083</v>
      </c>
      <c r="E1283" t="s">
        <v>4084</v>
      </c>
      <c r="F1283" t="s">
        <v>60</v>
      </c>
      <c r="G1283" t="s">
        <v>29</v>
      </c>
      <c r="H1283" t="s">
        <v>27</v>
      </c>
      <c r="I1283">
        <v>3</v>
      </c>
      <c r="J1283" t="s">
        <v>2644</v>
      </c>
      <c r="K1283">
        <v>30</v>
      </c>
      <c r="L1283" t="s">
        <v>63</v>
      </c>
      <c r="M1283">
        <v>1</v>
      </c>
      <c r="N1283" t="s">
        <v>91</v>
      </c>
      <c r="O1283" t="s">
        <v>81</v>
      </c>
      <c r="P1283" t="s">
        <v>35</v>
      </c>
      <c r="Q1283" s="2">
        <v>15468.1</v>
      </c>
      <c r="R1283" s="2">
        <v>3899.42</v>
      </c>
      <c r="S1283" t="s">
        <v>115</v>
      </c>
      <c r="T1283" t="s">
        <v>37</v>
      </c>
      <c r="U1283" t="s">
        <v>38</v>
      </c>
      <c r="V1283">
        <v>3.6</v>
      </c>
      <c r="W1283" t="s">
        <v>39</v>
      </c>
      <c r="X1283" t="s">
        <v>84</v>
      </c>
      <c r="Y1283" t="s">
        <v>72</v>
      </c>
    </row>
    <row r="1284" spans="1:25" x14ac:dyDescent="0.3">
      <c r="A1284" t="s">
        <v>2645</v>
      </c>
      <c r="B1284" s="1">
        <v>46208</v>
      </c>
      <c r="C1284" t="s">
        <v>78</v>
      </c>
      <c r="D1284" t="s">
        <v>58</v>
      </c>
      <c r="E1284" t="s">
        <v>4084</v>
      </c>
      <c r="F1284" t="s">
        <v>60</v>
      </c>
      <c r="G1284" t="s">
        <v>29</v>
      </c>
      <c r="H1284" t="s">
        <v>30</v>
      </c>
      <c r="I1284">
        <v>12</v>
      </c>
      <c r="J1284" t="s">
        <v>2646</v>
      </c>
      <c r="K1284">
        <v>61</v>
      </c>
      <c r="L1284" t="s">
        <v>80</v>
      </c>
      <c r="M1284">
        <v>6</v>
      </c>
      <c r="N1284" t="s">
        <v>33</v>
      </c>
      <c r="O1284" t="s">
        <v>49</v>
      </c>
      <c r="P1284" t="s">
        <v>35</v>
      </c>
      <c r="Q1284" s="2">
        <v>33192.19</v>
      </c>
      <c r="R1284" s="2">
        <v>3743.57</v>
      </c>
      <c r="S1284" t="s">
        <v>115</v>
      </c>
      <c r="T1284" t="s">
        <v>52</v>
      </c>
      <c r="U1284" t="s">
        <v>38</v>
      </c>
      <c r="V1284">
        <v>3.3</v>
      </c>
      <c r="W1284" t="s">
        <v>76</v>
      </c>
      <c r="X1284" t="s">
        <v>106</v>
      </c>
      <c r="Y1284" t="s">
        <v>72</v>
      </c>
    </row>
    <row r="1285" spans="1:25" x14ac:dyDescent="0.3">
      <c r="A1285" t="s">
        <v>2647</v>
      </c>
      <c r="B1285" s="1">
        <v>46209</v>
      </c>
      <c r="C1285" t="s">
        <v>43</v>
      </c>
      <c r="D1285" t="s">
        <v>58</v>
      </c>
      <c r="E1285" t="s">
        <v>89</v>
      </c>
      <c r="F1285" t="s">
        <v>28</v>
      </c>
      <c r="G1285" t="s">
        <v>29</v>
      </c>
      <c r="H1285" t="s">
        <v>61</v>
      </c>
      <c r="I1285">
        <v>10</v>
      </c>
      <c r="J1285" t="s">
        <v>2648</v>
      </c>
      <c r="K1285">
        <v>64</v>
      </c>
      <c r="L1285" t="s">
        <v>63</v>
      </c>
      <c r="M1285">
        <v>1</v>
      </c>
      <c r="N1285" t="s">
        <v>91</v>
      </c>
      <c r="O1285" t="s">
        <v>49</v>
      </c>
      <c r="P1285" t="s">
        <v>35</v>
      </c>
      <c r="Q1285" s="2">
        <v>46454.68</v>
      </c>
      <c r="R1285" s="2">
        <v>2891.55</v>
      </c>
      <c r="S1285" t="s">
        <v>94</v>
      </c>
      <c r="T1285" t="s">
        <v>71</v>
      </c>
      <c r="U1285" t="s">
        <v>53</v>
      </c>
      <c r="V1285">
        <v>4.5999999999999996</v>
      </c>
      <c r="W1285" t="s">
        <v>103</v>
      </c>
      <c r="X1285" t="s">
        <v>106</v>
      </c>
      <c r="Y1285" t="s">
        <v>41</v>
      </c>
    </row>
    <row r="1286" spans="1:25" x14ac:dyDescent="0.3">
      <c r="A1286" t="s">
        <v>2649</v>
      </c>
      <c r="B1286" s="1">
        <v>46210</v>
      </c>
      <c r="C1286" t="s">
        <v>78</v>
      </c>
      <c r="D1286" t="s">
        <v>58</v>
      </c>
      <c r="E1286" t="s">
        <v>4084</v>
      </c>
      <c r="F1286" t="s">
        <v>60</v>
      </c>
      <c r="G1286" t="s">
        <v>29</v>
      </c>
      <c r="H1286" t="s">
        <v>27</v>
      </c>
      <c r="I1286">
        <v>3</v>
      </c>
      <c r="J1286" t="s">
        <v>2650</v>
      </c>
      <c r="K1286">
        <v>56</v>
      </c>
      <c r="L1286" t="s">
        <v>63</v>
      </c>
      <c r="M1286">
        <v>4</v>
      </c>
      <c r="N1286" t="s">
        <v>48</v>
      </c>
      <c r="O1286" t="s">
        <v>69</v>
      </c>
      <c r="P1286" t="s">
        <v>35</v>
      </c>
      <c r="Q1286" s="2">
        <v>13248.2</v>
      </c>
      <c r="R1286" s="2">
        <v>4167.5600000000004</v>
      </c>
      <c r="S1286" t="s">
        <v>94</v>
      </c>
      <c r="T1286" t="s">
        <v>37</v>
      </c>
      <c r="U1286" t="s">
        <v>38</v>
      </c>
      <c r="V1286">
        <v>1.1000000000000001</v>
      </c>
      <c r="W1286" t="s">
        <v>124</v>
      </c>
      <c r="X1286" t="s">
        <v>55</v>
      </c>
      <c r="Y1286" t="s">
        <v>72</v>
      </c>
    </row>
    <row r="1287" spans="1:25" x14ac:dyDescent="0.3">
      <c r="A1287" t="s">
        <v>2651</v>
      </c>
      <c r="B1287" s="1">
        <v>46211</v>
      </c>
      <c r="C1287" t="s">
        <v>43</v>
      </c>
      <c r="D1287" t="s">
        <v>58</v>
      </c>
      <c r="E1287" t="s">
        <v>4085</v>
      </c>
      <c r="F1287" t="s">
        <v>60</v>
      </c>
      <c r="G1287" t="s">
        <v>29</v>
      </c>
      <c r="H1287" t="s">
        <v>59</v>
      </c>
      <c r="I1287">
        <v>10</v>
      </c>
      <c r="J1287" t="s">
        <v>2652</v>
      </c>
      <c r="K1287">
        <v>44</v>
      </c>
      <c r="L1287" t="s">
        <v>32</v>
      </c>
      <c r="M1287">
        <v>7</v>
      </c>
      <c r="N1287" t="s">
        <v>91</v>
      </c>
      <c r="O1287" t="s">
        <v>69</v>
      </c>
      <c r="P1287" t="s">
        <v>70</v>
      </c>
      <c r="Q1287" s="2">
        <v>41135.870000000003</v>
      </c>
      <c r="R1287" s="2">
        <v>978.24</v>
      </c>
      <c r="S1287" t="s">
        <v>51</v>
      </c>
      <c r="T1287" t="s">
        <v>37</v>
      </c>
      <c r="U1287" t="s">
        <v>38</v>
      </c>
      <c r="V1287">
        <v>1.6</v>
      </c>
      <c r="W1287" t="s">
        <v>124</v>
      </c>
      <c r="X1287" t="s">
        <v>40</v>
      </c>
      <c r="Y1287" t="s">
        <v>72</v>
      </c>
    </row>
    <row r="1288" spans="1:25" x14ac:dyDescent="0.3">
      <c r="A1288" t="s">
        <v>2653</v>
      </c>
      <c r="B1288" s="1">
        <v>46212</v>
      </c>
      <c r="C1288" t="s">
        <v>117</v>
      </c>
      <c r="D1288" t="s">
        <v>4083</v>
      </c>
      <c r="E1288" t="s">
        <v>4085</v>
      </c>
      <c r="F1288" t="s">
        <v>60</v>
      </c>
      <c r="G1288" t="s">
        <v>29</v>
      </c>
      <c r="H1288" t="s">
        <v>46</v>
      </c>
      <c r="I1288">
        <v>9</v>
      </c>
      <c r="J1288" t="s">
        <v>2654</v>
      </c>
      <c r="K1288">
        <v>43</v>
      </c>
      <c r="L1288" t="s">
        <v>63</v>
      </c>
      <c r="M1288">
        <v>5</v>
      </c>
      <c r="N1288" t="s">
        <v>33</v>
      </c>
      <c r="O1288" t="s">
        <v>69</v>
      </c>
      <c r="P1288" t="s">
        <v>35</v>
      </c>
      <c r="Q1288" s="2">
        <v>26447.32</v>
      </c>
      <c r="R1288" s="2">
        <v>809.05</v>
      </c>
      <c r="S1288" t="s">
        <v>94</v>
      </c>
      <c r="T1288" t="s">
        <v>37</v>
      </c>
      <c r="U1288" t="s">
        <v>75</v>
      </c>
      <c r="V1288">
        <v>3.5</v>
      </c>
      <c r="W1288" t="s">
        <v>54</v>
      </c>
      <c r="X1288" t="s">
        <v>40</v>
      </c>
      <c r="Y1288" t="s">
        <v>41</v>
      </c>
    </row>
    <row r="1289" spans="1:25" x14ac:dyDescent="0.3">
      <c r="A1289" t="s">
        <v>2655</v>
      </c>
      <c r="B1289" s="1">
        <v>46213</v>
      </c>
      <c r="C1289" t="s">
        <v>57</v>
      </c>
      <c r="D1289" t="s">
        <v>44</v>
      </c>
      <c r="E1289" t="s">
        <v>4084</v>
      </c>
      <c r="F1289" t="s">
        <v>60</v>
      </c>
      <c r="G1289" t="s">
        <v>29</v>
      </c>
      <c r="H1289" t="s">
        <v>27</v>
      </c>
      <c r="I1289">
        <v>11</v>
      </c>
      <c r="J1289" t="s">
        <v>2656</v>
      </c>
      <c r="K1289">
        <v>45</v>
      </c>
      <c r="L1289" t="s">
        <v>80</v>
      </c>
      <c r="M1289">
        <v>3</v>
      </c>
      <c r="N1289" t="s">
        <v>64</v>
      </c>
      <c r="O1289" t="s">
        <v>81</v>
      </c>
      <c r="P1289" t="s">
        <v>70</v>
      </c>
      <c r="Q1289" s="2">
        <v>40978.06</v>
      </c>
      <c r="R1289" s="2">
        <v>3753.25</v>
      </c>
      <c r="S1289" t="s">
        <v>94</v>
      </c>
      <c r="T1289" t="s">
        <v>71</v>
      </c>
      <c r="U1289" t="s">
        <v>75</v>
      </c>
      <c r="V1289">
        <v>1.3</v>
      </c>
      <c r="W1289" t="s">
        <v>124</v>
      </c>
      <c r="X1289" t="s">
        <v>40</v>
      </c>
      <c r="Y1289" t="s">
        <v>41</v>
      </c>
    </row>
    <row r="1290" spans="1:25" x14ac:dyDescent="0.3">
      <c r="A1290" t="s">
        <v>2657</v>
      </c>
      <c r="B1290" s="1">
        <v>46214</v>
      </c>
      <c r="C1290" t="s">
        <v>78</v>
      </c>
      <c r="D1290" t="s">
        <v>58</v>
      </c>
      <c r="E1290" t="s">
        <v>4084</v>
      </c>
      <c r="F1290" t="s">
        <v>60</v>
      </c>
      <c r="G1290" t="s">
        <v>29</v>
      </c>
      <c r="H1290" t="s">
        <v>27</v>
      </c>
      <c r="I1290">
        <v>10</v>
      </c>
      <c r="J1290" t="s">
        <v>2658</v>
      </c>
      <c r="K1290">
        <v>30</v>
      </c>
      <c r="L1290" t="s">
        <v>32</v>
      </c>
      <c r="M1290">
        <v>6</v>
      </c>
      <c r="N1290" t="s">
        <v>48</v>
      </c>
      <c r="O1290" t="s">
        <v>81</v>
      </c>
      <c r="P1290" t="s">
        <v>70</v>
      </c>
      <c r="Q1290" s="2">
        <v>27749.35</v>
      </c>
      <c r="R1290" s="2">
        <v>1223.99</v>
      </c>
      <c r="S1290" t="s">
        <v>36</v>
      </c>
      <c r="T1290" t="s">
        <v>37</v>
      </c>
      <c r="U1290" t="s">
        <v>38</v>
      </c>
      <c r="V1290">
        <v>3.6</v>
      </c>
      <c r="W1290" t="s">
        <v>54</v>
      </c>
      <c r="X1290" t="s">
        <v>84</v>
      </c>
      <c r="Y1290" t="s">
        <v>72</v>
      </c>
    </row>
    <row r="1291" spans="1:25" x14ac:dyDescent="0.3">
      <c r="A1291" t="s">
        <v>2659</v>
      </c>
      <c r="B1291" s="1">
        <v>46215</v>
      </c>
      <c r="C1291" t="s">
        <v>57</v>
      </c>
      <c r="D1291" t="s">
        <v>44</v>
      </c>
      <c r="E1291" t="s">
        <v>4085</v>
      </c>
      <c r="F1291" t="s">
        <v>60</v>
      </c>
      <c r="G1291" t="s">
        <v>29</v>
      </c>
      <c r="H1291" t="s">
        <v>46</v>
      </c>
      <c r="I1291">
        <v>7</v>
      </c>
      <c r="J1291" t="s">
        <v>2660</v>
      </c>
      <c r="K1291">
        <v>29</v>
      </c>
      <c r="L1291" t="s">
        <v>80</v>
      </c>
      <c r="M1291">
        <v>3</v>
      </c>
      <c r="N1291" t="s">
        <v>91</v>
      </c>
      <c r="O1291" t="s">
        <v>69</v>
      </c>
      <c r="P1291" t="s">
        <v>35</v>
      </c>
      <c r="Q1291" s="2">
        <v>21979.75</v>
      </c>
      <c r="R1291" s="2">
        <v>13.97</v>
      </c>
      <c r="S1291" t="s">
        <v>51</v>
      </c>
      <c r="T1291" t="s">
        <v>71</v>
      </c>
      <c r="U1291" t="s">
        <v>83</v>
      </c>
      <c r="V1291">
        <v>4.9000000000000004</v>
      </c>
      <c r="W1291" t="s">
        <v>103</v>
      </c>
      <c r="X1291" t="s">
        <v>84</v>
      </c>
      <c r="Y1291" t="s">
        <v>41</v>
      </c>
    </row>
    <row r="1292" spans="1:25" x14ac:dyDescent="0.3">
      <c r="A1292" t="s">
        <v>2661</v>
      </c>
      <c r="B1292" s="1">
        <v>46216</v>
      </c>
      <c r="C1292" t="s">
        <v>43</v>
      </c>
      <c r="D1292" t="s">
        <v>58</v>
      </c>
      <c r="E1292" t="s">
        <v>4084</v>
      </c>
      <c r="F1292" t="s">
        <v>60</v>
      </c>
      <c r="G1292" t="s">
        <v>29</v>
      </c>
      <c r="H1292" t="s">
        <v>27</v>
      </c>
      <c r="I1292">
        <v>10</v>
      </c>
      <c r="J1292" t="s">
        <v>2662</v>
      </c>
      <c r="K1292">
        <v>61</v>
      </c>
      <c r="L1292" t="s">
        <v>63</v>
      </c>
      <c r="M1292">
        <v>4</v>
      </c>
      <c r="N1292" t="s">
        <v>48</v>
      </c>
      <c r="O1292" t="s">
        <v>34</v>
      </c>
      <c r="P1292" t="s">
        <v>35</v>
      </c>
      <c r="Q1292" s="2">
        <v>36353.35</v>
      </c>
      <c r="R1292" s="2">
        <v>4559.8</v>
      </c>
      <c r="S1292" t="s">
        <v>51</v>
      </c>
      <c r="T1292" t="s">
        <v>37</v>
      </c>
      <c r="U1292" t="s">
        <v>38</v>
      </c>
      <c r="V1292">
        <v>4.5</v>
      </c>
      <c r="W1292" t="s">
        <v>103</v>
      </c>
      <c r="X1292" t="s">
        <v>40</v>
      </c>
      <c r="Y1292" t="s">
        <v>41</v>
      </c>
    </row>
    <row r="1293" spans="1:25" x14ac:dyDescent="0.3">
      <c r="A1293" t="s">
        <v>2663</v>
      </c>
      <c r="B1293" s="1">
        <v>46217</v>
      </c>
      <c r="C1293" t="s">
        <v>78</v>
      </c>
      <c r="D1293" t="s">
        <v>58</v>
      </c>
      <c r="E1293" t="s">
        <v>4084</v>
      </c>
      <c r="F1293" t="s">
        <v>60</v>
      </c>
      <c r="G1293" t="s">
        <v>29</v>
      </c>
      <c r="H1293" t="s">
        <v>30</v>
      </c>
      <c r="I1293">
        <v>13</v>
      </c>
      <c r="J1293" t="s">
        <v>2664</v>
      </c>
      <c r="K1293">
        <v>45</v>
      </c>
      <c r="L1293" t="s">
        <v>80</v>
      </c>
      <c r="M1293">
        <v>4</v>
      </c>
      <c r="N1293" t="s">
        <v>91</v>
      </c>
      <c r="O1293" t="s">
        <v>34</v>
      </c>
      <c r="P1293" t="s">
        <v>35</v>
      </c>
      <c r="Q1293" s="2">
        <v>45528.23</v>
      </c>
      <c r="R1293" s="2">
        <v>3114.69</v>
      </c>
      <c r="S1293" t="s">
        <v>115</v>
      </c>
      <c r="T1293" t="s">
        <v>52</v>
      </c>
      <c r="U1293" t="s">
        <v>75</v>
      </c>
      <c r="V1293">
        <v>3.4</v>
      </c>
      <c r="W1293" t="s">
        <v>76</v>
      </c>
      <c r="X1293" t="s">
        <v>55</v>
      </c>
      <c r="Y1293" t="s">
        <v>72</v>
      </c>
    </row>
    <row r="1294" spans="1:25" x14ac:dyDescent="0.3">
      <c r="A1294" t="s">
        <v>2665</v>
      </c>
      <c r="B1294" s="1">
        <v>46218</v>
      </c>
      <c r="C1294" t="s">
        <v>26</v>
      </c>
      <c r="D1294" t="s">
        <v>26</v>
      </c>
      <c r="E1294" t="s">
        <v>89</v>
      </c>
      <c r="F1294" t="s">
        <v>28</v>
      </c>
      <c r="G1294" t="s">
        <v>29</v>
      </c>
      <c r="H1294" t="s">
        <v>61</v>
      </c>
      <c r="I1294">
        <v>12</v>
      </c>
      <c r="J1294" t="s">
        <v>2666</v>
      </c>
      <c r="K1294">
        <v>19</v>
      </c>
      <c r="L1294" t="s">
        <v>80</v>
      </c>
      <c r="M1294">
        <v>3</v>
      </c>
      <c r="N1294" t="s">
        <v>64</v>
      </c>
      <c r="O1294" t="s">
        <v>81</v>
      </c>
      <c r="P1294" t="s">
        <v>70</v>
      </c>
      <c r="Q1294" s="2">
        <v>19411.330000000002</v>
      </c>
      <c r="R1294" s="2">
        <v>2224.69</v>
      </c>
      <c r="S1294" t="s">
        <v>36</v>
      </c>
      <c r="T1294" t="s">
        <v>37</v>
      </c>
      <c r="U1294" t="s">
        <v>38</v>
      </c>
      <c r="V1294">
        <v>4.5999999999999996</v>
      </c>
      <c r="W1294" t="s">
        <v>103</v>
      </c>
      <c r="X1294" t="s">
        <v>65</v>
      </c>
      <c r="Y1294" t="s">
        <v>72</v>
      </c>
    </row>
    <row r="1295" spans="1:25" x14ac:dyDescent="0.3">
      <c r="A1295" t="s">
        <v>2667</v>
      </c>
      <c r="B1295" s="1">
        <v>46219</v>
      </c>
      <c r="C1295" t="s">
        <v>57</v>
      </c>
      <c r="D1295" t="s">
        <v>44</v>
      </c>
      <c r="E1295" t="s">
        <v>120</v>
      </c>
      <c r="F1295" t="s">
        <v>28</v>
      </c>
      <c r="G1295" t="s">
        <v>29</v>
      </c>
      <c r="H1295" t="s">
        <v>86</v>
      </c>
      <c r="I1295">
        <v>14</v>
      </c>
      <c r="J1295" t="s">
        <v>2668</v>
      </c>
      <c r="K1295">
        <v>54</v>
      </c>
      <c r="L1295" t="s">
        <v>63</v>
      </c>
      <c r="M1295">
        <v>6</v>
      </c>
      <c r="N1295" t="s">
        <v>33</v>
      </c>
      <c r="O1295" t="s">
        <v>34</v>
      </c>
      <c r="P1295" t="s">
        <v>50</v>
      </c>
      <c r="Q1295" s="2">
        <v>25733.67</v>
      </c>
      <c r="R1295" s="2">
        <v>3628.68</v>
      </c>
      <c r="S1295" t="s">
        <v>115</v>
      </c>
      <c r="T1295" t="s">
        <v>37</v>
      </c>
      <c r="U1295" t="s">
        <v>83</v>
      </c>
      <c r="V1295">
        <v>1.5</v>
      </c>
      <c r="W1295" t="s">
        <v>124</v>
      </c>
      <c r="X1295" t="s">
        <v>84</v>
      </c>
      <c r="Y1295" t="s">
        <v>72</v>
      </c>
    </row>
    <row r="1296" spans="1:25" x14ac:dyDescent="0.3">
      <c r="A1296" t="s">
        <v>2669</v>
      </c>
      <c r="B1296" s="1">
        <v>46220</v>
      </c>
      <c r="C1296" t="s">
        <v>78</v>
      </c>
      <c r="D1296" t="s">
        <v>58</v>
      </c>
      <c r="E1296" t="s">
        <v>4085</v>
      </c>
      <c r="F1296" t="s">
        <v>60</v>
      </c>
      <c r="G1296" t="s">
        <v>29</v>
      </c>
      <c r="H1296" t="s">
        <v>46</v>
      </c>
      <c r="I1296">
        <v>14</v>
      </c>
      <c r="J1296" t="s">
        <v>2670</v>
      </c>
      <c r="K1296">
        <v>51</v>
      </c>
      <c r="L1296" t="s">
        <v>63</v>
      </c>
      <c r="M1296">
        <v>7</v>
      </c>
      <c r="N1296" t="s">
        <v>91</v>
      </c>
      <c r="O1296" t="s">
        <v>34</v>
      </c>
      <c r="P1296" t="s">
        <v>70</v>
      </c>
      <c r="Q1296" s="2">
        <v>15323.03</v>
      </c>
      <c r="R1296" s="2">
        <v>1666.66</v>
      </c>
      <c r="S1296" t="s">
        <v>94</v>
      </c>
      <c r="T1296" t="s">
        <v>71</v>
      </c>
      <c r="U1296" t="s">
        <v>83</v>
      </c>
      <c r="V1296">
        <v>2.8</v>
      </c>
      <c r="W1296" t="s">
        <v>76</v>
      </c>
      <c r="X1296" t="s">
        <v>40</v>
      </c>
      <c r="Y1296" t="s">
        <v>41</v>
      </c>
    </row>
    <row r="1297" spans="1:25" x14ac:dyDescent="0.3">
      <c r="A1297" t="s">
        <v>2671</v>
      </c>
      <c r="B1297" s="1">
        <v>46221</v>
      </c>
      <c r="C1297" t="s">
        <v>57</v>
      </c>
      <c r="D1297" t="s">
        <v>44</v>
      </c>
      <c r="E1297" t="s">
        <v>89</v>
      </c>
      <c r="F1297" t="s">
        <v>28</v>
      </c>
      <c r="G1297" t="s">
        <v>29</v>
      </c>
      <c r="H1297" t="s">
        <v>61</v>
      </c>
      <c r="I1297">
        <v>5</v>
      </c>
      <c r="J1297" t="s">
        <v>2672</v>
      </c>
      <c r="K1297">
        <v>40</v>
      </c>
      <c r="L1297" t="s">
        <v>32</v>
      </c>
      <c r="M1297">
        <v>2</v>
      </c>
      <c r="N1297" t="s">
        <v>91</v>
      </c>
      <c r="O1297" t="s">
        <v>69</v>
      </c>
      <c r="P1297" t="s">
        <v>50</v>
      </c>
      <c r="Q1297" s="2">
        <v>13253.43</v>
      </c>
      <c r="R1297" s="2">
        <v>4768.33</v>
      </c>
      <c r="S1297" t="s">
        <v>51</v>
      </c>
      <c r="T1297" t="s">
        <v>71</v>
      </c>
      <c r="U1297" t="s">
        <v>75</v>
      </c>
      <c r="V1297">
        <v>2.7</v>
      </c>
      <c r="W1297" t="s">
        <v>76</v>
      </c>
      <c r="X1297" t="s">
        <v>106</v>
      </c>
      <c r="Y1297" t="s">
        <v>41</v>
      </c>
    </row>
    <row r="1298" spans="1:25" x14ac:dyDescent="0.3">
      <c r="A1298" t="s">
        <v>2673</v>
      </c>
      <c r="B1298" s="1">
        <v>46222</v>
      </c>
      <c r="C1298" t="s">
        <v>78</v>
      </c>
      <c r="D1298" t="s">
        <v>58</v>
      </c>
      <c r="E1298" t="s">
        <v>120</v>
      </c>
      <c r="F1298" t="s">
        <v>28</v>
      </c>
      <c r="G1298" t="s">
        <v>29</v>
      </c>
      <c r="H1298" t="s">
        <v>86</v>
      </c>
      <c r="I1298">
        <v>12</v>
      </c>
      <c r="J1298" t="s">
        <v>2674</v>
      </c>
      <c r="K1298">
        <v>69</v>
      </c>
      <c r="L1298" t="s">
        <v>32</v>
      </c>
      <c r="M1298">
        <v>7</v>
      </c>
      <c r="N1298" t="s">
        <v>64</v>
      </c>
      <c r="O1298" t="s">
        <v>34</v>
      </c>
      <c r="P1298" t="s">
        <v>35</v>
      </c>
      <c r="Q1298" s="2">
        <v>40005.06</v>
      </c>
      <c r="R1298" s="2">
        <v>343.1</v>
      </c>
      <c r="S1298" t="s">
        <v>94</v>
      </c>
      <c r="T1298" t="s">
        <v>71</v>
      </c>
      <c r="U1298" t="s">
        <v>38</v>
      </c>
      <c r="V1298">
        <v>2.2999999999999998</v>
      </c>
      <c r="W1298" t="s">
        <v>76</v>
      </c>
      <c r="X1298" t="s">
        <v>84</v>
      </c>
      <c r="Y1298" t="s">
        <v>41</v>
      </c>
    </row>
    <row r="1299" spans="1:25" x14ac:dyDescent="0.3">
      <c r="A1299" t="s">
        <v>2675</v>
      </c>
      <c r="B1299" s="1">
        <v>46223</v>
      </c>
      <c r="C1299" t="s">
        <v>117</v>
      </c>
      <c r="D1299" t="s">
        <v>4083</v>
      </c>
      <c r="E1299" t="s">
        <v>4084</v>
      </c>
      <c r="F1299" t="s">
        <v>60</v>
      </c>
      <c r="G1299" t="s">
        <v>29</v>
      </c>
      <c r="H1299" t="s">
        <v>30</v>
      </c>
      <c r="I1299">
        <v>9</v>
      </c>
      <c r="J1299" t="s">
        <v>2676</v>
      </c>
      <c r="K1299">
        <v>62</v>
      </c>
      <c r="L1299" t="s">
        <v>32</v>
      </c>
      <c r="M1299">
        <v>2</v>
      </c>
      <c r="N1299" t="s">
        <v>48</v>
      </c>
      <c r="O1299" t="s">
        <v>34</v>
      </c>
      <c r="P1299" t="s">
        <v>70</v>
      </c>
      <c r="Q1299" s="2">
        <v>14029.89</v>
      </c>
      <c r="R1299" s="2">
        <v>3204.74</v>
      </c>
      <c r="S1299" t="s">
        <v>94</v>
      </c>
      <c r="T1299" t="s">
        <v>52</v>
      </c>
      <c r="U1299" t="s">
        <v>75</v>
      </c>
      <c r="V1299">
        <v>1</v>
      </c>
      <c r="W1299" t="s">
        <v>124</v>
      </c>
      <c r="X1299" t="s">
        <v>65</v>
      </c>
      <c r="Y1299" t="s">
        <v>41</v>
      </c>
    </row>
    <row r="1300" spans="1:25" x14ac:dyDescent="0.3">
      <c r="A1300" t="s">
        <v>2677</v>
      </c>
      <c r="B1300" s="1">
        <v>46224</v>
      </c>
      <c r="C1300" t="s">
        <v>57</v>
      </c>
      <c r="D1300" t="s">
        <v>44</v>
      </c>
      <c r="E1300" t="s">
        <v>4084</v>
      </c>
      <c r="F1300" t="s">
        <v>60</v>
      </c>
      <c r="G1300" t="s">
        <v>29</v>
      </c>
      <c r="H1300" t="s">
        <v>27</v>
      </c>
      <c r="I1300">
        <v>14</v>
      </c>
      <c r="J1300" t="s">
        <v>2678</v>
      </c>
      <c r="K1300">
        <v>46</v>
      </c>
      <c r="L1300" t="s">
        <v>63</v>
      </c>
      <c r="M1300">
        <v>5</v>
      </c>
      <c r="N1300" t="s">
        <v>33</v>
      </c>
      <c r="O1300" t="s">
        <v>81</v>
      </c>
      <c r="P1300" t="s">
        <v>35</v>
      </c>
      <c r="Q1300" s="2">
        <v>40699.32</v>
      </c>
      <c r="R1300" s="2">
        <v>3886.45</v>
      </c>
      <c r="S1300" t="s">
        <v>36</v>
      </c>
      <c r="T1300" t="s">
        <v>52</v>
      </c>
      <c r="U1300" t="s">
        <v>53</v>
      </c>
      <c r="V1300">
        <v>4.5999999999999996</v>
      </c>
      <c r="W1300" t="s">
        <v>103</v>
      </c>
      <c r="X1300" t="s">
        <v>84</v>
      </c>
      <c r="Y1300" t="s">
        <v>41</v>
      </c>
    </row>
    <row r="1301" spans="1:25" x14ac:dyDescent="0.3">
      <c r="A1301" t="s">
        <v>2679</v>
      </c>
      <c r="B1301" s="1">
        <v>46225</v>
      </c>
      <c r="C1301" t="s">
        <v>26</v>
      </c>
      <c r="D1301" t="s">
        <v>26</v>
      </c>
      <c r="E1301" t="s">
        <v>89</v>
      </c>
      <c r="F1301" t="s">
        <v>28</v>
      </c>
      <c r="G1301" t="s">
        <v>29</v>
      </c>
      <c r="H1301" t="s">
        <v>61</v>
      </c>
      <c r="I1301">
        <v>6</v>
      </c>
      <c r="J1301" t="s">
        <v>2680</v>
      </c>
      <c r="K1301">
        <v>52</v>
      </c>
      <c r="L1301" t="s">
        <v>80</v>
      </c>
      <c r="M1301">
        <v>7</v>
      </c>
      <c r="N1301" t="s">
        <v>91</v>
      </c>
      <c r="O1301" t="s">
        <v>81</v>
      </c>
      <c r="P1301" t="s">
        <v>50</v>
      </c>
      <c r="Q1301" s="2">
        <v>24314.77</v>
      </c>
      <c r="R1301" s="2">
        <v>2345.63</v>
      </c>
      <c r="S1301" t="s">
        <v>36</v>
      </c>
      <c r="T1301" t="s">
        <v>71</v>
      </c>
      <c r="U1301" t="s">
        <v>75</v>
      </c>
      <c r="V1301">
        <v>4.0999999999999996</v>
      </c>
      <c r="W1301" t="s">
        <v>54</v>
      </c>
      <c r="X1301" t="s">
        <v>65</v>
      </c>
      <c r="Y1301" t="s">
        <v>41</v>
      </c>
    </row>
    <row r="1302" spans="1:25" x14ac:dyDescent="0.3">
      <c r="A1302" t="s">
        <v>2681</v>
      </c>
      <c r="B1302" s="1">
        <v>46226</v>
      </c>
      <c r="C1302" t="s">
        <v>26</v>
      </c>
      <c r="D1302" t="s">
        <v>26</v>
      </c>
      <c r="E1302" t="s">
        <v>4084</v>
      </c>
      <c r="F1302" t="s">
        <v>60</v>
      </c>
      <c r="G1302" t="s">
        <v>29</v>
      </c>
      <c r="H1302" t="s">
        <v>27</v>
      </c>
      <c r="I1302">
        <v>7</v>
      </c>
      <c r="J1302" t="s">
        <v>2682</v>
      </c>
      <c r="K1302">
        <v>28</v>
      </c>
      <c r="L1302" t="s">
        <v>80</v>
      </c>
      <c r="M1302">
        <v>3</v>
      </c>
      <c r="N1302" t="s">
        <v>91</v>
      </c>
      <c r="O1302" t="s">
        <v>81</v>
      </c>
      <c r="P1302" t="s">
        <v>50</v>
      </c>
      <c r="Q1302" s="2">
        <v>49777.19</v>
      </c>
      <c r="R1302" s="2">
        <v>3774.84</v>
      </c>
      <c r="S1302" t="s">
        <v>51</v>
      </c>
      <c r="T1302" t="s">
        <v>52</v>
      </c>
      <c r="U1302" t="s">
        <v>75</v>
      </c>
      <c r="V1302">
        <v>3.6</v>
      </c>
      <c r="W1302" t="s">
        <v>54</v>
      </c>
      <c r="X1302" t="s">
        <v>65</v>
      </c>
      <c r="Y1302" t="s">
        <v>72</v>
      </c>
    </row>
    <row r="1303" spans="1:25" x14ac:dyDescent="0.3">
      <c r="A1303" t="s">
        <v>2683</v>
      </c>
      <c r="B1303" s="1">
        <v>46227</v>
      </c>
      <c r="C1303" t="s">
        <v>43</v>
      </c>
      <c r="D1303" t="s">
        <v>58</v>
      </c>
      <c r="E1303" t="s">
        <v>45</v>
      </c>
      <c r="F1303" t="s">
        <v>28</v>
      </c>
      <c r="G1303" t="s">
        <v>29</v>
      </c>
      <c r="H1303" t="s">
        <v>67</v>
      </c>
      <c r="I1303">
        <v>11</v>
      </c>
      <c r="J1303" t="s">
        <v>2684</v>
      </c>
      <c r="K1303">
        <v>65</v>
      </c>
      <c r="L1303" t="s">
        <v>32</v>
      </c>
      <c r="M1303">
        <v>3</v>
      </c>
      <c r="N1303" t="s">
        <v>33</v>
      </c>
      <c r="O1303" t="s">
        <v>34</v>
      </c>
      <c r="P1303" t="s">
        <v>70</v>
      </c>
      <c r="Q1303" s="2">
        <v>13880.36</v>
      </c>
      <c r="R1303" s="2">
        <v>4634.55</v>
      </c>
      <c r="S1303" t="s">
        <v>51</v>
      </c>
      <c r="T1303" t="s">
        <v>71</v>
      </c>
      <c r="U1303" t="s">
        <v>75</v>
      </c>
      <c r="V1303">
        <v>1.5</v>
      </c>
      <c r="W1303" t="s">
        <v>124</v>
      </c>
      <c r="X1303" t="s">
        <v>84</v>
      </c>
      <c r="Y1303" t="s">
        <v>72</v>
      </c>
    </row>
    <row r="1304" spans="1:25" x14ac:dyDescent="0.3">
      <c r="A1304" t="s">
        <v>2685</v>
      </c>
      <c r="B1304" s="1">
        <v>46228</v>
      </c>
      <c r="C1304" t="s">
        <v>78</v>
      </c>
      <c r="D1304" t="s">
        <v>58</v>
      </c>
      <c r="E1304" t="s">
        <v>89</v>
      </c>
      <c r="F1304" t="s">
        <v>28</v>
      </c>
      <c r="G1304" t="s">
        <v>29</v>
      </c>
      <c r="H1304" t="s">
        <v>61</v>
      </c>
      <c r="I1304">
        <v>9</v>
      </c>
      <c r="J1304" t="s">
        <v>2686</v>
      </c>
      <c r="K1304">
        <v>50</v>
      </c>
      <c r="L1304" t="s">
        <v>32</v>
      </c>
      <c r="M1304">
        <v>6</v>
      </c>
      <c r="N1304" t="s">
        <v>64</v>
      </c>
      <c r="O1304" t="s">
        <v>69</v>
      </c>
      <c r="P1304" t="s">
        <v>70</v>
      </c>
      <c r="Q1304" s="2">
        <v>9184.01</v>
      </c>
      <c r="R1304" s="2">
        <v>3719.97</v>
      </c>
      <c r="S1304" t="s">
        <v>36</v>
      </c>
      <c r="T1304" t="s">
        <v>52</v>
      </c>
      <c r="U1304" t="s">
        <v>38</v>
      </c>
      <c r="V1304">
        <v>2.5</v>
      </c>
      <c r="W1304" t="s">
        <v>76</v>
      </c>
      <c r="X1304" t="s">
        <v>65</v>
      </c>
      <c r="Y1304" t="s">
        <v>41</v>
      </c>
    </row>
    <row r="1305" spans="1:25" x14ac:dyDescent="0.3">
      <c r="A1305" t="s">
        <v>2687</v>
      </c>
      <c r="B1305" s="1">
        <v>46229</v>
      </c>
      <c r="C1305" t="s">
        <v>57</v>
      </c>
      <c r="D1305" t="s">
        <v>44</v>
      </c>
      <c r="E1305" t="s">
        <v>120</v>
      </c>
      <c r="F1305" t="s">
        <v>28</v>
      </c>
      <c r="G1305" t="s">
        <v>29</v>
      </c>
      <c r="H1305" t="s">
        <v>86</v>
      </c>
      <c r="I1305">
        <v>6</v>
      </c>
      <c r="J1305" t="s">
        <v>2688</v>
      </c>
      <c r="K1305">
        <v>68</v>
      </c>
      <c r="L1305" t="s">
        <v>63</v>
      </c>
      <c r="M1305">
        <v>3</v>
      </c>
      <c r="N1305" t="s">
        <v>48</v>
      </c>
      <c r="O1305" t="s">
        <v>49</v>
      </c>
      <c r="P1305" t="s">
        <v>70</v>
      </c>
      <c r="Q1305" s="2">
        <v>8394.49</v>
      </c>
      <c r="R1305" s="2">
        <v>1546.83</v>
      </c>
      <c r="S1305" t="s">
        <v>36</v>
      </c>
      <c r="T1305" t="s">
        <v>71</v>
      </c>
      <c r="U1305" t="s">
        <v>53</v>
      </c>
      <c r="V1305">
        <v>4.7</v>
      </c>
      <c r="W1305" t="s">
        <v>103</v>
      </c>
      <c r="X1305" t="s">
        <v>84</v>
      </c>
      <c r="Y1305" t="s">
        <v>72</v>
      </c>
    </row>
    <row r="1306" spans="1:25" x14ac:dyDescent="0.3">
      <c r="A1306" t="s">
        <v>2689</v>
      </c>
      <c r="B1306" s="1">
        <v>46230</v>
      </c>
      <c r="C1306" t="s">
        <v>43</v>
      </c>
      <c r="D1306" t="s">
        <v>58</v>
      </c>
      <c r="E1306" t="s">
        <v>89</v>
      </c>
      <c r="F1306" t="s">
        <v>28</v>
      </c>
      <c r="G1306" t="s">
        <v>29</v>
      </c>
      <c r="H1306" t="s">
        <v>61</v>
      </c>
      <c r="I1306">
        <v>8</v>
      </c>
      <c r="J1306" t="s">
        <v>2690</v>
      </c>
      <c r="K1306">
        <v>28</v>
      </c>
      <c r="L1306" t="s">
        <v>80</v>
      </c>
      <c r="M1306">
        <v>6</v>
      </c>
      <c r="N1306" t="s">
        <v>33</v>
      </c>
      <c r="O1306" t="s">
        <v>81</v>
      </c>
      <c r="P1306" t="s">
        <v>70</v>
      </c>
      <c r="Q1306" s="2">
        <v>42593.81</v>
      </c>
      <c r="R1306" s="2">
        <v>2809.23</v>
      </c>
      <c r="S1306" t="s">
        <v>36</v>
      </c>
      <c r="T1306" t="s">
        <v>71</v>
      </c>
      <c r="U1306" t="s">
        <v>38</v>
      </c>
      <c r="V1306">
        <v>3.5</v>
      </c>
      <c r="W1306" t="s">
        <v>54</v>
      </c>
      <c r="X1306" t="s">
        <v>84</v>
      </c>
      <c r="Y1306" t="s">
        <v>72</v>
      </c>
    </row>
    <row r="1307" spans="1:25" x14ac:dyDescent="0.3">
      <c r="A1307" t="s">
        <v>2691</v>
      </c>
      <c r="B1307" s="1">
        <v>46231</v>
      </c>
      <c r="C1307" t="s">
        <v>57</v>
      </c>
      <c r="D1307" t="s">
        <v>44</v>
      </c>
      <c r="E1307" t="s">
        <v>4085</v>
      </c>
      <c r="F1307" t="s">
        <v>60</v>
      </c>
      <c r="G1307" t="s">
        <v>29</v>
      </c>
      <c r="H1307" t="s">
        <v>59</v>
      </c>
      <c r="I1307">
        <v>12</v>
      </c>
      <c r="J1307" t="s">
        <v>2692</v>
      </c>
      <c r="K1307">
        <v>26</v>
      </c>
      <c r="L1307" t="s">
        <v>32</v>
      </c>
      <c r="M1307">
        <v>3</v>
      </c>
      <c r="N1307" t="s">
        <v>48</v>
      </c>
      <c r="O1307" t="s">
        <v>81</v>
      </c>
      <c r="P1307" t="s">
        <v>82</v>
      </c>
      <c r="Q1307" s="2">
        <v>24699.93</v>
      </c>
      <c r="R1307" s="2">
        <v>4558.0200000000004</v>
      </c>
      <c r="S1307" t="s">
        <v>36</v>
      </c>
      <c r="T1307" t="s">
        <v>52</v>
      </c>
      <c r="U1307" t="s">
        <v>83</v>
      </c>
      <c r="V1307">
        <v>3.4</v>
      </c>
      <c r="W1307" t="s">
        <v>76</v>
      </c>
      <c r="X1307" t="s">
        <v>55</v>
      </c>
      <c r="Y1307" t="s">
        <v>72</v>
      </c>
    </row>
    <row r="1308" spans="1:25" x14ac:dyDescent="0.3">
      <c r="A1308" t="s">
        <v>2693</v>
      </c>
      <c r="B1308" s="1">
        <v>46232</v>
      </c>
      <c r="C1308" t="s">
        <v>78</v>
      </c>
      <c r="D1308" t="s">
        <v>58</v>
      </c>
      <c r="E1308" t="s">
        <v>89</v>
      </c>
      <c r="F1308" t="s">
        <v>28</v>
      </c>
      <c r="G1308" t="s">
        <v>29</v>
      </c>
      <c r="H1308" t="s">
        <v>61</v>
      </c>
      <c r="I1308">
        <v>13</v>
      </c>
      <c r="J1308" t="s">
        <v>2694</v>
      </c>
      <c r="K1308">
        <v>31</v>
      </c>
      <c r="L1308" t="s">
        <v>63</v>
      </c>
      <c r="M1308">
        <v>4</v>
      </c>
      <c r="N1308" t="s">
        <v>64</v>
      </c>
      <c r="O1308" t="s">
        <v>81</v>
      </c>
      <c r="P1308" t="s">
        <v>82</v>
      </c>
      <c r="Q1308" s="2">
        <v>5140.6000000000004</v>
      </c>
      <c r="R1308" s="2">
        <v>2245.4899999999998</v>
      </c>
      <c r="S1308" t="s">
        <v>51</v>
      </c>
      <c r="T1308" t="s">
        <v>37</v>
      </c>
      <c r="U1308" t="s">
        <v>53</v>
      </c>
      <c r="V1308">
        <v>4.7</v>
      </c>
      <c r="W1308" t="s">
        <v>103</v>
      </c>
      <c r="X1308" t="s">
        <v>106</v>
      </c>
      <c r="Y1308" t="s">
        <v>41</v>
      </c>
    </row>
    <row r="1309" spans="1:25" x14ac:dyDescent="0.3">
      <c r="A1309" t="s">
        <v>2695</v>
      </c>
      <c r="B1309" s="1">
        <v>46233</v>
      </c>
      <c r="C1309" t="s">
        <v>26</v>
      </c>
      <c r="D1309" t="s">
        <v>26</v>
      </c>
      <c r="E1309" t="s">
        <v>4084</v>
      </c>
      <c r="F1309" t="s">
        <v>60</v>
      </c>
      <c r="G1309" t="s">
        <v>29</v>
      </c>
      <c r="H1309" t="s">
        <v>30</v>
      </c>
      <c r="I1309">
        <v>9</v>
      </c>
      <c r="J1309" t="s">
        <v>2696</v>
      </c>
      <c r="K1309">
        <v>26</v>
      </c>
      <c r="L1309" t="s">
        <v>32</v>
      </c>
      <c r="M1309">
        <v>1</v>
      </c>
      <c r="N1309" t="s">
        <v>64</v>
      </c>
      <c r="O1309" t="s">
        <v>69</v>
      </c>
      <c r="P1309" t="s">
        <v>35</v>
      </c>
      <c r="Q1309" s="2">
        <v>44364.71</v>
      </c>
      <c r="R1309" s="2">
        <v>3408.49</v>
      </c>
      <c r="S1309" t="s">
        <v>51</v>
      </c>
      <c r="T1309" t="s">
        <v>71</v>
      </c>
      <c r="U1309" t="s">
        <v>75</v>
      </c>
      <c r="V1309">
        <v>3.2</v>
      </c>
      <c r="W1309" t="s">
        <v>76</v>
      </c>
      <c r="X1309" t="s">
        <v>65</v>
      </c>
      <c r="Y1309" t="s">
        <v>72</v>
      </c>
    </row>
    <row r="1310" spans="1:25" x14ac:dyDescent="0.3">
      <c r="A1310" t="s">
        <v>2697</v>
      </c>
      <c r="B1310" s="1">
        <v>46234</v>
      </c>
      <c r="C1310" t="s">
        <v>117</v>
      </c>
      <c r="D1310" t="s">
        <v>4083</v>
      </c>
      <c r="E1310" t="s">
        <v>4084</v>
      </c>
      <c r="F1310" t="s">
        <v>60</v>
      </c>
      <c r="G1310" t="s">
        <v>29</v>
      </c>
      <c r="H1310" t="s">
        <v>27</v>
      </c>
      <c r="I1310">
        <v>12</v>
      </c>
      <c r="J1310" t="s">
        <v>2698</v>
      </c>
      <c r="K1310">
        <v>56</v>
      </c>
      <c r="L1310" t="s">
        <v>63</v>
      </c>
      <c r="M1310">
        <v>3</v>
      </c>
      <c r="N1310" t="s">
        <v>33</v>
      </c>
      <c r="O1310" t="s">
        <v>49</v>
      </c>
      <c r="P1310" t="s">
        <v>50</v>
      </c>
      <c r="Q1310" s="2">
        <v>44461.45</v>
      </c>
      <c r="R1310" s="2">
        <v>2327.5700000000002</v>
      </c>
      <c r="S1310" t="s">
        <v>94</v>
      </c>
      <c r="T1310" t="s">
        <v>71</v>
      </c>
      <c r="U1310" t="s">
        <v>75</v>
      </c>
      <c r="V1310">
        <v>3.4</v>
      </c>
      <c r="W1310" t="s">
        <v>76</v>
      </c>
      <c r="X1310" t="s">
        <v>84</v>
      </c>
      <c r="Y1310" t="s">
        <v>72</v>
      </c>
    </row>
    <row r="1311" spans="1:25" x14ac:dyDescent="0.3">
      <c r="A1311" t="s">
        <v>2699</v>
      </c>
      <c r="B1311" s="1">
        <v>46235</v>
      </c>
      <c r="C1311" t="s">
        <v>26</v>
      </c>
      <c r="D1311" t="s">
        <v>26</v>
      </c>
      <c r="E1311" t="s">
        <v>45</v>
      </c>
      <c r="F1311" t="s">
        <v>28</v>
      </c>
      <c r="G1311" t="s">
        <v>29</v>
      </c>
      <c r="H1311" t="s">
        <v>67</v>
      </c>
      <c r="I1311">
        <v>11</v>
      </c>
      <c r="J1311" t="s">
        <v>2700</v>
      </c>
      <c r="K1311">
        <v>65</v>
      </c>
      <c r="L1311" t="s">
        <v>80</v>
      </c>
      <c r="M1311">
        <v>1</v>
      </c>
      <c r="N1311" t="s">
        <v>91</v>
      </c>
      <c r="O1311" t="s">
        <v>49</v>
      </c>
      <c r="P1311" t="s">
        <v>50</v>
      </c>
      <c r="Q1311" s="2">
        <v>41288.75</v>
      </c>
      <c r="R1311" s="2">
        <v>606.72</v>
      </c>
      <c r="S1311" t="s">
        <v>94</v>
      </c>
      <c r="T1311" t="s">
        <v>37</v>
      </c>
      <c r="U1311" t="s">
        <v>75</v>
      </c>
      <c r="V1311">
        <v>2.4</v>
      </c>
      <c r="W1311" t="s">
        <v>76</v>
      </c>
      <c r="X1311" t="s">
        <v>65</v>
      </c>
      <c r="Y1311" t="s">
        <v>41</v>
      </c>
    </row>
    <row r="1312" spans="1:25" x14ac:dyDescent="0.3">
      <c r="A1312" t="s">
        <v>2701</v>
      </c>
      <c r="B1312" s="1">
        <v>46236</v>
      </c>
      <c r="C1312" t="s">
        <v>43</v>
      </c>
      <c r="D1312" t="s">
        <v>58</v>
      </c>
      <c r="E1312" t="s">
        <v>45</v>
      </c>
      <c r="F1312" t="s">
        <v>28</v>
      </c>
      <c r="G1312" t="s">
        <v>29</v>
      </c>
      <c r="H1312" t="s">
        <v>67</v>
      </c>
      <c r="I1312">
        <v>6</v>
      </c>
      <c r="J1312" t="s">
        <v>2702</v>
      </c>
      <c r="K1312">
        <v>20</v>
      </c>
      <c r="L1312" t="s">
        <v>63</v>
      </c>
      <c r="M1312">
        <v>2</v>
      </c>
      <c r="N1312" t="s">
        <v>64</v>
      </c>
      <c r="O1312" t="s">
        <v>81</v>
      </c>
      <c r="P1312" t="s">
        <v>35</v>
      </c>
      <c r="Q1312" s="2">
        <v>16174.33</v>
      </c>
      <c r="R1312" s="2">
        <v>292.99</v>
      </c>
      <c r="S1312" t="s">
        <v>94</v>
      </c>
      <c r="T1312" t="s">
        <v>71</v>
      </c>
      <c r="U1312" t="s">
        <v>38</v>
      </c>
      <c r="V1312">
        <v>2.5</v>
      </c>
      <c r="W1312" t="s">
        <v>76</v>
      </c>
      <c r="X1312" t="s">
        <v>84</v>
      </c>
      <c r="Y1312" t="s">
        <v>41</v>
      </c>
    </row>
    <row r="1313" spans="1:25" x14ac:dyDescent="0.3">
      <c r="A1313" t="s">
        <v>2703</v>
      </c>
      <c r="B1313" s="1">
        <v>46237</v>
      </c>
      <c r="C1313" t="s">
        <v>117</v>
      </c>
      <c r="D1313" t="s">
        <v>4083</v>
      </c>
      <c r="E1313" t="s">
        <v>45</v>
      </c>
      <c r="F1313" t="s">
        <v>28</v>
      </c>
      <c r="G1313" t="s">
        <v>29</v>
      </c>
      <c r="H1313" t="s">
        <v>67</v>
      </c>
      <c r="I1313">
        <v>12</v>
      </c>
      <c r="J1313" t="s">
        <v>2704</v>
      </c>
      <c r="K1313">
        <v>46</v>
      </c>
      <c r="L1313" t="s">
        <v>32</v>
      </c>
      <c r="M1313">
        <v>5</v>
      </c>
      <c r="N1313" t="s">
        <v>64</v>
      </c>
      <c r="O1313" t="s">
        <v>34</v>
      </c>
      <c r="P1313" t="s">
        <v>35</v>
      </c>
      <c r="Q1313" s="2">
        <v>21773.87</v>
      </c>
      <c r="R1313" s="2">
        <v>4761.37</v>
      </c>
      <c r="S1313" t="s">
        <v>51</v>
      </c>
      <c r="T1313" t="s">
        <v>71</v>
      </c>
      <c r="U1313" t="s">
        <v>83</v>
      </c>
      <c r="V1313">
        <v>3.7</v>
      </c>
      <c r="W1313" t="s">
        <v>54</v>
      </c>
      <c r="X1313" t="s">
        <v>84</v>
      </c>
      <c r="Y1313" t="s">
        <v>41</v>
      </c>
    </row>
    <row r="1314" spans="1:25" x14ac:dyDescent="0.3">
      <c r="A1314" t="s">
        <v>2705</v>
      </c>
      <c r="B1314" s="1">
        <v>46238</v>
      </c>
      <c r="C1314" t="s">
        <v>43</v>
      </c>
      <c r="D1314" t="s">
        <v>58</v>
      </c>
      <c r="E1314" t="s">
        <v>120</v>
      </c>
      <c r="F1314" t="s">
        <v>28</v>
      </c>
      <c r="G1314" t="s">
        <v>29</v>
      </c>
      <c r="H1314" t="s">
        <v>86</v>
      </c>
      <c r="I1314">
        <v>5</v>
      </c>
      <c r="J1314" t="s">
        <v>2706</v>
      </c>
      <c r="K1314">
        <v>36</v>
      </c>
      <c r="L1314" t="s">
        <v>32</v>
      </c>
      <c r="M1314">
        <v>7</v>
      </c>
      <c r="N1314" t="s">
        <v>33</v>
      </c>
      <c r="O1314" t="s">
        <v>81</v>
      </c>
      <c r="P1314" t="s">
        <v>35</v>
      </c>
      <c r="Q1314" s="2">
        <v>38521.68</v>
      </c>
      <c r="R1314" s="2">
        <v>3062.71</v>
      </c>
      <c r="S1314" t="s">
        <v>115</v>
      </c>
      <c r="T1314" t="s">
        <v>52</v>
      </c>
      <c r="U1314" t="s">
        <v>53</v>
      </c>
      <c r="V1314">
        <v>2.2999999999999998</v>
      </c>
      <c r="W1314" t="s">
        <v>76</v>
      </c>
      <c r="X1314" t="s">
        <v>84</v>
      </c>
      <c r="Y1314" t="s">
        <v>72</v>
      </c>
    </row>
    <row r="1315" spans="1:25" x14ac:dyDescent="0.3">
      <c r="A1315" t="s">
        <v>2707</v>
      </c>
      <c r="B1315" s="1">
        <v>46239</v>
      </c>
      <c r="C1315" t="s">
        <v>78</v>
      </c>
      <c r="D1315" t="s">
        <v>58</v>
      </c>
      <c r="E1315" t="s">
        <v>45</v>
      </c>
      <c r="F1315" t="s">
        <v>28</v>
      </c>
      <c r="G1315" t="s">
        <v>29</v>
      </c>
      <c r="H1315" t="s">
        <v>67</v>
      </c>
      <c r="I1315">
        <v>10</v>
      </c>
      <c r="J1315" t="s">
        <v>2708</v>
      </c>
      <c r="K1315">
        <v>53</v>
      </c>
      <c r="L1315" t="s">
        <v>80</v>
      </c>
      <c r="M1315">
        <v>7</v>
      </c>
      <c r="N1315" t="s">
        <v>33</v>
      </c>
      <c r="O1315" t="s">
        <v>81</v>
      </c>
      <c r="P1315" t="s">
        <v>82</v>
      </c>
      <c r="Q1315" s="2">
        <v>27020.89</v>
      </c>
      <c r="R1315" s="2">
        <v>519.07000000000005</v>
      </c>
      <c r="S1315" t="s">
        <v>94</v>
      </c>
      <c r="T1315" t="s">
        <v>37</v>
      </c>
      <c r="U1315" t="s">
        <v>53</v>
      </c>
      <c r="V1315">
        <v>3.2</v>
      </c>
      <c r="W1315" t="s">
        <v>39</v>
      </c>
      <c r="X1315" t="s">
        <v>106</v>
      </c>
      <c r="Y1315" t="s">
        <v>72</v>
      </c>
    </row>
    <row r="1316" spans="1:25" x14ac:dyDescent="0.3">
      <c r="A1316" t="s">
        <v>2709</v>
      </c>
      <c r="B1316" s="1">
        <v>46240</v>
      </c>
      <c r="C1316" t="s">
        <v>117</v>
      </c>
      <c r="D1316" t="s">
        <v>4083</v>
      </c>
      <c r="E1316" t="s">
        <v>120</v>
      </c>
      <c r="F1316" t="s">
        <v>28</v>
      </c>
      <c r="G1316" t="s">
        <v>29</v>
      </c>
      <c r="H1316" t="s">
        <v>86</v>
      </c>
      <c r="I1316">
        <v>3</v>
      </c>
      <c r="J1316" t="s">
        <v>2710</v>
      </c>
      <c r="K1316">
        <v>49</v>
      </c>
      <c r="L1316" t="s">
        <v>80</v>
      </c>
      <c r="M1316">
        <v>2</v>
      </c>
      <c r="N1316" t="s">
        <v>33</v>
      </c>
      <c r="O1316" t="s">
        <v>34</v>
      </c>
      <c r="P1316" t="s">
        <v>35</v>
      </c>
      <c r="Q1316" s="2">
        <v>11922.2</v>
      </c>
      <c r="R1316" s="2">
        <v>4287.1899999999996</v>
      </c>
      <c r="S1316" t="s">
        <v>115</v>
      </c>
      <c r="T1316" t="s">
        <v>71</v>
      </c>
      <c r="U1316" t="s">
        <v>38</v>
      </c>
      <c r="V1316">
        <v>2.1</v>
      </c>
      <c r="W1316" t="s">
        <v>76</v>
      </c>
      <c r="X1316" t="s">
        <v>65</v>
      </c>
      <c r="Y1316" t="s">
        <v>72</v>
      </c>
    </row>
    <row r="1317" spans="1:25" x14ac:dyDescent="0.3">
      <c r="A1317" t="s">
        <v>2711</v>
      </c>
      <c r="B1317" s="1">
        <v>46241</v>
      </c>
      <c r="C1317" t="s">
        <v>43</v>
      </c>
      <c r="D1317" t="s">
        <v>58</v>
      </c>
      <c r="E1317" t="s">
        <v>45</v>
      </c>
      <c r="F1317" t="s">
        <v>28</v>
      </c>
      <c r="G1317" t="s">
        <v>29</v>
      </c>
      <c r="H1317" t="s">
        <v>67</v>
      </c>
      <c r="I1317">
        <v>11</v>
      </c>
      <c r="J1317" t="s">
        <v>2712</v>
      </c>
      <c r="K1317">
        <v>24</v>
      </c>
      <c r="L1317" t="s">
        <v>32</v>
      </c>
      <c r="M1317">
        <v>3</v>
      </c>
      <c r="N1317" t="s">
        <v>64</v>
      </c>
      <c r="O1317" t="s">
        <v>34</v>
      </c>
      <c r="P1317" t="s">
        <v>50</v>
      </c>
      <c r="Q1317" s="2">
        <v>15925.92</v>
      </c>
      <c r="R1317" s="2">
        <v>2613.4699999999998</v>
      </c>
      <c r="S1317" t="s">
        <v>115</v>
      </c>
      <c r="T1317" t="s">
        <v>71</v>
      </c>
      <c r="U1317" t="s">
        <v>83</v>
      </c>
      <c r="V1317">
        <v>1.7</v>
      </c>
      <c r="W1317" t="s">
        <v>124</v>
      </c>
      <c r="X1317" t="s">
        <v>106</v>
      </c>
      <c r="Y1317" t="s">
        <v>41</v>
      </c>
    </row>
    <row r="1318" spans="1:25" x14ac:dyDescent="0.3">
      <c r="A1318" t="s">
        <v>2713</v>
      </c>
      <c r="B1318" s="1">
        <v>46242</v>
      </c>
      <c r="C1318" t="s">
        <v>78</v>
      </c>
      <c r="D1318" t="s">
        <v>58</v>
      </c>
      <c r="E1318" t="s">
        <v>120</v>
      </c>
      <c r="F1318" t="s">
        <v>28</v>
      </c>
      <c r="G1318" t="s">
        <v>29</v>
      </c>
      <c r="H1318" t="s">
        <v>86</v>
      </c>
      <c r="I1318">
        <v>3</v>
      </c>
      <c r="J1318" t="s">
        <v>2714</v>
      </c>
      <c r="K1318">
        <v>45</v>
      </c>
      <c r="L1318" t="s">
        <v>32</v>
      </c>
      <c r="M1318">
        <v>7</v>
      </c>
      <c r="N1318" t="s">
        <v>48</v>
      </c>
      <c r="O1318" t="s">
        <v>81</v>
      </c>
      <c r="P1318" t="s">
        <v>35</v>
      </c>
      <c r="Q1318" s="2">
        <v>48766.53</v>
      </c>
      <c r="R1318" s="2">
        <v>3859.66</v>
      </c>
      <c r="S1318" t="s">
        <v>115</v>
      </c>
      <c r="T1318" t="s">
        <v>37</v>
      </c>
      <c r="U1318" t="s">
        <v>53</v>
      </c>
      <c r="V1318">
        <v>2.8</v>
      </c>
      <c r="W1318" t="s">
        <v>76</v>
      </c>
      <c r="X1318" t="s">
        <v>106</v>
      </c>
      <c r="Y1318" t="s">
        <v>41</v>
      </c>
    </row>
    <row r="1319" spans="1:25" x14ac:dyDescent="0.3">
      <c r="A1319" t="s">
        <v>2715</v>
      </c>
      <c r="B1319" s="1">
        <v>46243</v>
      </c>
      <c r="C1319" t="s">
        <v>26</v>
      </c>
      <c r="D1319" t="s">
        <v>26</v>
      </c>
      <c r="E1319" t="s">
        <v>89</v>
      </c>
      <c r="F1319" t="s">
        <v>28</v>
      </c>
      <c r="G1319" t="s">
        <v>29</v>
      </c>
      <c r="H1319" t="s">
        <v>61</v>
      </c>
      <c r="I1319">
        <v>4</v>
      </c>
      <c r="J1319" t="s">
        <v>2716</v>
      </c>
      <c r="K1319">
        <v>61</v>
      </c>
      <c r="L1319" t="s">
        <v>32</v>
      </c>
      <c r="M1319">
        <v>6</v>
      </c>
      <c r="N1319" t="s">
        <v>64</v>
      </c>
      <c r="O1319" t="s">
        <v>69</v>
      </c>
      <c r="P1319" t="s">
        <v>70</v>
      </c>
      <c r="Q1319" s="2">
        <v>11795.59</v>
      </c>
      <c r="R1319" s="2">
        <v>633.78</v>
      </c>
      <c r="S1319" t="s">
        <v>36</v>
      </c>
      <c r="T1319" t="s">
        <v>37</v>
      </c>
      <c r="U1319" t="s">
        <v>38</v>
      </c>
      <c r="V1319">
        <v>1.9</v>
      </c>
      <c r="W1319" t="s">
        <v>124</v>
      </c>
      <c r="X1319" t="s">
        <v>106</v>
      </c>
      <c r="Y1319" t="s">
        <v>41</v>
      </c>
    </row>
    <row r="1320" spans="1:25" x14ac:dyDescent="0.3">
      <c r="A1320" t="s">
        <v>2717</v>
      </c>
      <c r="B1320" s="1">
        <v>46244</v>
      </c>
      <c r="C1320" t="s">
        <v>78</v>
      </c>
      <c r="D1320" t="s">
        <v>58</v>
      </c>
      <c r="E1320" t="s">
        <v>89</v>
      </c>
      <c r="F1320" t="s">
        <v>28</v>
      </c>
      <c r="G1320" t="s">
        <v>29</v>
      </c>
      <c r="H1320" t="s">
        <v>61</v>
      </c>
      <c r="I1320">
        <v>10</v>
      </c>
      <c r="J1320" t="s">
        <v>2718</v>
      </c>
      <c r="K1320">
        <v>35</v>
      </c>
      <c r="L1320" t="s">
        <v>80</v>
      </c>
      <c r="M1320">
        <v>2</v>
      </c>
      <c r="N1320" t="s">
        <v>33</v>
      </c>
      <c r="O1320" t="s">
        <v>69</v>
      </c>
      <c r="P1320" t="s">
        <v>50</v>
      </c>
      <c r="Q1320" s="2">
        <v>37673.629999999997</v>
      </c>
      <c r="R1320" s="2">
        <v>4534.55</v>
      </c>
      <c r="S1320" t="s">
        <v>51</v>
      </c>
      <c r="T1320" t="s">
        <v>52</v>
      </c>
      <c r="U1320" t="s">
        <v>83</v>
      </c>
      <c r="V1320">
        <v>4.5999999999999996</v>
      </c>
      <c r="W1320" t="s">
        <v>103</v>
      </c>
      <c r="X1320" t="s">
        <v>106</v>
      </c>
      <c r="Y1320" t="s">
        <v>72</v>
      </c>
    </row>
    <row r="1321" spans="1:25" x14ac:dyDescent="0.3">
      <c r="A1321" t="s">
        <v>2719</v>
      </c>
      <c r="B1321" s="1">
        <v>46245</v>
      </c>
      <c r="C1321" t="s">
        <v>57</v>
      </c>
      <c r="D1321" t="s">
        <v>44</v>
      </c>
      <c r="E1321" t="s">
        <v>4084</v>
      </c>
      <c r="F1321" t="s">
        <v>60</v>
      </c>
      <c r="G1321" t="s">
        <v>29</v>
      </c>
      <c r="H1321" t="s">
        <v>27</v>
      </c>
      <c r="I1321">
        <v>11</v>
      </c>
      <c r="J1321" t="s">
        <v>2720</v>
      </c>
      <c r="K1321">
        <v>22</v>
      </c>
      <c r="L1321" t="s">
        <v>32</v>
      </c>
      <c r="M1321">
        <v>4</v>
      </c>
      <c r="N1321" t="s">
        <v>91</v>
      </c>
      <c r="O1321" t="s">
        <v>34</v>
      </c>
      <c r="P1321" t="s">
        <v>50</v>
      </c>
      <c r="Q1321" s="2">
        <v>26510.82</v>
      </c>
      <c r="R1321" s="2">
        <v>2952.68</v>
      </c>
      <c r="S1321" t="s">
        <v>51</v>
      </c>
      <c r="T1321" t="s">
        <v>52</v>
      </c>
      <c r="U1321" t="s">
        <v>83</v>
      </c>
      <c r="V1321">
        <v>2.2000000000000002</v>
      </c>
      <c r="W1321" t="s">
        <v>76</v>
      </c>
      <c r="X1321" t="s">
        <v>55</v>
      </c>
      <c r="Y1321" t="s">
        <v>72</v>
      </c>
    </row>
    <row r="1322" spans="1:25" x14ac:dyDescent="0.3">
      <c r="A1322" t="s">
        <v>2721</v>
      </c>
      <c r="B1322" s="1">
        <v>46246</v>
      </c>
      <c r="C1322" t="s">
        <v>78</v>
      </c>
      <c r="D1322" t="s">
        <v>58</v>
      </c>
      <c r="E1322" t="s">
        <v>120</v>
      </c>
      <c r="F1322" t="s">
        <v>28</v>
      </c>
      <c r="G1322" t="s">
        <v>29</v>
      </c>
      <c r="H1322" t="s">
        <v>86</v>
      </c>
      <c r="I1322">
        <v>9</v>
      </c>
      <c r="J1322" t="s">
        <v>2722</v>
      </c>
      <c r="K1322">
        <v>40</v>
      </c>
      <c r="L1322" t="s">
        <v>80</v>
      </c>
      <c r="M1322">
        <v>1</v>
      </c>
      <c r="N1322" t="s">
        <v>91</v>
      </c>
      <c r="O1322" t="s">
        <v>81</v>
      </c>
      <c r="P1322" t="s">
        <v>50</v>
      </c>
      <c r="Q1322" s="2">
        <v>38687.07</v>
      </c>
      <c r="R1322" s="2">
        <v>3691.3</v>
      </c>
      <c r="S1322" t="s">
        <v>94</v>
      </c>
      <c r="T1322" t="s">
        <v>52</v>
      </c>
      <c r="U1322" t="s">
        <v>53</v>
      </c>
      <c r="V1322">
        <v>3.4</v>
      </c>
      <c r="W1322" t="s">
        <v>76</v>
      </c>
      <c r="X1322" t="s">
        <v>65</v>
      </c>
      <c r="Y1322" t="s">
        <v>72</v>
      </c>
    </row>
    <row r="1323" spans="1:25" x14ac:dyDescent="0.3">
      <c r="A1323" t="s">
        <v>2723</v>
      </c>
      <c r="B1323" s="1">
        <v>46247</v>
      </c>
      <c r="C1323" t="s">
        <v>78</v>
      </c>
      <c r="D1323" t="s">
        <v>58</v>
      </c>
      <c r="E1323" t="s">
        <v>4085</v>
      </c>
      <c r="F1323" t="s">
        <v>60</v>
      </c>
      <c r="G1323" t="s">
        <v>29</v>
      </c>
      <c r="H1323" t="s">
        <v>46</v>
      </c>
      <c r="I1323">
        <v>5</v>
      </c>
      <c r="J1323" t="s">
        <v>2724</v>
      </c>
      <c r="K1323">
        <v>39</v>
      </c>
      <c r="L1323" t="s">
        <v>32</v>
      </c>
      <c r="M1323">
        <v>6</v>
      </c>
      <c r="N1323" t="s">
        <v>33</v>
      </c>
      <c r="O1323" t="s">
        <v>69</v>
      </c>
      <c r="P1323" t="s">
        <v>82</v>
      </c>
      <c r="Q1323" s="2">
        <v>34750.1</v>
      </c>
      <c r="R1323" s="2">
        <v>156.9</v>
      </c>
      <c r="S1323" t="s">
        <v>94</v>
      </c>
      <c r="T1323" t="s">
        <v>71</v>
      </c>
      <c r="U1323" t="s">
        <v>53</v>
      </c>
      <c r="V1323">
        <v>2.1</v>
      </c>
      <c r="W1323" t="s">
        <v>76</v>
      </c>
      <c r="X1323" t="s">
        <v>65</v>
      </c>
      <c r="Y1323" t="s">
        <v>41</v>
      </c>
    </row>
    <row r="1324" spans="1:25" x14ac:dyDescent="0.3">
      <c r="A1324" t="s">
        <v>2725</v>
      </c>
      <c r="B1324" s="1">
        <v>46248</v>
      </c>
      <c r="C1324" t="s">
        <v>57</v>
      </c>
      <c r="D1324" t="s">
        <v>44</v>
      </c>
      <c r="E1324" t="s">
        <v>4084</v>
      </c>
      <c r="F1324" t="s">
        <v>60</v>
      </c>
      <c r="G1324" t="s">
        <v>29</v>
      </c>
      <c r="H1324" t="s">
        <v>27</v>
      </c>
      <c r="I1324">
        <v>9</v>
      </c>
      <c r="J1324" t="s">
        <v>2726</v>
      </c>
      <c r="K1324">
        <v>43</v>
      </c>
      <c r="L1324" t="s">
        <v>63</v>
      </c>
      <c r="M1324">
        <v>7</v>
      </c>
      <c r="N1324" t="s">
        <v>91</v>
      </c>
      <c r="O1324" t="s">
        <v>81</v>
      </c>
      <c r="P1324" t="s">
        <v>82</v>
      </c>
      <c r="Q1324" s="2">
        <v>24762.52</v>
      </c>
      <c r="R1324" s="2">
        <v>1576.52</v>
      </c>
      <c r="S1324" t="s">
        <v>51</v>
      </c>
      <c r="T1324" t="s">
        <v>37</v>
      </c>
      <c r="U1324" t="s">
        <v>83</v>
      </c>
      <c r="V1324">
        <v>2</v>
      </c>
      <c r="W1324" t="s">
        <v>76</v>
      </c>
      <c r="X1324" t="s">
        <v>84</v>
      </c>
      <c r="Y1324" t="s">
        <v>41</v>
      </c>
    </row>
    <row r="1325" spans="1:25" x14ac:dyDescent="0.3">
      <c r="A1325" t="s">
        <v>2727</v>
      </c>
      <c r="B1325" s="1">
        <v>46249</v>
      </c>
      <c r="C1325" t="s">
        <v>43</v>
      </c>
      <c r="D1325" t="s">
        <v>58</v>
      </c>
      <c r="E1325" t="s">
        <v>89</v>
      </c>
      <c r="F1325" t="s">
        <v>28</v>
      </c>
      <c r="G1325" t="s">
        <v>29</v>
      </c>
      <c r="H1325" t="s">
        <v>61</v>
      </c>
      <c r="I1325">
        <v>8</v>
      </c>
      <c r="J1325" t="s">
        <v>2728</v>
      </c>
      <c r="K1325">
        <v>59</v>
      </c>
      <c r="L1325" t="s">
        <v>63</v>
      </c>
      <c r="M1325">
        <v>6</v>
      </c>
      <c r="N1325" t="s">
        <v>64</v>
      </c>
      <c r="O1325" t="s">
        <v>81</v>
      </c>
      <c r="P1325" t="s">
        <v>50</v>
      </c>
      <c r="Q1325" s="2">
        <v>20925.990000000002</v>
      </c>
      <c r="R1325" s="2">
        <v>1337.23</v>
      </c>
      <c r="S1325" t="s">
        <v>36</v>
      </c>
      <c r="T1325" t="s">
        <v>52</v>
      </c>
      <c r="U1325" t="s">
        <v>53</v>
      </c>
      <c r="V1325">
        <v>2.4</v>
      </c>
      <c r="W1325" t="s">
        <v>76</v>
      </c>
      <c r="X1325" t="s">
        <v>65</v>
      </c>
      <c r="Y1325" t="s">
        <v>72</v>
      </c>
    </row>
    <row r="1326" spans="1:25" x14ac:dyDescent="0.3">
      <c r="A1326" t="s">
        <v>2729</v>
      </c>
      <c r="B1326" s="1">
        <v>46250</v>
      </c>
      <c r="C1326" t="s">
        <v>43</v>
      </c>
      <c r="D1326" t="s">
        <v>58</v>
      </c>
      <c r="E1326" t="s">
        <v>120</v>
      </c>
      <c r="F1326" t="s">
        <v>28</v>
      </c>
      <c r="G1326" t="s">
        <v>29</v>
      </c>
      <c r="H1326" t="s">
        <v>86</v>
      </c>
      <c r="I1326">
        <v>4</v>
      </c>
      <c r="J1326" t="s">
        <v>2730</v>
      </c>
      <c r="K1326">
        <v>29</v>
      </c>
      <c r="L1326" t="s">
        <v>32</v>
      </c>
      <c r="M1326">
        <v>3</v>
      </c>
      <c r="N1326" t="s">
        <v>48</v>
      </c>
      <c r="O1326" t="s">
        <v>81</v>
      </c>
      <c r="P1326" t="s">
        <v>70</v>
      </c>
      <c r="Q1326" s="2">
        <v>38946.17</v>
      </c>
      <c r="R1326" s="2">
        <v>4747.97</v>
      </c>
      <c r="S1326" t="s">
        <v>51</v>
      </c>
      <c r="T1326" t="s">
        <v>37</v>
      </c>
      <c r="U1326" t="s">
        <v>38</v>
      </c>
      <c r="V1326">
        <v>4.7</v>
      </c>
      <c r="W1326" t="s">
        <v>103</v>
      </c>
      <c r="X1326" t="s">
        <v>106</v>
      </c>
      <c r="Y1326" t="s">
        <v>72</v>
      </c>
    </row>
    <row r="1327" spans="1:25" x14ac:dyDescent="0.3">
      <c r="A1327" t="s">
        <v>2731</v>
      </c>
      <c r="B1327" s="1">
        <v>46251</v>
      </c>
      <c r="C1327" t="s">
        <v>78</v>
      </c>
      <c r="D1327" t="s">
        <v>58</v>
      </c>
      <c r="E1327" t="s">
        <v>45</v>
      </c>
      <c r="F1327" t="s">
        <v>28</v>
      </c>
      <c r="G1327" t="s">
        <v>29</v>
      </c>
      <c r="H1327" t="s">
        <v>67</v>
      </c>
      <c r="I1327">
        <v>5</v>
      </c>
      <c r="J1327" t="s">
        <v>2732</v>
      </c>
      <c r="K1327">
        <v>57</v>
      </c>
      <c r="L1327" t="s">
        <v>63</v>
      </c>
      <c r="M1327">
        <v>4</v>
      </c>
      <c r="N1327" t="s">
        <v>64</v>
      </c>
      <c r="O1327" t="s">
        <v>69</v>
      </c>
      <c r="P1327" t="s">
        <v>50</v>
      </c>
      <c r="Q1327" s="2">
        <v>19541.349999999999</v>
      </c>
      <c r="R1327" s="2">
        <v>926.69</v>
      </c>
      <c r="S1327" t="s">
        <v>115</v>
      </c>
      <c r="T1327" t="s">
        <v>71</v>
      </c>
      <c r="U1327" t="s">
        <v>83</v>
      </c>
      <c r="V1327">
        <v>2.6</v>
      </c>
      <c r="W1327" t="s">
        <v>76</v>
      </c>
      <c r="X1327" t="s">
        <v>40</v>
      </c>
      <c r="Y1327" t="s">
        <v>72</v>
      </c>
    </row>
    <row r="1328" spans="1:25" x14ac:dyDescent="0.3">
      <c r="A1328" t="s">
        <v>2733</v>
      </c>
      <c r="B1328" s="1">
        <v>46252</v>
      </c>
      <c r="C1328" t="s">
        <v>57</v>
      </c>
      <c r="D1328" t="s">
        <v>44</v>
      </c>
      <c r="E1328" t="s">
        <v>4085</v>
      </c>
      <c r="F1328" t="s">
        <v>60</v>
      </c>
      <c r="G1328" t="s">
        <v>29</v>
      </c>
      <c r="H1328" t="s">
        <v>59</v>
      </c>
      <c r="I1328">
        <v>13</v>
      </c>
      <c r="J1328" t="s">
        <v>2734</v>
      </c>
      <c r="K1328">
        <v>36</v>
      </c>
      <c r="L1328" t="s">
        <v>80</v>
      </c>
      <c r="M1328">
        <v>1</v>
      </c>
      <c r="N1328" t="s">
        <v>33</v>
      </c>
      <c r="O1328" t="s">
        <v>49</v>
      </c>
      <c r="P1328" t="s">
        <v>82</v>
      </c>
      <c r="Q1328" s="2">
        <v>40449.72</v>
      </c>
      <c r="R1328" s="2">
        <v>3535.26</v>
      </c>
      <c r="S1328" t="s">
        <v>51</v>
      </c>
      <c r="T1328" t="s">
        <v>71</v>
      </c>
      <c r="U1328" t="s">
        <v>53</v>
      </c>
      <c r="V1328">
        <v>4.3</v>
      </c>
      <c r="W1328" t="s">
        <v>54</v>
      </c>
      <c r="X1328" t="s">
        <v>65</v>
      </c>
      <c r="Y1328" t="s">
        <v>41</v>
      </c>
    </row>
    <row r="1329" spans="1:25" x14ac:dyDescent="0.3">
      <c r="A1329" t="s">
        <v>2735</v>
      </c>
      <c r="B1329" s="1">
        <v>46253</v>
      </c>
      <c r="C1329" t="s">
        <v>57</v>
      </c>
      <c r="D1329" t="s">
        <v>44</v>
      </c>
      <c r="E1329" t="s">
        <v>89</v>
      </c>
      <c r="F1329" t="s">
        <v>28</v>
      </c>
      <c r="G1329" t="s">
        <v>29</v>
      </c>
      <c r="H1329" t="s">
        <v>61</v>
      </c>
      <c r="I1329">
        <v>14</v>
      </c>
      <c r="J1329" t="s">
        <v>2736</v>
      </c>
      <c r="K1329">
        <v>64</v>
      </c>
      <c r="L1329" t="s">
        <v>63</v>
      </c>
      <c r="M1329">
        <v>4</v>
      </c>
      <c r="N1329" t="s">
        <v>64</v>
      </c>
      <c r="O1329" t="s">
        <v>81</v>
      </c>
      <c r="P1329" t="s">
        <v>70</v>
      </c>
      <c r="Q1329" s="2">
        <v>35592.94</v>
      </c>
      <c r="R1329" s="2">
        <v>213.77</v>
      </c>
      <c r="S1329" t="s">
        <v>36</v>
      </c>
      <c r="T1329" t="s">
        <v>37</v>
      </c>
      <c r="U1329" t="s">
        <v>53</v>
      </c>
      <c r="V1329">
        <v>1.8</v>
      </c>
      <c r="W1329" t="s">
        <v>124</v>
      </c>
      <c r="X1329" t="s">
        <v>40</v>
      </c>
      <c r="Y1329" t="s">
        <v>72</v>
      </c>
    </row>
    <row r="1330" spans="1:25" x14ac:dyDescent="0.3">
      <c r="A1330" t="s">
        <v>2737</v>
      </c>
      <c r="B1330" s="1">
        <v>46254</v>
      </c>
      <c r="C1330" t="s">
        <v>26</v>
      </c>
      <c r="D1330" t="s">
        <v>26</v>
      </c>
      <c r="E1330" t="s">
        <v>4084</v>
      </c>
      <c r="F1330" t="s">
        <v>60</v>
      </c>
      <c r="G1330" t="s">
        <v>29</v>
      </c>
      <c r="H1330" t="s">
        <v>27</v>
      </c>
      <c r="I1330">
        <v>12</v>
      </c>
      <c r="J1330" t="s">
        <v>2738</v>
      </c>
      <c r="K1330">
        <v>18</v>
      </c>
      <c r="L1330" t="s">
        <v>63</v>
      </c>
      <c r="M1330">
        <v>2</v>
      </c>
      <c r="N1330" t="s">
        <v>91</v>
      </c>
      <c r="O1330" t="s">
        <v>69</v>
      </c>
      <c r="P1330" t="s">
        <v>50</v>
      </c>
      <c r="Q1330" s="2">
        <v>30995.11</v>
      </c>
      <c r="R1330" s="2">
        <v>988.42</v>
      </c>
      <c r="S1330" t="s">
        <v>51</v>
      </c>
      <c r="T1330" t="s">
        <v>37</v>
      </c>
      <c r="U1330" t="s">
        <v>38</v>
      </c>
      <c r="V1330">
        <v>1.2</v>
      </c>
      <c r="W1330" t="s">
        <v>124</v>
      </c>
      <c r="X1330" t="s">
        <v>55</v>
      </c>
      <c r="Y1330" t="s">
        <v>41</v>
      </c>
    </row>
    <row r="1331" spans="1:25" x14ac:dyDescent="0.3">
      <c r="A1331" t="s">
        <v>2739</v>
      </c>
      <c r="B1331" s="1">
        <v>46255</v>
      </c>
      <c r="C1331" t="s">
        <v>43</v>
      </c>
      <c r="D1331" t="s">
        <v>58</v>
      </c>
      <c r="E1331" t="s">
        <v>120</v>
      </c>
      <c r="F1331" t="s">
        <v>28</v>
      </c>
      <c r="G1331" t="s">
        <v>29</v>
      </c>
      <c r="H1331" t="s">
        <v>86</v>
      </c>
      <c r="I1331">
        <v>12</v>
      </c>
      <c r="J1331" t="s">
        <v>2740</v>
      </c>
      <c r="K1331">
        <v>20</v>
      </c>
      <c r="L1331" t="s">
        <v>80</v>
      </c>
      <c r="M1331">
        <v>3</v>
      </c>
      <c r="N1331" t="s">
        <v>64</v>
      </c>
      <c r="O1331" t="s">
        <v>49</v>
      </c>
      <c r="P1331" t="s">
        <v>82</v>
      </c>
      <c r="Q1331" s="2">
        <v>21596.04</v>
      </c>
      <c r="R1331" s="2">
        <v>1692.99</v>
      </c>
      <c r="S1331" t="s">
        <v>51</v>
      </c>
      <c r="T1331" t="s">
        <v>52</v>
      </c>
      <c r="U1331" t="s">
        <v>53</v>
      </c>
      <c r="V1331">
        <v>4.0999999999999996</v>
      </c>
      <c r="W1331" t="s">
        <v>54</v>
      </c>
      <c r="X1331" t="s">
        <v>84</v>
      </c>
      <c r="Y1331" t="s">
        <v>72</v>
      </c>
    </row>
    <row r="1332" spans="1:25" x14ac:dyDescent="0.3">
      <c r="A1332" t="s">
        <v>2741</v>
      </c>
      <c r="B1332" s="1">
        <v>46256</v>
      </c>
      <c r="C1332" t="s">
        <v>117</v>
      </c>
      <c r="D1332" t="s">
        <v>4083</v>
      </c>
      <c r="E1332" t="s">
        <v>4085</v>
      </c>
      <c r="F1332" t="s">
        <v>60</v>
      </c>
      <c r="G1332" t="s">
        <v>29</v>
      </c>
      <c r="H1332" t="s">
        <v>46</v>
      </c>
      <c r="I1332">
        <v>14</v>
      </c>
      <c r="J1332" t="s">
        <v>2742</v>
      </c>
      <c r="K1332">
        <v>44</v>
      </c>
      <c r="L1332" t="s">
        <v>63</v>
      </c>
      <c r="M1332">
        <v>6</v>
      </c>
      <c r="N1332" t="s">
        <v>48</v>
      </c>
      <c r="O1332" t="s">
        <v>34</v>
      </c>
      <c r="P1332" t="s">
        <v>70</v>
      </c>
      <c r="Q1332" s="2">
        <v>14228.66</v>
      </c>
      <c r="R1332" s="2">
        <v>3972.53</v>
      </c>
      <c r="S1332" t="s">
        <v>51</v>
      </c>
      <c r="T1332" t="s">
        <v>37</v>
      </c>
      <c r="U1332" t="s">
        <v>53</v>
      </c>
      <c r="V1332">
        <v>3.2</v>
      </c>
      <c r="W1332" t="s">
        <v>76</v>
      </c>
      <c r="X1332" t="s">
        <v>84</v>
      </c>
      <c r="Y1332" t="s">
        <v>72</v>
      </c>
    </row>
    <row r="1333" spans="1:25" x14ac:dyDescent="0.3">
      <c r="A1333" t="s">
        <v>2743</v>
      </c>
      <c r="B1333" s="1">
        <v>46257</v>
      </c>
      <c r="C1333" t="s">
        <v>43</v>
      </c>
      <c r="D1333" t="s">
        <v>58</v>
      </c>
      <c r="E1333" t="s">
        <v>120</v>
      </c>
      <c r="F1333" t="s">
        <v>28</v>
      </c>
      <c r="G1333" t="s">
        <v>29</v>
      </c>
      <c r="H1333" t="s">
        <v>86</v>
      </c>
      <c r="I1333">
        <v>7</v>
      </c>
      <c r="J1333" t="s">
        <v>2744</v>
      </c>
      <c r="K1333">
        <v>35</v>
      </c>
      <c r="L1333" t="s">
        <v>63</v>
      </c>
      <c r="M1333">
        <v>6</v>
      </c>
      <c r="N1333" t="s">
        <v>91</v>
      </c>
      <c r="O1333" t="s">
        <v>69</v>
      </c>
      <c r="P1333" t="s">
        <v>35</v>
      </c>
      <c r="Q1333" s="2">
        <v>36968.89</v>
      </c>
      <c r="R1333" s="2">
        <v>3949.88</v>
      </c>
      <c r="S1333" t="s">
        <v>115</v>
      </c>
      <c r="T1333" t="s">
        <v>52</v>
      </c>
      <c r="U1333" t="s">
        <v>53</v>
      </c>
      <c r="V1333">
        <v>3</v>
      </c>
      <c r="W1333" t="s">
        <v>76</v>
      </c>
      <c r="X1333" t="s">
        <v>84</v>
      </c>
      <c r="Y1333" t="s">
        <v>72</v>
      </c>
    </row>
    <row r="1334" spans="1:25" x14ac:dyDescent="0.3">
      <c r="A1334" t="s">
        <v>2745</v>
      </c>
      <c r="B1334" s="1">
        <v>46258</v>
      </c>
      <c r="C1334" t="s">
        <v>43</v>
      </c>
      <c r="D1334" t="s">
        <v>58</v>
      </c>
      <c r="E1334" t="s">
        <v>45</v>
      </c>
      <c r="F1334" t="s">
        <v>28</v>
      </c>
      <c r="G1334" t="s">
        <v>29</v>
      </c>
      <c r="H1334" t="s">
        <v>67</v>
      </c>
      <c r="I1334">
        <v>12</v>
      </c>
      <c r="J1334" t="s">
        <v>2746</v>
      </c>
      <c r="K1334">
        <v>67</v>
      </c>
      <c r="L1334" t="s">
        <v>32</v>
      </c>
      <c r="M1334">
        <v>2</v>
      </c>
      <c r="N1334" t="s">
        <v>48</v>
      </c>
      <c r="O1334" t="s">
        <v>49</v>
      </c>
      <c r="P1334" t="s">
        <v>35</v>
      </c>
      <c r="Q1334" s="2">
        <v>9110.7199999999993</v>
      </c>
      <c r="R1334" s="2">
        <v>4763.01</v>
      </c>
      <c r="S1334" t="s">
        <v>94</v>
      </c>
      <c r="T1334" t="s">
        <v>37</v>
      </c>
      <c r="U1334" t="s">
        <v>75</v>
      </c>
      <c r="V1334">
        <v>2.1</v>
      </c>
      <c r="W1334" t="s">
        <v>76</v>
      </c>
      <c r="X1334" t="s">
        <v>55</v>
      </c>
      <c r="Y1334" t="s">
        <v>72</v>
      </c>
    </row>
    <row r="1335" spans="1:25" x14ac:dyDescent="0.3">
      <c r="A1335" t="s">
        <v>2747</v>
      </c>
      <c r="B1335" s="1">
        <v>46259</v>
      </c>
      <c r="C1335" t="s">
        <v>26</v>
      </c>
      <c r="D1335" t="s">
        <v>26</v>
      </c>
      <c r="E1335" t="s">
        <v>4084</v>
      </c>
      <c r="F1335" t="s">
        <v>60</v>
      </c>
      <c r="G1335" t="s">
        <v>29</v>
      </c>
      <c r="H1335" t="s">
        <v>27</v>
      </c>
      <c r="I1335">
        <v>6</v>
      </c>
      <c r="J1335" t="s">
        <v>2748</v>
      </c>
      <c r="K1335">
        <v>47</v>
      </c>
      <c r="L1335" t="s">
        <v>80</v>
      </c>
      <c r="M1335">
        <v>6</v>
      </c>
      <c r="N1335" t="s">
        <v>48</v>
      </c>
      <c r="O1335" t="s">
        <v>69</v>
      </c>
      <c r="P1335" t="s">
        <v>50</v>
      </c>
      <c r="Q1335" s="2">
        <v>48674.400000000001</v>
      </c>
      <c r="R1335" s="2">
        <v>4583.84</v>
      </c>
      <c r="S1335" t="s">
        <v>36</v>
      </c>
      <c r="T1335" t="s">
        <v>37</v>
      </c>
      <c r="U1335" t="s">
        <v>38</v>
      </c>
      <c r="V1335">
        <v>1.3</v>
      </c>
      <c r="W1335" t="s">
        <v>124</v>
      </c>
      <c r="X1335" t="s">
        <v>106</v>
      </c>
      <c r="Y1335" t="s">
        <v>72</v>
      </c>
    </row>
    <row r="1336" spans="1:25" x14ac:dyDescent="0.3">
      <c r="A1336" t="s">
        <v>2749</v>
      </c>
      <c r="B1336" s="1">
        <v>46260</v>
      </c>
      <c r="C1336" t="s">
        <v>117</v>
      </c>
      <c r="D1336" t="s">
        <v>4083</v>
      </c>
      <c r="E1336" t="s">
        <v>120</v>
      </c>
      <c r="F1336" t="s">
        <v>28</v>
      </c>
      <c r="G1336" t="s">
        <v>29</v>
      </c>
      <c r="H1336" t="s">
        <v>86</v>
      </c>
      <c r="I1336">
        <v>4</v>
      </c>
      <c r="J1336" t="s">
        <v>2750</v>
      </c>
      <c r="K1336">
        <v>19</v>
      </c>
      <c r="L1336" t="s">
        <v>80</v>
      </c>
      <c r="M1336">
        <v>5</v>
      </c>
      <c r="N1336" t="s">
        <v>48</v>
      </c>
      <c r="O1336" t="s">
        <v>49</v>
      </c>
      <c r="P1336" t="s">
        <v>35</v>
      </c>
      <c r="Q1336" s="2">
        <v>49043.66</v>
      </c>
      <c r="R1336" s="2">
        <v>407.57</v>
      </c>
      <c r="S1336" t="s">
        <v>115</v>
      </c>
      <c r="T1336" t="s">
        <v>37</v>
      </c>
      <c r="U1336" t="s">
        <v>38</v>
      </c>
      <c r="V1336">
        <v>2.9</v>
      </c>
      <c r="W1336" t="s">
        <v>76</v>
      </c>
      <c r="X1336" t="s">
        <v>40</v>
      </c>
      <c r="Y1336" t="s">
        <v>72</v>
      </c>
    </row>
    <row r="1337" spans="1:25" x14ac:dyDescent="0.3">
      <c r="A1337" t="s">
        <v>2751</v>
      </c>
      <c r="B1337" s="1">
        <v>46261</v>
      </c>
      <c r="C1337" t="s">
        <v>26</v>
      </c>
      <c r="D1337" t="s">
        <v>26</v>
      </c>
      <c r="E1337" t="s">
        <v>89</v>
      </c>
      <c r="F1337" t="s">
        <v>28</v>
      </c>
      <c r="G1337" t="s">
        <v>29</v>
      </c>
      <c r="H1337" t="s">
        <v>61</v>
      </c>
      <c r="I1337">
        <v>6</v>
      </c>
      <c r="J1337" t="s">
        <v>2752</v>
      </c>
      <c r="K1337">
        <v>22</v>
      </c>
      <c r="L1337" t="s">
        <v>32</v>
      </c>
      <c r="M1337">
        <v>3</v>
      </c>
      <c r="N1337" t="s">
        <v>64</v>
      </c>
      <c r="O1337" t="s">
        <v>49</v>
      </c>
      <c r="P1337" t="s">
        <v>82</v>
      </c>
      <c r="Q1337" s="2">
        <v>10860.02</v>
      </c>
      <c r="R1337" s="2">
        <v>4149.34</v>
      </c>
      <c r="S1337" t="s">
        <v>51</v>
      </c>
      <c r="T1337" t="s">
        <v>71</v>
      </c>
      <c r="U1337" t="s">
        <v>75</v>
      </c>
      <c r="V1337">
        <v>4.5</v>
      </c>
      <c r="W1337" t="s">
        <v>103</v>
      </c>
      <c r="X1337" t="s">
        <v>65</v>
      </c>
      <c r="Y1337" t="s">
        <v>72</v>
      </c>
    </row>
    <row r="1338" spans="1:25" x14ac:dyDescent="0.3">
      <c r="A1338" t="s">
        <v>2753</v>
      </c>
      <c r="B1338" s="1">
        <v>46262</v>
      </c>
      <c r="C1338" t="s">
        <v>117</v>
      </c>
      <c r="D1338" t="s">
        <v>4083</v>
      </c>
      <c r="E1338" t="s">
        <v>4084</v>
      </c>
      <c r="F1338" t="s">
        <v>60</v>
      </c>
      <c r="G1338" t="s">
        <v>29</v>
      </c>
      <c r="H1338" t="s">
        <v>27</v>
      </c>
      <c r="I1338">
        <v>14</v>
      </c>
      <c r="J1338" t="s">
        <v>2754</v>
      </c>
      <c r="K1338">
        <v>46</v>
      </c>
      <c r="L1338" t="s">
        <v>32</v>
      </c>
      <c r="M1338">
        <v>2</v>
      </c>
      <c r="N1338" t="s">
        <v>64</v>
      </c>
      <c r="O1338" t="s">
        <v>69</v>
      </c>
      <c r="P1338" t="s">
        <v>70</v>
      </c>
      <c r="Q1338" s="2">
        <v>9677.09</v>
      </c>
      <c r="R1338" s="2">
        <v>2255.87</v>
      </c>
      <c r="S1338" t="s">
        <v>51</v>
      </c>
      <c r="T1338" t="s">
        <v>71</v>
      </c>
      <c r="U1338" t="s">
        <v>38</v>
      </c>
      <c r="V1338">
        <v>1.5</v>
      </c>
      <c r="W1338" t="s">
        <v>124</v>
      </c>
      <c r="X1338" t="s">
        <v>106</v>
      </c>
      <c r="Y1338" t="s">
        <v>72</v>
      </c>
    </row>
    <row r="1339" spans="1:25" x14ac:dyDescent="0.3">
      <c r="A1339" t="s">
        <v>2755</v>
      </c>
      <c r="B1339" s="1">
        <v>46263</v>
      </c>
      <c r="C1339" t="s">
        <v>78</v>
      </c>
      <c r="D1339" t="s">
        <v>58</v>
      </c>
      <c r="E1339" t="s">
        <v>89</v>
      </c>
      <c r="F1339" t="s">
        <v>28</v>
      </c>
      <c r="G1339" t="s">
        <v>29</v>
      </c>
      <c r="H1339" t="s">
        <v>61</v>
      </c>
      <c r="I1339">
        <v>10</v>
      </c>
      <c r="J1339" t="s">
        <v>2756</v>
      </c>
      <c r="K1339">
        <v>50</v>
      </c>
      <c r="L1339" t="s">
        <v>63</v>
      </c>
      <c r="M1339">
        <v>3</v>
      </c>
      <c r="N1339" t="s">
        <v>64</v>
      </c>
      <c r="O1339" t="s">
        <v>34</v>
      </c>
      <c r="P1339" t="s">
        <v>50</v>
      </c>
      <c r="Q1339" s="2">
        <v>23572.25</v>
      </c>
      <c r="R1339" s="2">
        <v>4329.43</v>
      </c>
      <c r="S1339" t="s">
        <v>94</v>
      </c>
      <c r="T1339" t="s">
        <v>71</v>
      </c>
      <c r="U1339" t="s">
        <v>53</v>
      </c>
      <c r="V1339">
        <v>4.7</v>
      </c>
      <c r="W1339" t="s">
        <v>103</v>
      </c>
      <c r="X1339" t="s">
        <v>84</v>
      </c>
      <c r="Y1339" t="s">
        <v>72</v>
      </c>
    </row>
    <row r="1340" spans="1:25" x14ac:dyDescent="0.3">
      <c r="A1340" t="s">
        <v>2757</v>
      </c>
      <c r="B1340" s="1">
        <v>46264</v>
      </c>
      <c r="C1340" t="s">
        <v>117</v>
      </c>
      <c r="D1340" t="s">
        <v>4083</v>
      </c>
      <c r="E1340" t="s">
        <v>120</v>
      </c>
      <c r="F1340" t="s">
        <v>28</v>
      </c>
      <c r="G1340" t="s">
        <v>29</v>
      </c>
      <c r="H1340" t="s">
        <v>86</v>
      </c>
      <c r="I1340">
        <v>7</v>
      </c>
      <c r="J1340" t="s">
        <v>2758</v>
      </c>
      <c r="K1340">
        <v>59</v>
      </c>
      <c r="L1340" t="s">
        <v>63</v>
      </c>
      <c r="M1340">
        <v>1</v>
      </c>
      <c r="N1340" t="s">
        <v>64</v>
      </c>
      <c r="O1340" t="s">
        <v>81</v>
      </c>
      <c r="P1340" t="s">
        <v>70</v>
      </c>
      <c r="Q1340" s="2">
        <v>48365.75</v>
      </c>
      <c r="R1340" s="2">
        <v>446.43</v>
      </c>
      <c r="S1340" t="s">
        <v>94</v>
      </c>
      <c r="T1340" t="s">
        <v>52</v>
      </c>
      <c r="U1340" t="s">
        <v>53</v>
      </c>
      <c r="V1340">
        <v>2.1</v>
      </c>
      <c r="W1340" t="s">
        <v>76</v>
      </c>
      <c r="X1340" t="s">
        <v>84</v>
      </c>
      <c r="Y1340" t="s">
        <v>72</v>
      </c>
    </row>
    <row r="1341" spans="1:25" x14ac:dyDescent="0.3">
      <c r="A1341" t="s">
        <v>2759</v>
      </c>
      <c r="B1341" s="1">
        <v>46265</v>
      </c>
      <c r="C1341" t="s">
        <v>26</v>
      </c>
      <c r="D1341" t="s">
        <v>26</v>
      </c>
      <c r="E1341" t="s">
        <v>4084</v>
      </c>
      <c r="F1341" t="s">
        <v>60</v>
      </c>
      <c r="G1341" t="s">
        <v>29</v>
      </c>
      <c r="H1341" t="s">
        <v>27</v>
      </c>
      <c r="I1341">
        <v>7</v>
      </c>
      <c r="J1341" t="s">
        <v>2760</v>
      </c>
      <c r="K1341">
        <v>37</v>
      </c>
      <c r="L1341" t="s">
        <v>63</v>
      </c>
      <c r="M1341">
        <v>3</v>
      </c>
      <c r="N1341" t="s">
        <v>91</v>
      </c>
      <c r="O1341" t="s">
        <v>49</v>
      </c>
      <c r="P1341" t="s">
        <v>70</v>
      </c>
      <c r="Q1341" s="2">
        <v>23013.99</v>
      </c>
      <c r="R1341" s="2">
        <v>4113.8500000000004</v>
      </c>
      <c r="S1341" t="s">
        <v>94</v>
      </c>
      <c r="T1341" t="s">
        <v>52</v>
      </c>
      <c r="U1341" t="s">
        <v>53</v>
      </c>
      <c r="V1341">
        <v>3.1</v>
      </c>
      <c r="W1341" t="s">
        <v>39</v>
      </c>
      <c r="X1341" t="s">
        <v>106</v>
      </c>
      <c r="Y1341" t="s">
        <v>41</v>
      </c>
    </row>
    <row r="1342" spans="1:25" x14ac:dyDescent="0.3">
      <c r="A1342" t="s">
        <v>2761</v>
      </c>
      <c r="B1342" s="1">
        <v>46266</v>
      </c>
      <c r="C1342" t="s">
        <v>43</v>
      </c>
      <c r="D1342" t="s">
        <v>58</v>
      </c>
      <c r="E1342" t="s">
        <v>89</v>
      </c>
      <c r="F1342" t="s">
        <v>28</v>
      </c>
      <c r="G1342" t="s">
        <v>29</v>
      </c>
      <c r="H1342" t="s">
        <v>61</v>
      </c>
      <c r="I1342">
        <v>14</v>
      </c>
      <c r="J1342" t="s">
        <v>2762</v>
      </c>
      <c r="K1342">
        <v>47</v>
      </c>
      <c r="L1342" t="s">
        <v>32</v>
      </c>
      <c r="M1342">
        <v>3</v>
      </c>
      <c r="N1342" t="s">
        <v>64</v>
      </c>
      <c r="O1342" t="s">
        <v>81</v>
      </c>
      <c r="P1342" t="s">
        <v>70</v>
      </c>
      <c r="Q1342" s="2">
        <v>21371.09</v>
      </c>
      <c r="R1342" s="2">
        <v>798.21</v>
      </c>
      <c r="S1342" t="s">
        <v>115</v>
      </c>
      <c r="T1342" t="s">
        <v>71</v>
      </c>
      <c r="U1342" t="s">
        <v>38</v>
      </c>
      <c r="V1342">
        <v>1.3</v>
      </c>
      <c r="W1342" t="s">
        <v>124</v>
      </c>
      <c r="X1342" t="s">
        <v>40</v>
      </c>
      <c r="Y1342" t="s">
        <v>41</v>
      </c>
    </row>
    <row r="1343" spans="1:25" x14ac:dyDescent="0.3">
      <c r="A1343" t="s">
        <v>2763</v>
      </c>
      <c r="B1343" s="1">
        <v>46267</v>
      </c>
      <c r="C1343" t="s">
        <v>117</v>
      </c>
      <c r="D1343" t="s">
        <v>4083</v>
      </c>
      <c r="E1343" t="s">
        <v>45</v>
      </c>
      <c r="F1343" t="s">
        <v>28</v>
      </c>
      <c r="G1343" t="s">
        <v>29</v>
      </c>
      <c r="H1343" t="s">
        <v>67</v>
      </c>
      <c r="I1343">
        <v>14</v>
      </c>
      <c r="J1343" t="s">
        <v>2764</v>
      </c>
      <c r="K1343">
        <v>59</v>
      </c>
      <c r="L1343" t="s">
        <v>80</v>
      </c>
      <c r="M1343">
        <v>1</v>
      </c>
      <c r="N1343" t="s">
        <v>91</v>
      </c>
      <c r="O1343" t="s">
        <v>34</v>
      </c>
      <c r="P1343" t="s">
        <v>82</v>
      </c>
      <c r="Q1343" s="2">
        <v>36661.33</v>
      </c>
      <c r="R1343" s="2">
        <v>1669.21</v>
      </c>
      <c r="S1343" t="s">
        <v>36</v>
      </c>
      <c r="T1343" t="s">
        <v>71</v>
      </c>
      <c r="U1343" t="s">
        <v>38</v>
      </c>
      <c r="V1343">
        <v>2.7</v>
      </c>
      <c r="W1343" t="s">
        <v>76</v>
      </c>
      <c r="X1343" t="s">
        <v>106</v>
      </c>
      <c r="Y1343" t="s">
        <v>72</v>
      </c>
    </row>
    <row r="1344" spans="1:25" x14ac:dyDescent="0.3">
      <c r="A1344" t="s">
        <v>2765</v>
      </c>
      <c r="B1344" s="1">
        <v>46268</v>
      </c>
      <c r="C1344" t="s">
        <v>117</v>
      </c>
      <c r="D1344" t="s">
        <v>4083</v>
      </c>
      <c r="E1344" t="s">
        <v>45</v>
      </c>
      <c r="F1344" t="s">
        <v>28</v>
      </c>
      <c r="G1344" t="s">
        <v>29</v>
      </c>
      <c r="H1344" t="s">
        <v>67</v>
      </c>
      <c r="I1344">
        <v>12</v>
      </c>
      <c r="J1344" t="s">
        <v>2766</v>
      </c>
      <c r="K1344">
        <v>22</v>
      </c>
      <c r="L1344" t="s">
        <v>63</v>
      </c>
      <c r="M1344">
        <v>2</v>
      </c>
      <c r="N1344" t="s">
        <v>48</v>
      </c>
      <c r="O1344" t="s">
        <v>81</v>
      </c>
      <c r="P1344" t="s">
        <v>50</v>
      </c>
      <c r="Q1344" s="2">
        <v>13042.91</v>
      </c>
      <c r="R1344" s="2">
        <v>144.24</v>
      </c>
      <c r="S1344" t="s">
        <v>94</v>
      </c>
      <c r="T1344" t="s">
        <v>37</v>
      </c>
      <c r="U1344" t="s">
        <v>83</v>
      </c>
      <c r="V1344">
        <v>1.5</v>
      </c>
      <c r="W1344" t="s">
        <v>124</v>
      </c>
      <c r="X1344" t="s">
        <v>55</v>
      </c>
      <c r="Y1344" t="s">
        <v>72</v>
      </c>
    </row>
    <row r="1345" spans="1:25" x14ac:dyDescent="0.3">
      <c r="A1345" t="s">
        <v>2767</v>
      </c>
      <c r="B1345" s="1">
        <v>46269</v>
      </c>
      <c r="C1345" t="s">
        <v>57</v>
      </c>
      <c r="D1345" t="s">
        <v>44</v>
      </c>
      <c r="E1345" t="s">
        <v>120</v>
      </c>
      <c r="F1345" t="s">
        <v>28</v>
      </c>
      <c r="G1345" t="s">
        <v>29</v>
      </c>
      <c r="H1345" t="s">
        <v>86</v>
      </c>
      <c r="I1345">
        <v>5</v>
      </c>
      <c r="J1345" t="s">
        <v>2768</v>
      </c>
      <c r="K1345">
        <v>67</v>
      </c>
      <c r="L1345" t="s">
        <v>32</v>
      </c>
      <c r="M1345">
        <v>3</v>
      </c>
      <c r="N1345" t="s">
        <v>91</v>
      </c>
      <c r="O1345" t="s">
        <v>81</v>
      </c>
      <c r="P1345" t="s">
        <v>35</v>
      </c>
      <c r="Q1345" s="2">
        <v>21349.56</v>
      </c>
      <c r="R1345" s="2">
        <v>618.64</v>
      </c>
      <c r="S1345" t="s">
        <v>51</v>
      </c>
      <c r="T1345" t="s">
        <v>37</v>
      </c>
      <c r="U1345" t="s">
        <v>75</v>
      </c>
      <c r="V1345">
        <v>1.2</v>
      </c>
      <c r="W1345" t="s">
        <v>124</v>
      </c>
      <c r="X1345" t="s">
        <v>84</v>
      </c>
      <c r="Y1345" t="s">
        <v>41</v>
      </c>
    </row>
    <row r="1346" spans="1:25" x14ac:dyDescent="0.3">
      <c r="A1346" t="s">
        <v>2769</v>
      </c>
      <c r="B1346" s="1">
        <v>46270</v>
      </c>
      <c r="C1346" t="s">
        <v>43</v>
      </c>
      <c r="D1346" t="s">
        <v>58</v>
      </c>
      <c r="E1346" t="s">
        <v>4084</v>
      </c>
      <c r="F1346" t="s">
        <v>60</v>
      </c>
      <c r="G1346" t="s">
        <v>29</v>
      </c>
      <c r="H1346" t="s">
        <v>30</v>
      </c>
      <c r="I1346">
        <v>10</v>
      </c>
      <c r="J1346" t="s">
        <v>2770</v>
      </c>
      <c r="K1346">
        <v>38</v>
      </c>
      <c r="L1346" t="s">
        <v>80</v>
      </c>
      <c r="M1346">
        <v>4</v>
      </c>
      <c r="N1346" t="s">
        <v>33</v>
      </c>
      <c r="O1346" t="s">
        <v>69</v>
      </c>
      <c r="P1346" t="s">
        <v>70</v>
      </c>
      <c r="Q1346" s="2">
        <v>18108.84</v>
      </c>
      <c r="R1346" s="2">
        <v>2228.63</v>
      </c>
      <c r="S1346" t="s">
        <v>36</v>
      </c>
      <c r="T1346" t="s">
        <v>52</v>
      </c>
      <c r="U1346" t="s">
        <v>38</v>
      </c>
      <c r="V1346">
        <v>4.9000000000000004</v>
      </c>
      <c r="W1346" t="s">
        <v>103</v>
      </c>
      <c r="X1346" t="s">
        <v>40</v>
      </c>
      <c r="Y1346" t="s">
        <v>41</v>
      </c>
    </row>
    <row r="1347" spans="1:25" x14ac:dyDescent="0.3">
      <c r="A1347" t="s">
        <v>2771</v>
      </c>
      <c r="B1347" s="1">
        <v>46271</v>
      </c>
      <c r="C1347" t="s">
        <v>78</v>
      </c>
      <c r="D1347" t="s">
        <v>58</v>
      </c>
      <c r="E1347" t="s">
        <v>4085</v>
      </c>
      <c r="F1347" t="s">
        <v>60</v>
      </c>
      <c r="G1347" t="s">
        <v>29</v>
      </c>
      <c r="H1347" t="s">
        <v>59</v>
      </c>
      <c r="I1347">
        <v>8</v>
      </c>
      <c r="J1347" t="s">
        <v>2772</v>
      </c>
      <c r="K1347">
        <v>32</v>
      </c>
      <c r="L1347" t="s">
        <v>32</v>
      </c>
      <c r="M1347">
        <v>3</v>
      </c>
      <c r="N1347" t="s">
        <v>64</v>
      </c>
      <c r="O1347" t="s">
        <v>69</v>
      </c>
      <c r="P1347" t="s">
        <v>70</v>
      </c>
      <c r="Q1347" s="2">
        <v>32069.06</v>
      </c>
      <c r="R1347" s="2">
        <v>4091.69</v>
      </c>
      <c r="S1347" t="s">
        <v>51</v>
      </c>
      <c r="T1347" t="s">
        <v>52</v>
      </c>
      <c r="U1347" t="s">
        <v>83</v>
      </c>
      <c r="V1347">
        <v>3.9</v>
      </c>
      <c r="W1347" t="s">
        <v>54</v>
      </c>
      <c r="X1347" t="s">
        <v>65</v>
      </c>
      <c r="Y1347" t="s">
        <v>41</v>
      </c>
    </row>
    <row r="1348" spans="1:25" x14ac:dyDescent="0.3">
      <c r="A1348" t="s">
        <v>2773</v>
      </c>
      <c r="B1348" s="1">
        <v>46272</v>
      </c>
      <c r="C1348" t="s">
        <v>26</v>
      </c>
      <c r="D1348" t="s">
        <v>26</v>
      </c>
      <c r="E1348" t="s">
        <v>4084</v>
      </c>
      <c r="F1348" t="s">
        <v>60</v>
      </c>
      <c r="G1348" t="s">
        <v>29</v>
      </c>
      <c r="H1348" t="s">
        <v>30</v>
      </c>
      <c r="I1348">
        <v>4</v>
      </c>
      <c r="J1348" t="s">
        <v>2774</v>
      </c>
      <c r="K1348">
        <v>37</v>
      </c>
      <c r="L1348" t="s">
        <v>63</v>
      </c>
      <c r="M1348">
        <v>2</v>
      </c>
      <c r="N1348" t="s">
        <v>33</v>
      </c>
      <c r="O1348" t="s">
        <v>34</v>
      </c>
      <c r="P1348" t="s">
        <v>70</v>
      </c>
      <c r="Q1348" s="2">
        <v>12323.88</v>
      </c>
      <c r="R1348" s="2">
        <v>3868.35</v>
      </c>
      <c r="S1348" t="s">
        <v>51</v>
      </c>
      <c r="T1348" t="s">
        <v>37</v>
      </c>
      <c r="U1348" t="s">
        <v>75</v>
      </c>
      <c r="V1348">
        <v>3.9</v>
      </c>
      <c r="W1348" t="s">
        <v>54</v>
      </c>
      <c r="X1348" t="s">
        <v>84</v>
      </c>
      <c r="Y1348" t="s">
        <v>72</v>
      </c>
    </row>
    <row r="1349" spans="1:25" x14ac:dyDescent="0.3">
      <c r="A1349" t="s">
        <v>2775</v>
      </c>
      <c r="B1349" s="1">
        <v>46273</v>
      </c>
      <c r="C1349" t="s">
        <v>78</v>
      </c>
      <c r="D1349" t="s">
        <v>58</v>
      </c>
      <c r="E1349" t="s">
        <v>45</v>
      </c>
      <c r="F1349" t="s">
        <v>28</v>
      </c>
      <c r="G1349" t="s">
        <v>29</v>
      </c>
      <c r="H1349" t="s">
        <v>67</v>
      </c>
      <c r="I1349">
        <v>4</v>
      </c>
      <c r="J1349" t="s">
        <v>2776</v>
      </c>
      <c r="K1349">
        <v>25</v>
      </c>
      <c r="L1349" t="s">
        <v>32</v>
      </c>
      <c r="M1349">
        <v>6</v>
      </c>
      <c r="N1349" t="s">
        <v>91</v>
      </c>
      <c r="O1349" t="s">
        <v>69</v>
      </c>
      <c r="P1349" t="s">
        <v>82</v>
      </c>
      <c r="Q1349" s="2">
        <v>29691.56</v>
      </c>
      <c r="R1349" s="2">
        <v>1176.49</v>
      </c>
      <c r="S1349" t="s">
        <v>36</v>
      </c>
      <c r="T1349" t="s">
        <v>52</v>
      </c>
      <c r="U1349" t="s">
        <v>75</v>
      </c>
      <c r="V1349">
        <v>1.4</v>
      </c>
      <c r="W1349" t="s">
        <v>124</v>
      </c>
      <c r="X1349" t="s">
        <v>106</v>
      </c>
      <c r="Y1349" t="s">
        <v>72</v>
      </c>
    </row>
    <row r="1350" spans="1:25" x14ac:dyDescent="0.3">
      <c r="A1350" t="s">
        <v>2777</v>
      </c>
      <c r="B1350" s="1">
        <v>46274</v>
      </c>
      <c r="C1350" t="s">
        <v>43</v>
      </c>
      <c r="D1350" t="s">
        <v>58</v>
      </c>
      <c r="E1350" t="s">
        <v>89</v>
      </c>
      <c r="F1350" t="s">
        <v>28</v>
      </c>
      <c r="G1350" t="s">
        <v>29</v>
      </c>
      <c r="H1350" t="s">
        <v>61</v>
      </c>
      <c r="I1350">
        <v>11</v>
      </c>
      <c r="J1350" t="s">
        <v>2778</v>
      </c>
      <c r="K1350">
        <v>66</v>
      </c>
      <c r="L1350" t="s">
        <v>32</v>
      </c>
      <c r="M1350">
        <v>7</v>
      </c>
      <c r="N1350" t="s">
        <v>64</v>
      </c>
      <c r="O1350" t="s">
        <v>49</v>
      </c>
      <c r="P1350" t="s">
        <v>35</v>
      </c>
      <c r="Q1350" s="2">
        <v>43589.599999999999</v>
      </c>
      <c r="R1350" s="2">
        <v>758.45</v>
      </c>
      <c r="S1350" t="s">
        <v>115</v>
      </c>
      <c r="T1350" t="s">
        <v>71</v>
      </c>
      <c r="U1350" t="s">
        <v>53</v>
      </c>
      <c r="V1350">
        <v>4.7</v>
      </c>
      <c r="W1350" t="s">
        <v>103</v>
      </c>
      <c r="X1350" t="s">
        <v>40</v>
      </c>
      <c r="Y1350" t="s">
        <v>72</v>
      </c>
    </row>
    <row r="1351" spans="1:25" x14ac:dyDescent="0.3">
      <c r="A1351" t="s">
        <v>2779</v>
      </c>
      <c r="B1351" s="1">
        <v>46275</v>
      </c>
      <c r="C1351" t="s">
        <v>117</v>
      </c>
      <c r="D1351" t="s">
        <v>4083</v>
      </c>
      <c r="E1351" t="s">
        <v>4085</v>
      </c>
      <c r="F1351" t="s">
        <v>60</v>
      </c>
      <c r="G1351" t="s">
        <v>29</v>
      </c>
      <c r="H1351" t="s">
        <v>59</v>
      </c>
      <c r="I1351">
        <v>9</v>
      </c>
      <c r="J1351" t="s">
        <v>2780</v>
      </c>
      <c r="K1351">
        <v>48</v>
      </c>
      <c r="L1351" t="s">
        <v>32</v>
      </c>
      <c r="M1351">
        <v>1</v>
      </c>
      <c r="N1351" t="s">
        <v>33</v>
      </c>
      <c r="O1351" t="s">
        <v>34</v>
      </c>
      <c r="P1351" t="s">
        <v>70</v>
      </c>
      <c r="Q1351" s="2">
        <v>28137.67</v>
      </c>
      <c r="R1351" s="2">
        <v>1946.32</v>
      </c>
      <c r="S1351" t="s">
        <v>36</v>
      </c>
      <c r="T1351" t="s">
        <v>37</v>
      </c>
      <c r="U1351" t="s">
        <v>53</v>
      </c>
      <c r="V1351">
        <v>2.9</v>
      </c>
      <c r="W1351" t="s">
        <v>76</v>
      </c>
      <c r="X1351" t="s">
        <v>84</v>
      </c>
      <c r="Y1351" t="s">
        <v>72</v>
      </c>
    </row>
    <row r="1352" spans="1:25" x14ac:dyDescent="0.3">
      <c r="A1352" t="s">
        <v>2781</v>
      </c>
      <c r="B1352" s="1">
        <v>46276</v>
      </c>
      <c r="C1352" t="s">
        <v>117</v>
      </c>
      <c r="D1352" t="s">
        <v>4083</v>
      </c>
      <c r="E1352" t="s">
        <v>120</v>
      </c>
      <c r="F1352" t="s">
        <v>28</v>
      </c>
      <c r="G1352" t="s">
        <v>29</v>
      </c>
      <c r="H1352" t="s">
        <v>86</v>
      </c>
      <c r="I1352">
        <v>12</v>
      </c>
      <c r="J1352" t="s">
        <v>2782</v>
      </c>
      <c r="K1352">
        <v>29</v>
      </c>
      <c r="L1352" t="s">
        <v>32</v>
      </c>
      <c r="M1352">
        <v>6</v>
      </c>
      <c r="N1352" t="s">
        <v>64</v>
      </c>
      <c r="O1352" t="s">
        <v>69</v>
      </c>
      <c r="P1352" t="s">
        <v>82</v>
      </c>
      <c r="Q1352" s="2">
        <v>35757.35</v>
      </c>
      <c r="R1352" s="2">
        <v>4416.34</v>
      </c>
      <c r="S1352" t="s">
        <v>94</v>
      </c>
      <c r="T1352" t="s">
        <v>37</v>
      </c>
      <c r="U1352" t="s">
        <v>83</v>
      </c>
      <c r="V1352">
        <v>4.4000000000000004</v>
      </c>
      <c r="W1352" t="s">
        <v>54</v>
      </c>
      <c r="X1352" t="s">
        <v>65</v>
      </c>
      <c r="Y1352" t="s">
        <v>41</v>
      </c>
    </row>
    <row r="1353" spans="1:25" x14ac:dyDescent="0.3">
      <c r="A1353" t="s">
        <v>2783</v>
      </c>
      <c r="B1353" s="1">
        <v>46277</v>
      </c>
      <c r="C1353" t="s">
        <v>43</v>
      </c>
      <c r="D1353" t="s">
        <v>58</v>
      </c>
      <c r="E1353" t="s">
        <v>4085</v>
      </c>
      <c r="F1353" t="s">
        <v>60</v>
      </c>
      <c r="G1353" t="s">
        <v>29</v>
      </c>
      <c r="H1353" t="s">
        <v>59</v>
      </c>
      <c r="I1353">
        <v>11</v>
      </c>
      <c r="J1353" t="s">
        <v>2784</v>
      </c>
      <c r="K1353">
        <v>38</v>
      </c>
      <c r="L1353" t="s">
        <v>80</v>
      </c>
      <c r="M1353">
        <v>2</v>
      </c>
      <c r="N1353" t="s">
        <v>91</v>
      </c>
      <c r="O1353" t="s">
        <v>69</v>
      </c>
      <c r="P1353" t="s">
        <v>82</v>
      </c>
      <c r="Q1353" s="2">
        <v>8386.16</v>
      </c>
      <c r="R1353" s="2">
        <v>457.13</v>
      </c>
      <c r="S1353" t="s">
        <v>36</v>
      </c>
      <c r="T1353" t="s">
        <v>52</v>
      </c>
      <c r="U1353" t="s">
        <v>83</v>
      </c>
      <c r="V1353">
        <v>1.1000000000000001</v>
      </c>
      <c r="W1353" t="s">
        <v>124</v>
      </c>
      <c r="X1353" t="s">
        <v>65</v>
      </c>
      <c r="Y1353" t="s">
        <v>41</v>
      </c>
    </row>
    <row r="1354" spans="1:25" x14ac:dyDescent="0.3">
      <c r="A1354" t="s">
        <v>2785</v>
      </c>
      <c r="B1354" s="1">
        <v>46278</v>
      </c>
      <c r="C1354" t="s">
        <v>117</v>
      </c>
      <c r="D1354" t="s">
        <v>4083</v>
      </c>
      <c r="E1354" t="s">
        <v>120</v>
      </c>
      <c r="F1354" t="s">
        <v>28</v>
      </c>
      <c r="G1354" t="s">
        <v>29</v>
      </c>
      <c r="H1354" t="s">
        <v>86</v>
      </c>
      <c r="I1354">
        <v>8</v>
      </c>
      <c r="J1354" t="s">
        <v>2786</v>
      </c>
      <c r="K1354">
        <v>47</v>
      </c>
      <c r="L1354" t="s">
        <v>63</v>
      </c>
      <c r="M1354">
        <v>5</v>
      </c>
      <c r="N1354" t="s">
        <v>33</v>
      </c>
      <c r="O1354" t="s">
        <v>34</v>
      </c>
      <c r="P1354" t="s">
        <v>70</v>
      </c>
      <c r="Q1354" s="2">
        <v>25205.25</v>
      </c>
      <c r="R1354" s="2">
        <v>2714.57</v>
      </c>
      <c r="S1354" t="s">
        <v>94</v>
      </c>
      <c r="T1354" t="s">
        <v>37</v>
      </c>
      <c r="U1354" t="s">
        <v>53</v>
      </c>
      <c r="V1354">
        <v>2.2000000000000002</v>
      </c>
      <c r="W1354" t="s">
        <v>76</v>
      </c>
      <c r="X1354" t="s">
        <v>106</v>
      </c>
      <c r="Y1354" t="s">
        <v>41</v>
      </c>
    </row>
    <row r="1355" spans="1:25" x14ac:dyDescent="0.3">
      <c r="A1355" t="s">
        <v>2787</v>
      </c>
      <c r="B1355" s="1">
        <v>46279</v>
      </c>
      <c r="C1355" t="s">
        <v>117</v>
      </c>
      <c r="D1355" t="s">
        <v>4083</v>
      </c>
      <c r="E1355" t="s">
        <v>4085</v>
      </c>
      <c r="F1355" t="s">
        <v>60</v>
      </c>
      <c r="G1355" t="s">
        <v>29</v>
      </c>
      <c r="H1355" t="s">
        <v>46</v>
      </c>
      <c r="I1355">
        <v>7</v>
      </c>
      <c r="J1355" t="s">
        <v>2788</v>
      </c>
      <c r="K1355">
        <v>44</v>
      </c>
      <c r="L1355" t="s">
        <v>80</v>
      </c>
      <c r="M1355">
        <v>7</v>
      </c>
      <c r="N1355" t="s">
        <v>91</v>
      </c>
      <c r="O1355" t="s">
        <v>49</v>
      </c>
      <c r="P1355" t="s">
        <v>70</v>
      </c>
      <c r="Q1355" s="2">
        <v>9270.19</v>
      </c>
      <c r="R1355" s="2">
        <v>444.04</v>
      </c>
      <c r="S1355" t="s">
        <v>94</v>
      </c>
      <c r="T1355" t="s">
        <v>37</v>
      </c>
      <c r="U1355" t="s">
        <v>53</v>
      </c>
      <c r="V1355">
        <v>5</v>
      </c>
      <c r="W1355" t="s">
        <v>103</v>
      </c>
      <c r="X1355" t="s">
        <v>55</v>
      </c>
      <c r="Y1355" t="s">
        <v>41</v>
      </c>
    </row>
    <row r="1356" spans="1:25" x14ac:dyDescent="0.3">
      <c r="A1356" t="s">
        <v>2789</v>
      </c>
      <c r="B1356" s="1">
        <v>46280</v>
      </c>
      <c r="C1356" t="s">
        <v>117</v>
      </c>
      <c r="D1356" t="s">
        <v>4083</v>
      </c>
      <c r="E1356" t="s">
        <v>120</v>
      </c>
      <c r="F1356" t="s">
        <v>28</v>
      </c>
      <c r="G1356" t="s">
        <v>29</v>
      </c>
      <c r="H1356" t="s">
        <v>86</v>
      </c>
      <c r="I1356">
        <v>14</v>
      </c>
      <c r="J1356" t="s">
        <v>2790</v>
      </c>
      <c r="K1356">
        <v>61</v>
      </c>
      <c r="L1356" t="s">
        <v>32</v>
      </c>
      <c r="M1356">
        <v>6</v>
      </c>
      <c r="N1356" t="s">
        <v>33</v>
      </c>
      <c r="O1356" t="s">
        <v>34</v>
      </c>
      <c r="P1356" t="s">
        <v>82</v>
      </c>
      <c r="Q1356" s="2">
        <v>31975.78</v>
      </c>
      <c r="R1356" s="2">
        <v>2351.06</v>
      </c>
      <c r="S1356" t="s">
        <v>36</v>
      </c>
      <c r="T1356" t="s">
        <v>71</v>
      </c>
      <c r="U1356" t="s">
        <v>75</v>
      </c>
      <c r="V1356">
        <v>2.7</v>
      </c>
      <c r="W1356" t="s">
        <v>76</v>
      </c>
      <c r="X1356" t="s">
        <v>106</v>
      </c>
      <c r="Y1356" t="s">
        <v>72</v>
      </c>
    </row>
    <row r="1357" spans="1:25" x14ac:dyDescent="0.3">
      <c r="A1357" t="s">
        <v>2791</v>
      </c>
      <c r="B1357" s="1">
        <v>46281</v>
      </c>
      <c r="C1357" t="s">
        <v>26</v>
      </c>
      <c r="D1357" t="s">
        <v>26</v>
      </c>
      <c r="E1357" t="s">
        <v>120</v>
      </c>
      <c r="F1357" t="s">
        <v>28</v>
      </c>
      <c r="G1357" t="s">
        <v>29</v>
      </c>
      <c r="H1357" t="s">
        <v>86</v>
      </c>
      <c r="I1357">
        <v>3</v>
      </c>
      <c r="J1357" t="s">
        <v>2792</v>
      </c>
      <c r="K1357">
        <v>43</v>
      </c>
      <c r="L1357" t="s">
        <v>32</v>
      </c>
      <c r="M1357">
        <v>3</v>
      </c>
      <c r="N1357" t="s">
        <v>48</v>
      </c>
      <c r="O1357" t="s">
        <v>69</v>
      </c>
      <c r="P1357" t="s">
        <v>82</v>
      </c>
      <c r="Q1357" s="2">
        <v>17647.45</v>
      </c>
      <c r="R1357" s="2">
        <v>633.96</v>
      </c>
      <c r="S1357" t="s">
        <v>36</v>
      </c>
      <c r="T1357" t="s">
        <v>37</v>
      </c>
      <c r="U1357" t="s">
        <v>75</v>
      </c>
      <c r="V1357">
        <v>4.5999999999999996</v>
      </c>
      <c r="W1357" t="s">
        <v>103</v>
      </c>
      <c r="X1357" t="s">
        <v>40</v>
      </c>
      <c r="Y1357" t="s">
        <v>41</v>
      </c>
    </row>
    <row r="1358" spans="1:25" x14ac:dyDescent="0.3">
      <c r="A1358" t="s">
        <v>2793</v>
      </c>
      <c r="B1358" s="1">
        <v>46282</v>
      </c>
      <c r="C1358" t="s">
        <v>26</v>
      </c>
      <c r="D1358" t="s">
        <v>26</v>
      </c>
      <c r="E1358" t="s">
        <v>4085</v>
      </c>
      <c r="F1358" t="s">
        <v>60</v>
      </c>
      <c r="G1358" t="s">
        <v>29</v>
      </c>
      <c r="H1358" t="s">
        <v>59</v>
      </c>
      <c r="I1358">
        <v>14</v>
      </c>
      <c r="J1358" t="s">
        <v>2794</v>
      </c>
      <c r="K1358">
        <v>50</v>
      </c>
      <c r="L1358" t="s">
        <v>63</v>
      </c>
      <c r="M1358">
        <v>7</v>
      </c>
      <c r="N1358" t="s">
        <v>48</v>
      </c>
      <c r="O1358" t="s">
        <v>69</v>
      </c>
      <c r="P1358" t="s">
        <v>70</v>
      </c>
      <c r="Q1358" s="2">
        <v>17926.96</v>
      </c>
      <c r="R1358" s="2">
        <v>401.68</v>
      </c>
      <c r="S1358" t="s">
        <v>94</v>
      </c>
      <c r="T1358" t="s">
        <v>37</v>
      </c>
      <c r="U1358" t="s">
        <v>38</v>
      </c>
      <c r="V1358">
        <v>2.2999999999999998</v>
      </c>
      <c r="W1358" t="s">
        <v>76</v>
      </c>
      <c r="X1358" t="s">
        <v>106</v>
      </c>
      <c r="Y1358" t="s">
        <v>41</v>
      </c>
    </row>
    <row r="1359" spans="1:25" x14ac:dyDescent="0.3">
      <c r="A1359" t="s">
        <v>2795</v>
      </c>
      <c r="B1359" s="1">
        <v>46283</v>
      </c>
      <c r="C1359" t="s">
        <v>57</v>
      </c>
      <c r="D1359" t="s">
        <v>44</v>
      </c>
      <c r="E1359" t="s">
        <v>4085</v>
      </c>
      <c r="F1359" t="s">
        <v>60</v>
      </c>
      <c r="G1359" t="s">
        <v>29</v>
      </c>
      <c r="H1359" t="s">
        <v>46</v>
      </c>
      <c r="I1359">
        <v>8</v>
      </c>
      <c r="J1359" t="s">
        <v>2796</v>
      </c>
      <c r="K1359">
        <v>43</v>
      </c>
      <c r="L1359" t="s">
        <v>63</v>
      </c>
      <c r="M1359">
        <v>3</v>
      </c>
      <c r="N1359" t="s">
        <v>48</v>
      </c>
      <c r="O1359" t="s">
        <v>34</v>
      </c>
      <c r="P1359" t="s">
        <v>82</v>
      </c>
      <c r="Q1359" s="2">
        <v>8454.5</v>
      </c>
      <c r="R1359" s="2">
        <v>954.25</v>
      </c>
      <c r="S1359" t="s">
        <v>51</v>
      </c>
      <c r="T1359" t="s">
        <v>37</v>
      </c>
      <c r="U1359" t="s">
        <v>53</v>
      </c>
      <c r="V1359">
        <v>3.1</v>
      </c>
      <c r="W1359" t="s">
        <v>39</v>
      </c>
      <c r="X1359" t="s">
        <v>40</v>
      </c>
      <c r="Y1359" t="s">
        <v>72</v>
      </c>
    </row>
    <row r="1360" spans="1:25" x14ac:dyDescent="0.3">
      <c r="A1360" t="s">
        <v>2797</v>
      </c>
      <c r="B1360" s="1">
        <v>46284</v>
      </c>
      <c r="C1360" t="s">
        <v>78</v>
      </c>
      <c r="D1360" t="s">
        <v>58</v>
      </c>
      <c r="E1360" t="s">
        <v>120</v>
      </c>
      <c r="F1360" t="s">
        <v>28</v>
      </c>
      <c r="G1360" t="s">
        <v>29</v>
      </c>
      <c r="H1360" t="s">
        <v>86</v>
      </c>
      <c r="I1360">
        <v>8</v>
      </c>
      <c r="J1360" t="s">
        <v>2798</v>
      </c>
      <c r="K1360">
        <v>43</v>
      </c>
      <c r="L1360" t="s">
        <v>80</v>
      </c>
      <c r="M1360">
        <v>1</v>
      </c>
      <c r="N1360" t="s">
        <v>48</v>
      </c>
      <c r="O1360" t="s">
        <v>49</v>
      </c>
      <c r="P1360" t="s">
        <v>82</v>
      </c>
      <c r="Q1360" s="2">
        <v>18960.7</v>
      </c>
      <c r="R1360" s="2">
        <v>1276.28</v>
      </c>
      <c r="S1360" t="s">
        <v>36</v>
      </c>
      <c r="T1360" t="s">
        <v>37</v>
      </c>
      <c r="U1360" t="s">
        <v>75</v>
      </c>
      <c r="V1360">
        <v>4.4000000000000004</v>
      </c>
      <c r="W1360" t="s">
        <v>54</v>
      </c>
      <c r="X1360" t="s">
        <v>55</v>
      </c>
      <c r="Y1360" t="s">
        <v>72</v>
      </c>
    </row>
    <row r="1361" spans="1:25" x14ac:dyDescent="0.3">
      <c r="A1361" t="s">
        <v>2799</v>
      </c>
      <c r="B1361" s="1">
        <v>46285</v>
      </c>
      <c r="C1361" t="s">
        <v>43</v>
      </c>
      <c r="D1361" t="s">
        <v>58</v>
      </c>
      <c r="E1361" t="s">
        <v>45</v>
      </c>
      <c r="F1361" t="s">
        <v>28</v>
      </c>
      <c r="G1361" t="s">
        <v>29</v>
      </c>
      <c r="H1361" t="s">
        <v>67</v>
      </c>
      <c r="I1361">
        <v>5</v>
      </c>
      <c r="J1361" t="s">
        <v>2800</v>
      </c>
      <c r="K1361">
        <v>53</v>
      </c>
      <c r="L1361" t="s">
        <v>80</v>
      </c>
      <c r="M1361">
        <v>3</v>
      </c>
      <c r="N1361" t="s">
        <v>48</v>
      </c>
      <c r="O1361" t="s">
        <v>49</v>
      </c>
      <c r="P1361" t="s">
        <v>70</v>
      </c>
      <c r="Q1361" s="2">
        <v>27800.47</v>
      </c>
      <c r="R1361" s="2">
        <v>1381.33</v>
      </c>
      <c r="S1361" t="s">
        <v>115</v>
      </c>
      <c r="T1361" t="s">
        <v>71</v>
      </c>
      <c r="U1361" t="s">
        <v>83</v>
      </c>
      <c r="V1361">
        <v>3.4</v>
      </c>
      <c r="W1361" t="s">
        <v>76</v>
      </c>
      <c r="X1361" t="s">
        <v>106</v>
      </c>
      <c r="Y1361" t="s">
        <v>72</v>
      </c>
    </row>
    <row r="1362" spans="1:25" x14ac:dyDescent="0.3">
      <c r="A1362" t="s">
        <v>2801</v>
      </c>
      <c r="B1362" s="1">
        <v>46286</v>
      </c>
      <c r="C1362" t="s">
        <v>43</v>
      </c>
      <c r="D1362" t="s">
        <v>58</v>
      </c>
      <c r="E1362" t="s">
        <v>4085</v>
      </c>
      <c r="F1362" t="s">
        <v>60</v>
      </c>
      <c r="G1362" t="s">
        <v>29</v>
      </c>
      <c r="H1362" t="s">
        <v>46</v>
      </c>
      <c r="I1362">
        <v>5</v>
      </c>
      <c r="J1362" t="s">
        <v>2802</v>
      </c>
      <c r="K1362">
        <v>57</v>
      </c>
      <c r="L1362" t="s">
        <v>63</v>
      </c>
      <c r="M1362">
        <v>7</v>
      </c>
      <c r="N1362" t="s">
        <v>91</v>
      </c>
      <c r="O1362" t="s">
        <v>81</v>
      </c>
      <c r="P1362" t="s">
        <v>70</v>
      </c>
      <c r="Q1362" s="2">
        <v>31309.7</v>
      </c>
      <c r="R1362" s="2">
        <v>3226.34</v>
      </c>
      <c r="S1362" t="s">
        <v>94</v>
      </c>
      <c r="T1362" t="s">
        <v>37</v>
      </c>
      <c r="U1362" t="s">
        <v>75</v>
      </c>
      <c r="V1362">
        <v>3.9</v>
      </c>
      <c r="W1362" t="s">
        <v>54</v>
      </c>
      <c r="X1362" t="s">
        <v>65</v>
      </c>
      <c r="Y1362" t="s">
        <v>41</v>
      </c>
    </row>
    <row r="1363" spans="1:25" x14ac:dyDescent="0.3">
      <c r="A1363" t="s">
        <v>2803</v>
      </c>
      <c r="B1363" s="1">
        <v>46287</v>
      </c>
      <c r="C1363" t="s">
        <v>43</v>
      </c>
      <c r="D1363" t="s">
        <v>58</v>
      </c>
      <c r="E1363" t="s">
        <v>4084</v>
      </c>
      <c r="F1363" t="s">
        <v>60</v>
      </c>
      <c r="G1363" t="s">
        <v>29</v>
      </c>
      <c r="H1363" t="s">
        <v>30</v>
      </c>
      <c r="I1363">
        <v>5</v>
      </c>
      <c r="J1363" t="s">
        <v>2804</v>
      </c>
      <c r="K1363">
        <v>18</v>
      </c>
      <c r="L1363" t="s">
        <v>80</v>
      </c>
      <c r="M1363">
        <v>4</v>
      </c>
      <c r="N1363" t="s">
        <v>48</v>
      </c>
      <c r="O1363" t="s">
        <v>49</v>
      </c>
      <c r="P1363" t="s">
        <v>50</v>
      </c>
      <c r="Q1363" s="2">
        <v>7999.95</v>
      </c>
      <c r="R1363" s="2">
        <v>274.91000000000003</v>
      </c>
      <c r="S1363" t="s">
        <v>51</v>
      </c>
      <c r="T1363" t="s">
        <v>71</v>
      </c>
      <c r="U1363" t="s">
        <v>53</v>
      </c>
      <c r="V1363">
        <v>1.9</v>
      </c>
      <c r="W1363" t="s">
        <v>124</v>
      </c>
      <c r="X1363" t="s">
        <v>40</v>
      </c>
      <c r="Y1363" t="s">
        <v>41</v>
      </c>
    </row>
    <row r="1364" spans="1:25" x14ac:dyDescent="0.3">
      <c r="A1364" t="s">
        <v>2805</v>
      </c>
      <c r="B1364" s="1">
        <v>46288</v>
      </c>
      <c r="C1364" t="s">
        <v>57</v>
      </c>
      <c r="D1364" t="s">
        <v>44</v>
      </c>
      <c r="E1364" t="s">
        <v>89</v>
      </c>
      <c r="F1364" t="s">
        <v>28</v>
      </c>
      <c r="G1364" t="s">
        <v>29</v>
      </c>
      <c r="H1364" t="s">
        <v>61</v>
      </c>
      <c r="I1364">
        <v>5</v>
      </c>
      <c r="J1364" t="s">
        <v>2806</v>
      </c>
      <c r="K1364">
        <v>32</v>
      </c>
      <c r="L1364" t="s">
        <v>32</v>
      </c>
      <c r="M1364">
        <v>4</v>
      </c>
      <c r="N1364" t="s">
        <v>91</v>
      </c>
      <c r="O1364" t="s">
        <v>34</v>
      </c>
      <c r="P1364" t="s">
        <v>35</v>
      </c>
      <c r="Q1364" s="2">
        <v>34315.660000000003</v>
      </c>
      <c r="R1364" s="2">
        <v>404.05</v>
      </c>
      <c r="S1364" t="s">
        <v>36</v>
      </c>
      <c r="T1364" t="s">
        <v>71</v>
      </c>
      <c r="U1364" t="s">
        <v>75</v>
      </c>
      <c r="V1364">
        <v>1.6</v>
      </c>
      <c r="W1364" t="s">
        <v>124</v>
      </c>
      <c r="X1364" t="s">
        <v>40</v>
      </c>
      <c r="Y1364" t="s">
        <v>72</v>
      </c>
    </row>
    <row r="1365" spans="1:25" x14ac:dyDescent="0.3">
      <c r="A1365" t="s">
        <v>2807</v>
      </c>
      <c r="B1365" s="1">
        <v>46289</v>
      </c>
      <c r="C1365" t="s">
        <v>26</v>
      </c>
      <c r="D1365" t="s">
        <v>26</v>
      </c>
      <c r="E1365" t="s">
        <v>120</v>
      </c>
      <c r="F1365" t="s">
        <v>28</v>
      </c>
      <c r="G1365" t="s">
        <v>29</v>
      </c>
      <c r="H1365" t="s">
        <v>86</v>
      </c>
      <c r="I1365">
        <v>9</v>
      </c>
      <c r="J1365" t="s">
        <v>2808</v>
      </c>
      <c r="K1365">
        <v>67</v>
      </c>
      <c r="L1365" t="s">
        <v>32</v>
      </c>
      <c r="M1365">
        <v>6</v>
      </c>
      <c r="N1365" t="s">
        <v>48</v>
      </c>
      <c r="O1365" t="s">
        <v>49</v>
      </c>
      <c r="P1365" t="s">
        <v>70</v>
      </c>
      <c r="Q1365" s="2">
        <v>26999.41</v>
      </c>
      <c r="R1365" s="2">
        <v>943.53</v>
      </c>
      <c r="S1365" t="s">
        <v>36</v>
      </c>
      <c r="T1365" t="s">
        <v>71</v>
      </c>
      <c r="U1365" t="s">
        <v>53</v>
      </c>
      <c r="V1365">
        <v>1.9</v>
      </c>
      <c r="W1365" t="s">
        <v>124</v>
      </c>
      <c r="X1365" t="s">
        <v>65</v>
      </c>
      <c r="Y1365" t="s">
        <v>72</v>
      </c>
    </row>
    <row r="1366" spans="1:25" x14ac:dyDescent="0.3">
      <c r="A1366" t="s">
        <v>2809</v>
      </c>
      <c r="B1366" s="1">
        <v>46290</v>
      </c>
      <c r="C1366" t="s">
        <v>57</v>
      </c>
      <c r="D1366" t="s">
        <v>44</v>
      </c>
      <c r="E1366" t="s">
        <v>120</v>
      </c>
      <c r="F1366" t="s">
        <v>28</v>
      </c>
      <c r="G1366" t="s">
        <v>29</v>
      </c>
      <c r="H1366" t="s">
        <v>86</v>
      </c>
      <c r="I1366">
        <v>12</v>
      </c>
      <c r="J1366" t="s">
        <v>2810</v>
      </c>
      <c r="K1366">
        <v>18</v>
      </c>
      <c r="L1366" t="s">
        <v>63</v>
      </c>
      <c r="M1366">
        <v>2</v>
      </c>
      <c r="N1366" t="s">
        <v>64</v>
      </c>
      <c r="O1366" t="s">
        <v>49</v>
      </c>
      <c r="P1366" t="s">
        <v>70</v>
      </c>
      <c r="Q1366" s="2">
        <v>29160.86</v>
      </c>
      <c r="R1366" s="2">
        <v>4360.32</v>
      </c>
      <c r="S1366" t="s">
        <v>51</v>
      </c>
      <c r="T1366" t="s">
        <v>52</v>
      </c>
      <c r="U1366" t="s">
        <v>75</v>
      </c>
      <c r="V1366">
        <v>3</v>
      </c>
      <c r="W1366" t="s">
        <v>39</v>
      </c>
      <c r="X1366" t="s">
        <v>106</v>
      </c>
      <c r="Y1366" t="s">
        <v>72</v>
      </c>
    </row>
    <row r="1367" spans="1:25" x14ac:dyDescent="0.3">
      <c r="A1367" t="s">
        <v>2811</v>
      </c>
      <c r="B1367" s="1">
        <v>46291</v>
      </c>
      <c r="C1367" t="s">
        <v>43</v>
      </c>
      <c r="D1367" t="s">
        <v>58</v>
      </c>
      <c r="E1367" t="s">
        <v>89</v>
      </c>
      <c r="F1367" t="s">
        <v>28</v>
      </c>
      <c r="G1367" t="s">
        <v>29</v>
      </c>
      <c r="H1367" t="s">
        <v>61</v>
      </c>
      <c r="I1367">
        <v>13</v>
      </c>
      <c r="J1367" t="s">
        <v>2812</v>
      </c>
      <c r="K1367">
        <v>28</v>
      </c>
      <c r="L1367" t="s">
        <v>80</v>
      </c>
      <c r="M1367">
        <v>1</v>
      </c>
      <c r="N1367" t="s">
        <v>48</v>
      </c>
      <c r="O1367" t="s">
        <v>81</v>
      </c>
      <c r="P1367" t="s">
        <v>70</v>
      </c>
      <c r="Q1367" s="2">
        <v>42475.85</v>
      </c>
      <c r="R1367" s="2">
        <v>3143.02</v>
      </c>
      <c r="S1367" t="s">
        <v>115</v>
      </c>
      <c r="T1367" t="s">
        <v>52</v>
      </c>
      <c r="U1367" t="s">
        <v>38</v>
      </c>
      <c r="V1367">
        <v>4.2</v>
      </c>
      <c r="W1367" t="s">
        <v>54</v>
      </c>
      <c r="X1367" t="s">
        <v>55</v>
      </c>
      <c r="Y1367" t="s">
        <v>72</v>
      </c>
    </row>
    <row r="1368" spans="1:25" x14ac:dyDescent="0.3">
      <c r="A1368" t="s">
        <v>2813</v>
      </c>
      <c r="B1368" s="1">
        <v>46292</v>
      </c>
      <c r="C1368" t="s">
        <v>78</v>
      </c>
      <c r="D1368" t="s">
        <v>58</v>
      </c>
      <c r="E1368" t="s">
        <v>45</v>
      </c>
      <c r="F1368" t="s">
        <v>28</v>
      </c>
      <c r="G1368" t="s">
        <v>29</v>
      </c>
      <c r="H1368" t="s">
        <v>67</v>
      </c>
      <c r="I1368">
        <v>4</v>
      </c>
      <c r="J1368" t="s">
        <v>2814</v>
      </c>
      <c r="K1368">
        <v>19</v>
      </c>
      <c r="L1368" t="s">
        <v>32</v>
      </c>
      <c r="M1368">
        <v>5</v>
      </c>
      <c r="N1368" t="s">
        <v>64</v>
      </c>
      <c r="O1368" t="s">
        <v>49</v>
      </c>
      <c r="P1368" t="s">
        <v>35</v>
      </c>
      <c r="Q1368" s="2">
        <v>20400.189999999999</v>
      </c>
      <c r="R1368" s="2">
        <v>3651.85</v>
      </c>
      <c r="S1368" t="s">
        <v>94</v>
      </c>
      <c r="T1368" t="s">
        <v>37</v>
      </c>
      <c r="U1368" t="s">
        <v>38</v>
      </c>
      <c r="V1368">
        <v>2.4</v>
      </c>
      <c r="W1368" t="s">
        <v>76</v>
      </c>
      <c r="X1368" t="s">
        <v>84</v>
      </c>
      <c r="Y1368" t="s">
        <v>41</v>
      </c>
    </row>
    <row r="1369" spans="1:25" x14ac:dyDescent="0.3">
      <c r="A1369" t="s">
        <v>2815</v>
      </c>
      <c r="B1369" s="1">
        <v>46293</v>
      </c>
      <c r="C1369" t="s">
        <v>117</v>
      </c>
      <c r="D1369" t="s">
        <v>4083</v>
      </c>
      <c r="E1369" t="s">
        <v>89</v>
      </c>
      <c r="F1369" t="s">
        <v>28</v>
      </c>
      <c r="G1369" t="s">
        <v>29</v>
      </c>
      <c r="H1369" t="s">
        <v>61</v>
      </c>
      <c r="I1369">
        <v>12</v>
      </c>
      <c r="J1369" t="s">
        <v>2816</v>
      </c>
      <c r="K1369">
        <v>18</v>
      </c>
      <c r="L1369" t="s">
        <v>63</v>
      </c>
      <c r="M1369">
        <v>6</v>
      </c>
      <c r="N1369" t="s">
        <v>91</v>
      </c>
      <c r="O1369" t="s">
        <v>81</v>
      </c>
      <c r="P1369" t="s">
        <v>50</v>
      </c>
      <c r="Q1369" s="2">
        <v>12832.3</v>
      </c>
      <c r="R1369" s="2">
        <v>1851.81</v>
      </c>
      <c r="S1369" t="s">
        <v>36</v>
      </c>
      <c r="T1369" t="s">
        <v>71</v>
      </c>
      <c r="U1369" t="s">
        <v>83</v>
      </c>
      <c r="V1369">
        <v>3.3</v>
      </c>
      <c r="W1369" t="s">
        <v>76</v>
      </c>
      <c r="X1369" t="s">
        <v>106</v>
      </c>
      <c r="Y1369" t="s">
        <v>72</v>
      </c>
    </row>
    <row r="1370" spans="1:25" x14ac:dyDescent="0.3">
      <c r="A1370" t="s">
        <v>2817</v>
      </c>
      <c r="B1370" s="1">
        <v>46294</v>
      </c>
      <c r="C1370" t="s">
        <v>26</v>
      </c>
      <c r="D1370" t="s">
        <v>26</v>
      </c>
      <c r="E1370" t="s">
        <v>4085</v>
      </c>
      <c r="F1370" t="s">
        <v>60</v>
      </c>
      <c r="G1370" t="s">
        <v>29</v>
      </c>
      <c r="H1370" t="s">
        <v>59</v>
      </c>
      <c r="I1370">
        <v>12</v>
      </c>
      <c r="J1370" t="s">
        <v>2818</v>
      </c>
      <c r="K1370">
        <v>48</v>
      </c>
      <c r="L1370" t="s">
        <v>80</v>
      </c>
      <c r="M1370">
        <v>2</v>
      </c>
      <c r="N1370" t="s">
        <v>48</v>
      </c>
      <c r="O1370" t="s">
        <v>81</v>
      </c>
      <c r="P1370" t="s">
        <v>82</v>
      </c>
      <c r="Q1370" s="2">
        <v>29831.46</v>
      </c>
      <c r="R1370" s="2">
        <v>1066.0999999999999</v>
      </c>
      <c r="S1370" t="s">
        <v>115</v>
      </c>
      <c r="T1370" t="s">
        <v>52</v>
      </c>
      <c r="U1370" t="s">
        <v>83</v>
      </c>
      <c r="V1370">
        <v>4.2</v>
      </c>
      <c r="W1370" t="s">
        <v>54</v>
      </c>
      <c r="X1370" t="s">
        <v>106</v>
      </c>
      <c r="Y1370" t="s">
        <v>41</v>
      </c>
    </row>
    <row r="1371" spans="1:25" x14ac:dyDescent="0.3">
      <c r="A1371" t="s">
        <v>2819</v>
      </c>
      <c r="B1371" s="1">
        <v>46295</v>
      </c>
      <c r="C1371" t="s">
        <v>26</v>
      </c>
      <c r="D1371" t="s">
        <v>26</v>
      </c>
      <c r="E1371" t="s">
        <v>89</v>
      </c>
      <c r="F1371" t="s">
        <v>28</v>
      </c>
      <c r="G1371" t="s">
        <v>29</v>
      </c>
      <c r="H1371" t="s">
        <v>61</v>
      </c>
      <c r="I1371">
        <v>4</v>
      </c>
      <c r="J1371" t="s">
        <v>2820</v>
      </c>
      <c r="K1371">
        <v>61</v>
      </c>
      <c r="L1371" t="s">
        <v>32</v>
      </c>
      <c r="M1371">
        <v>1</v>
      </c>
      <c r="N1371" t="s">
        <v>33</v>
      </c>
      <c r="O1371" t="s">
        <v>49</v>
      </c>
      <c r="P1371" t="s">
        <v>35</v>
      </c>
      <c r="Q1371" s="2">
        <v>47525.99</v>
      </c>
      <c r="R1371" s="2">
        <v>189.81</v>
      </c>
      <c r="S1371" t="s">
        <v>94</v>
      </c>
      <c r="T1371" t="s">
        <v>37</v>
      </c>
      <c r="U1371" t="s">
        <v>53</v>
      </c>
      <c r="V1371">
        <v>2</v>
      </c>
      <c r="W1371" t="s">
        <v>76</v>
      </c>
      <c r="X1371" t="s">
        <v>40</v>
      </c>
      <c r="Y1371" t="s">
        <v>72</v>
      </c>
    </row>
    <row r="1372" spans="1:25" x14ac:dyDescent="0.3">
      <c r="A1372" t="s">
        <v>2821</v>
      </c>
      <c r="B1372" s="1">
        <v>46296</v>
      </c>
      <c r="C1372" t="s">
        <v>57</v>
      </c>
      <c r="D1372" t="s">
        <v>44</v>
      </c>
      <c r="E1372" t="s">
        <v>120</v>
      </c>
      <c r="F1372" t="s">
        <v>28</v>
      </c>
      <c r="G1372" t="s">
        <v>29</v>
      </c>
      <c r="H1372" t="s">
        <v>86</v>
      </c>
      <c r="I1372">
        <v>5</v>
      </c>
      <c r="J1372" t="s">
        <v>2822</v>
      </c>
      <c r="K1372">
        <v>33</v>
      </c>
      <c r="L1372" t="s">
        <v>80</v>
      </c>
      <c r="M1372">
        <v>7</v>
      </c>
      <c r="N1372" t="s">
        <v>91</v>
      </c>
      <c r="O1372" t="s">
        <v>69</v>
      </c>
      <c r="P1372" t="s">
        <v>70</v>
      </c>
      <c r="Q1372" s="2">
        <v>28304.13</v>
      </c>
      <c r="R1372" s="2">
        <v>2442.6799999999998</v>
      </c>
      <c r="S1372" t="s">
        <v>115</v>
      </c>
      <c r="T1372" t="s">
        <v>52</v>
      </c>
      <c r="U1372" t="s">
        <v>53</v>
      </c>
      <c r="V1372">
        <v>4.5</v>
      </c>
      <c r="W1372" t="s">
        <v>103</v>
      </c>
      <c r="X1372" t="s">
        <v>40</v>
      </c>
      <c r="Y1372" t="s">
        <v>72</v>
      </c>
    </row>
    <row r="1373" spans="1:25" x14ac:dyDescent="0.3">
      <c r="A1373" t="s">
        <v>2823</v>
      </c>
      <c r="B1373" s="1">
        <v>46297</v>
      </c>
      <c r="C1373" t="s">
        <v>26</v>
      </c>
      <c r="D1373" t="s">
        <v>26</v>
      </c>
      <c r="E1373" t="s">
        <v>89</v>
      </c>
      <c r="F1373" t="s">
        <v>28</v>
      </c>
      <c r="G1373" t="s">
        <v>29</v>
      </c>
      <c r="H1373" t="s">
        <v>61</v>
      </c>
      <c r="I1373">
        <v>12</v>
      </c>
      <c r="J1373" t="s">
        <v>2824</v>
      </c>
      <c r="K1373">
        <v>39</v>
      </c>
      <c r="L1373" t="s">
        <v>80</v>
      </c>
      <c r="M1373">
        <v>1</v>
      </c>
      <c r="N1373" t="s">
        <v>48</v>
      </c>
      <c r="O1373" t="s">
        <v>34</v>
      </c>
      <c r="P1373" t="s">
        <v>70</v>
      </c>
      <c r="Q1373" s="2">
        <v>42436.05</v>
      </c>
      <c r="R1373" s="2">
        <v>2871.4</v>
      </c>
      <c r="S1373" t="s">
        <v>94</v>
      </c>
      <c r="T1373" t="s">
        <v>71</v>
      </c>
      <c r="U1373" t="s">
        <v>53</v>
      </c>
      <c r="V1373">
        <v>4.8</v>
      </c>
      <c r="W1373" t="s">
        <v>103</v>
      </c>
      <c r="X1373" t="s">
        <v>55</v>
      </c>
      <c r="Y1373" t="s">
        <v>41</v>
      </c>
    </row>
    <row r="1374" spans="1:25" x14ac:dyDescent="0.3">
      <c r="A1374" t="s">
        <v>2825</v>
      </c>
      <c r="B1374" s="1">
        <v>46298</v>
      </c>
      <c r="C1374" t="s">
        <v>43</v>
      </c>
      <c r="D1374" t="s">
        <v>58</v>
      </c>
      <c r="E1374" t="s">
        <v>4084</v>
      </c>
      <c r="F1374" t="s">
        <v>60</v>
      </c>
      <c r="G1374" t="s">
        <v>29</v>
      </c>
      <c r="H1374" t="s">
        <v>27</v>
      </c>
      <c r="I1374">
        <v>14</v>
      </c>
      <c r="J1374" t="s">
        <v>2826</v>
      </c>
      <c r="K1374">
        <v>59</v>
      </c>
      <c r="L1374" t="s">
        <v>80</v>
      </c>
      <c r="M1374">
        <v>7</v>
      </c>
      <c r="N1374" t="s">
        <v>91</v>
      </c>
      <c r="O1374" t="s">
        <v>34</v>
      </c>
      <c r="P1374" t="s">
        <v>50</v>
      </c>
      <c r="Q1374" s="2">
        <v>39066.44</v>
      </c>
      <c r="R1374" s="2">
        <v>4485.01</v>
      </c>
      <c r="S1374" t="s">
        <v>94</v>
      </c>
      <c r="T1374" t="s">
        <v>37</v>
      </c>
      <c r="U1374" t="s">
        <v>75</v>
      </c>
      <c r="V1374">
        <v>1.2</v>
      </c>
      <c r="W1374" t="s">
        <v>124</v>
      </c>
      <c r="X1374" t="s">
        <v>55</v>
      </c>
      <c r="Y1374" t="s">
        <v>72</v>
      </c>
    </row>
    <row r="1375" spans="1:25" x14ac:dyDescent="0.3">
      <c r="A1375" t="s">
        <v>2827</v>
      </c>
      <c r="B1375" s="1">
        <v>46299</v>
      </c>
      <c r="C1375" t="s">
        <v>43</v>
      </c>
      <c r="D1375" t="s">
        <v>58</v>
      </c>
      <c r="E1375" t="s">
        <v>4085</v>
      </c>
      <c r="F1375" t="s">
        <v>60</v>
      </c>
      <c r="G1375" t="s">
        <v>29</v>
      </c>
      <c r="H1375" t="s">
        <v>59</v>
      </c>
      <c r="I1375">
        <v>9</v>
      </c>
      <c r="J1375" t="s">
        <v>2828</v>
      </c>
      <c r="K1375">
        <v>35</v>
      </c>
      <c r="L1375" t="s">
        <v>63</v>
      </c>
      <c r="M1375">
        <v>6</v>
      </c>
      <c r="N1375" t="s">
        <v>33</v>
      </c>
      <c r="O1375" t="s">
        <v>49</v>
      </c>
      <c r="P1375" t="s">
        <v>50</v>
      </c>
      <c r="Q1375" s="2">
        <v>28324.89</v>
      </c>
      <c r="R1375" s="2">
        <v>4410.46</v>
      </c>
      <c r="S1375" t="s">
        <v>115</v>
      </c>
      <c r="T1375" t="s">
        <v>71</v>
      </c>
      <c r="U1375" t="s">
        <v>75</v>
      </c>
      <c r="V1375">
        <v>1.2</v>
      </c>
      <c r="W1375" t="s">
        <v>124</v>
      </c>
      <c r="X1375" t="s">
        <v>55</v>
      </c>
      <c r="Y1375" t="s">
        <v>72</v>
      </c>
    </row>
    <row r="1376" spans="1:25" x14ac:dyDescent="0.3">
      <c r="A1376" t="s">
        <v>2829</v>
      </c>
      <c r="B1376" s="1">
        <v>46300</v>
      </c>
      <c r="C1376" t="s">
        <v>57</v>
      </c>
      <c r="D1376" t="s">
        <v>44</v>
      </c>
      <c r="E1376" t="s">
        <v>89</v>
      </c>
      <c r="F1376" t="s">
        <v>28</v>
      </c>
      <c r="G1376" t="s">
        <v>29</v>
      </c>
      <c r="H1376" t="s">
        <v>61</v>
      </c>
      <c r="I1376">
        <v>5</v>
      </c>
      <c r="J1376" t="s">
        <v>2830</v>
      </c>
      <c r="K1376">
        <v>64</v>
      </c>
      <c r="L1376" t="s">
        <v>32</v>
      </c>
      <c r="M1376">
        <v>2</v>
      </c>
      <c r="N1376" t="s">
        <v>48</v>
      </c>
      <c r="O1376" t="s">
        <v>34</v>
      </c>
      <c r="P1376" t="s">
        <v>50</v>
      </c>
      <c r="Q1376" s="2">
        <v>34139.96</v>
      </c>
      <c r="R1376" s="2">
        <v>2123.4299999999998</v>
      </c>
      <c r="S1376" t="s">
        <v>94</v>
      </c>
      <c r="T1376" t="s">
        <v>71</v>
      </c>
      <c r="U1376" t="s">
        <v>75</v>
      </c>
      <c r="V1376">
        <v>1.4</v>
      </c>
      <c r="W1376" t="s">
        <v>124</v>
      </c>
      <c r="X1376" t="s">
        <v>65</v>
      </c>
      <c r="Y1376" t="s">
        <v>72</v>
      </c>
    </row>
    <row r="1377" spans="1:25" x14ac:dyDescent="0.3">
      <c r="A1377" t="s">
        <v>2831</v>
      </c>
      <c r="B1377" s="1">
        <v>46301</v>
      </c>
      <c r="C1377" t="s">
        <v>43</v>
      </c>
      <c r="D1377" t="s">
        <v>58</v>
      </c>
      <c r="E1377" t="s">
        <v>120</v>
      </c>
      <c r="F1377" t="s">
        <v>28</v>
      </c>
      <c r="G1377" t="s">
        <v>29</v>
      </c>
      <c r="H1377" t="s">
        <v>86</v>
      </c>
      <c r="I1377">
        <v>9</v>
      </c>
      <c r="J1377" t="s">
        <v>2832</v>
      </c>
      <c r="K1377">
        <v>34</v>
      </c>
      <c r="L1377" t="s">
        <v>63</v>
      </c>
      <c r="M1377">
        <v>2</v>
      </c>
      <c r="N1377" t="s">
        <v>33</v>
      </c>
      <c r="O1377" t="s">
        <v>34</v>
      </c>
      <c r="P1377" t="s">
        <v>82</v>
      </c>
      <c r="Q1377" s="2">
        <v>23300.61</v>
      </c>
      <c r="R1377" s="2">
        <v>2117.89</v>
      </c>
      <c r="S1377" t="s">
        <v>36</v>
      </c>
      <c r="T1377" t="s">
        <v>52</v>
      </c>
      <c r="U1377" t="s">
        <v>83</v>
      </c>
      <c r="V1377">
        <v>4.0999999999999996</v>
      </c>
      <c r="W1377" t="s">
        <v>54</v>
      </c>
      <c r="X1377" t="s">
        <v>84</v>
      </c>
      <c r="Y1377" t="s">
        <v>41</v>
      </c>
    </row>
    <row r="1378" spans="1:25" x14ac:dyDescent="0.3">
      <c r="A1378" t="s">
        <v>2833</v>
      </c>
      <c r="B1378" s="1">
        <v>46302</v>
      </c>
      <c r="C1378" t="s">
        <v>78</v>
      </c>
      <c r="D1378" t="s">
        <v>58</v>
      </c>
      <c r="E1378" t="s">
        <v>4085</v>
      </c>
      <c r="F1378" t="s">
        <v>60</v>
      </c>
      <c r="G1378" t="s">
        <v>29</v>
      </c>
      <c r="H1378" t="s">
        <v>46</v>
      </c>
      <c r="I1378">
        <v>11</v>
      </c>
      <c r="J1378" t="s">
        <v>2834</v>
      </c>
      <c r="K1378">
        <v>47</v>
      </c>
      <c r="L1378" t="s">
        <v>32</v>
      </c>
      <c r="M1378">
        <v>3</v>
      </c>
      <c r="N1378" t="s">
        <v>48</v>
      </c>
      <c r="O1378" t="s">
        <v>81</v>
      </c>
      <c r="P1378" t="s">
        <v>35</v>
      </c>
      <c r="Q1378" s="2">
        <v>28878.29</v>
      </c>
      <c r="R1378" s="2">
        <v>805.61</v>
      </c>
      <c r="S1378" t="s">
        <v>36</v>
      </c>
      <c r="T1378" t="s">
        <v>37</v>
      </c>
      <c r="U1378" t="s">
        <v>53</v>
      </c>
      <c r="V1378">
        <v>1.8</v>
      </c>
      <c r="W1378" t="s">
        <v>124</v>
      </c>
      <c r="X1378" t="s">
        <v>84</v>
      </c>
      <c r="Y1378" t="s">
        <v>41</v>
      </c>
    </row>
    <row r="1379" spans="1:25" x14ac:dyDescent="0.3">
      <c r="A1379" t="s">
        <v>2835</v>
      </c>
      <c r="B1379" s="1">
        <v>46303</v>
      </c>
      <c r="C1379" t="s">
        <v>57</v>
      </c>
      <c r="D1379" t="s">
        <v>44</v>
      </c>
      <c r="E1379" t="s">
        <v>120</v>
      </c>
      <c r="F1379" t="s">
        <v>28</v>
      </c>
      <c r="G1379" t="s">
        <v>29</v>
      </c>
      <c r="H1379" t="s">
        <v>86</v>
      </c>
      <c r="I1379">
        <v>13</v>
      </c>
      <c r="J1379" t="s">
        <v>2836</v>
      </c>
      <c r="K1379">
        <v>27</v>
      </c>
      <c r="L1379" t="s">
        <v>32</v>
      </c>
      <c r="M1379">
        <v>5</v>
      </c>
      <c r="N1379" t="s">
        <v>64</v>
      </c>
      <c r="O1379" t="s">
        <v>69</v>
      </c>
      <c r="P1379" t="s">
        <v>35</v>
      </c>
      <c r="Q1379" s="2">
        <v>27827.86</v>
      </c>
      <c r="R1379" s="2">
        <v>1287.24</v>
      </c>
      <c r="S1379" t="s">
        <v>115</v>
      </c>
      <c r="T1379" t="s">
        <v>37</v>
      </c>
      <c r="U1379" t="s">
        <v>75</v>
      </c>
      <c r="V1379">
        <v>3.9</v>
      </c>
      <c r="W1379" t="s">
        <v>54</v>
      </c>
      <c r="X1379" t="s">
        <v>55</v>
      </c>
      <c r="Y1379" t="s">
        <v>72</v>
      </c>
    </row>
    <row r="1380" spans="1:25" x14ac:dyDescent="0.3">
      <c r="A1380" t="s">
        <v>2837</v>
      </c>
      <c r="B1380" s="1">
        <v>46304</v>
      </c>
      <c r="C1380" t="s">
        <v>78</v>
      </c>
      <c r="D1380" t="s">
        <v>58</v>
      </c>
      <c r="E1380" t="s">
        <v>45</v>
      </c>
      <c r="F1380" t="s">
        <v>28</v>
      </c>
      <c r="G1380" t="s">
        <v>29</v>
      </c>
      <c r="H1380" t="s">
        <v>67</v>
      </c>
      <c r="I1380">
        <v>12</v>
      </c>
      <c r="J1380" t="s">
        <v>2838</v>
      </c>
      <c r="K1380">
        <v>52</v>
      </c>
      <c r="L1380" t="s">
        <v>63</v>
      </c>
      <c r="M1380">
        <v>4</v>
      </c>
      <c r="N1380" t="s">
        <v>91</v>
      </c>
      <c r="O1380" t="s">
        <v>34</v>
      </c>
      <c r="P1380" t="s">
        <v>50</v>
      </c>
      <c r="Q1380" s="2">
        <v>36909.97</v>
      </c>
      <c r="R1380" s="2">
        <v>4628.32</v>
      </c>
      <c r="S1380" t="s">
        <v>115</v>
      </c>
      <c r="T1380" t="s">
        <v>37</v>
      </c>
      <c r="U1380" t="s">
        <v>83</v>
      </c>
      <c r="V1380">
        <v>2.8</v>
      </c>
      <c r="W1380" t="s">
        <v>76</v>
      </c>
      <c r="X1380" t="s">
        <v>40</v>
      </c>
      <c r="Y1380" t="s">
        <v>72</v>
      </c>
    </row>
    <row r="1381" spans="1:25" x14ac:dyDescent="0.3">
      <c r="A1381" t="s">
        <v>2839</v>
      </c>
      <c r="B1381" s="1">
        <v>46305</v>
      </c>
      <c r="C1381" t="s">
        <v>117</v>
      </c>
      <c r="D1381" t="s">
        <v>4083</v>
      </c>
      <c r="E1381" t="s">
        <v>4084</v>
      </c>
      <c r="F1381" t="s">
        <v>60</v>
      </c>
      <c r="G1381" t="s">
        <v>29</v>
      </c>
      <c r="H1381" t="s">
        <v>27</v>
      </c>
      <c r="I1381">
        <v>14</v>
      </c>
      <c r="J1381" t="s">
        <v>2840</v>
      </c>
      <c r="K1381">
        <v>38</v>
      </c>
      <c r="L1381" t="s">
        <v>63</v>
      </c>
      <c r="M1381">
        <v>3</v>
      </c>
      <c r="N1381" t="s">
        <v>33</v>
      </c>
      <c r="O1381" t="s">
        <v>69</v>
      </c>
      <c r="P1381" t="s">
        <v>82</v>
      </c>
      <c r="Q1381" s="2">
        <v>23449.16</v>
      </c>
      <c r="R1381" s="2">
        <v>705.18</v>
      </c>
      <c r="S1381" t="s">
        <v>94</v>
      </c>
      <c r="T1381" t="s">
        <v>52</v>
      </c>
      <c r="U1381" t="s">
        <v>38</v>
      </c>
      <c r="V1381">
        <v>4.3</v>
      </c>
      <c r="W1381" t="s">
        <v>54</v>
      </c>
      <c r="X1381" t="s">
        <v>84</v>
      </c>
      <c r="Y1381" t="s">
        <v>41</v>
      </c>
    </row>
    <row r="1382" spans="1:25" x14ac:dyDescent="0.3">
      <c r="A1382" t="s">
        <v>2841</v>
      </c>
      <c r="B1382" s="1">
        <v>46306</v>
      </c>
      <c r="C1382" t="s">
        <v>78</v>
      </c>
      <c r="D1382" t="s">
        <v>58</v>
      </c>
      <c r="E1382" t="s">
        <v>45</v>
      </c>
      <c r="F1382" t="s">
        <v>28</v>
      </c>
      <c r="G1382" t="s">
        <v>29</v>
      </c>
      <c r="H1382" t="s">
        <v>67</v>
      </c>
      <c r="I1382">
        <v>13</v>
      </c>
      <c r="J1382" t="s">
        <v>2842</v>
      </c>
      <c r="K1382">
        <v>33</v>
      </c>
      <c r="L1382" t="s">
        <v>32</v>
      </c>
      <c r="M1382">
        <v>1</v>
      </c>
      <c r="N1382" t="s">
        <v>91</v>
      </c>
      <c r="O1382" t="s">
        <v>34</v>
      </c>
      <c r="P1382" t="s">
        <v>35</v>
      </c>
      <c r="Q1382" s="2">
        <v>9489.52</v>
      </c>
      <c r="R1382" s="2">
        <v>4843.5</v>
      </c>
      <c r="S1382" t="s">
        <v>94</v>
      </c>
      <c r="T1382" t="s">
        <v>37</v>
      </c>
      <c r="U1382" t="s">
        <v>53</v>
      </c>
      <c r="V1382">
        <v>4.2</v>
      </c>
      <c r="W1382" t="s">
        <v>54</v>
      </c>
      <c r="X1382" t="s">
        <v>106</v>
      </c>
      <c r="Y1382" t="s">
        <v>41</v>
      </c>
    </row>
    <row r="1383" spans="1:25" x14ac:dyDescent="0.3">
      <c r="A1383" t="s">
        <v>2843</v>
      </c>
      <c r="B1383" s="1">
        <v>46307</v>
      </c>
      <c r="C1383" t="s">
        <v>117</v>
      </c>
      <c r="D1383" t="s">
        <v>4083</v>
      </c>
      <c r="E1383" t="s">
        <v>4084</v>
      </c>
      <c r="F1383" t="s">
        <v>60</v>
      </c>
      <c r="G1383" t="s">
        <v>29</v>
      </c>
      <c r="H1383" t="s">
        <v>27</v>
      </c>
      <c r="I1383">
        <v>6</v>
      </c>
      <c r="J1383" t="s">
        <v>2844</v>
      </c>
      <c r="K1383">
        <v>23</v>
      </c>
      <c r="L1383" t="s">
        <v>32</v>
      </c>
      <c r="M1383">
        <v>5</v>
      </c>
      <c r="N1383" t="s">
        <v>33</v>
      </c>
      <c r="O1383" t="s">
        <v>69</v>
      </c>
      <c r="P1383" t="s">
        <v>70</v>
      </c>
      <c r="Q1383" s="2">
        <v>40491.93</v>
      </c>
      <c r="R1383" s="2">
        <v>2523.69</v>
      </c>
      <c r="S1383" t="s">
        <v>115</v>
      </c>
      <c r="T1383" t="s">
        <v>52</v>
      </c>
      <c r="U1383" t="s">
        <v>38</v>
      </c>
      <c r="V1383">
        <v>4.8</v>
      </c>
      <c r="W1383" t="s">
        <v>103</v>
      </c>
      <c r="X1383" t="s">
        <v>65</v>
      </c>
      <c r="Y1383" t="s">
        <v>41</v>
      </c>
    </row>
    <row r="1384" spans="1:25" x14ac:dyDescent="0.3">
      <c r="A1384" t="s">
        <v>2845</v>
      </c>
      <c r="B1384" s="1">
        <v>46308</v>
      </c>
      <c r="C1384" t="s">
        <v>117</v>
      </c>
      <c r="D1384" t="s">
        <v>4083</v>
      </c>
      <c r="E1384" t="s">
        <v>89</v>
      </c>
      <c r="F1384" t="s">
        <v>28</v>
      </c>
      <c r="G1384" t="s">
        <v>29</v>
      </c>
      <c r="H1384" t="s">
        <v>61</v>
      </c>
      <c r="I1384">
        <v>9</v>
      </c>
      <c r="J1384" t="s">
        <v>2846</v>
      </c>
      <c r="K1384">
        <v>20</v>
      </c>
      <c r="L1384" t="s">
        <v>32</v>
      </c>
      <c r="M1384">
        <v>5</v>
      </c>
      <c r="N1384" t="s">
        <v>91</v>
      </c>
      <c r="O1384" t="s">
        <v>69</v>
      </c>
      <c r="P1384" t="s">
        <v>70</v>
      </c>
      <c r="Q1384" s="2">
        <v>35818.39</v>
      </c>
      <c r="R1384" s="2">
        <v>2283.0300000000002</v>
      </c>
      <c r="S1384" t="s">
        <v>51</v>
      </c>
      <c r="T1384" t="s">
        <v>37</v>
      </c>
      <c r="U1384" t="s">
        <v>83</v>
      </c>
      <c r="V1384">
        <v>2</v>
      </c>
      <c r="W1384" t="s">
        <v>76</v>
      </c>
      <c r="X1384" t="s">
        <v>40</v>
      </c>
      <c r="Y1384" t="s">
        <v>72</v>
      </c>
    </row>
    <row r="1385" spans="1:25" x14ac:dyDescent="0.3">
      <c r="A1385" t="s">
        <v>2847</v>
      </c>
      <c r="B1385" s="1">
        <v>46309</v>
      </c>
      <c r="C1385" t="s">
        <v>78</v>
      </c>
      <c r="D1385" t="s">
        <v>58</v>
      </c>
      <c r="E1385" t="s">
        <v>4085</v>
      </c>
      <c r="F1385" t="s">
        <v>60</v>
      </c>
      <c r="G1385" t="s">
        <v>29</v>
      </c>
      <c r="H1385" t="s">
        <v>46</v>
      </c>
      <c r="I1385">
        <v>11</v>
      </c>
      <c r="J1385" t="s">
        <v>2848</v>
      </c>
      <c r="K1385">
        <v>58</v>
      </c>
      <c r="L1385" t="s">
        <v>80</v>
      </c>
      <c r="M1385">
        <v>2</v>
      </c>
      <c r="N1385" t="s">
        <v>91</v>
      </c>
      <c r="O1385" t="s">
        <v>34</v>
      </c>
      <c r="P1385" t="s">
        <v>70</v>
      </c>
      <c r="Q1385" s="2">
        <v>47755.56</v>
      </c>
      <c r="R1385" s="2">
        <v>873.19</v>
      </c>
      <c r="S1385" t="s">
        <v>115</v>
      </c>
      <c r="T1385" t="s">
        <v>52</v>
      </c>
      <c r="U1385" t="s">
        <v>53</v>
      </c>
      <c r="V1385">
        <v>1.9</v>
      </c>
      <c r="W1385" t="s">
        <v>124</v>
      </c>
      <c r="X1385" t="s">
        <v>65</v>
      </c>
      <c r="Y1385" t="s">
        <v>72</v>
      </c>
    </row>
    <row r="1386" spans="1:25" x14ac:dyDescent="0.3">
      <c r="A1386" t="s">
        <v>2849</v>
      </c>
      <c r="B1386" s="1">
        <v>46310</v>
      </c>
      <c r="C1386" t="s">
        <v>57</v>
      </c>
      <c r="D1386" t="s">
        <v>44</v>
      </c>
      <c r="E1386" t="s">
        <v>89</v>
      </c>
      <c r="F1386" t="s">
        <v>28</v>
      </c>
      <c r="G1386" t="s">
        <v>29</v>
      </c>
      <c r="H1386" t="s">
        <v>61</v>
      </c>
      <c r="I1386">
        <v>10</v>
      </c>
      <c r="J1386" t="s">
        <v>2850</v>
      </c>
      <c r="K1386">
        <v>60</v>
      </c>
      <c r="L1386" t="s">
        <v>32</v>
      </c>
      <c r="M1386">
        <v>5</v>
      </c>
      <c r="N1386" t="s">
        <v>91</v>
      </c>
      <c r="O1386" t="s">
        <v>81</v>
      </c>
      <c r="P1386" t="s">
        <v>35</v>
      </c>
      <c r="Q1386" s="2">
        <v>24292.23</v>
      </c>
      <c r="R1386" s="2">
        <v>3307.71</v>
      </c>
      <c r="S1386" t="s">
        <v>51</v>
      </c>
      <c r="T1386" t="s">
        <v>37</v>
      </c>
      <c r="U1386" t="s">
        <v>75</v>
      </c>
      <c r="V1386">
        <v>1.1000000000000001</v>
      </c>
      <c r="W1386" t="s">
        <v>124</v>
      </c>
      <c r="X1386" t="s">
        <v>106</v>
      </c>
      <c r="Y1386" t="s">
        <v>72</v>
      </c>
    </row>
    <row r="1387" spans="1:25" x14ac:dyDescent="0.3">
      <c r="A1387" t="s">
        <v>2851</v>
      </c>
      <c r="B1387" s="1">
        <v>46311</v>
      </c>
      <c r="C1387" t="s">
        <v>43</v>
      </c>
      <c r="D1387" t="s">
        <v>58</v>
      </c>
      <c r="E1387" t="s">
        <v>4084</v>
      </c>
      <c r="F1387" t="s">
        <v>60</v>
      </c>
      <c r="G1387" t="s">
        <v>29</v>
      </c>
      <c r="H1387" t="s">
        <v>30</v>
      </c>
      <c r="I1387">
        <v>10</v>
      </c>
      <c r="J1387" t="s">
        <v>2852</v>
      </c>
      <c r="K1387">
        <v>38</v>
      </c>
      <c r="L1387" t="s">
        <v>63</v>
      </c>
      <c r="M1387">
        <v>6</v>
      </c>
      <c r="N1387" t="s">
        <v>64</v>
      </c>
      <c r="O1387" t="s">
        <v>69</v>
      </c>
      <c r="P1387" t="s">
        <v>50</v>
      </c>
      <c r="Q1387" s="2">
        <v>8519.25</v>
      </c>
      <c r="R1387" s="2">
        <v>2299.23</v>
      </c>
      <c r="S1387" t="s">
        <v>51</v>
      </c>
      <c r="T1387" t="s">
        <v>52</v>
      </c>
      <c r="U1387" t="s">
        <v>83</v>
      </c>
      <c r="V1387">
        <v>2.6</v>
      </c>
      <c r="W1387" t="s">
        <v>76</v>
      </c>
      <c r="X1387" t="s">
        <v>84</v>
      </c>
      <c r="Y1387" t="s">
        <v>72</v>
      </c>
    </row>
    <row r="1388" spans="1:25" x14ac:dyDescent="0.3">
      <c r="A1388" t="s">
        <v>2853</v>
      </c>
      <c r="B1388" s="1">
        <v>46312</v>
      </c>
      <c r="C1388" t="s">
        <v>43</v>
      </c>
      <c r="D1388" t="s">
        <v>58</v>
      </c>
      <c r="E1388" t="s">
        <v>4084</v>
      </c>
      <c r="F1388" t="s">
        <v>60</v>
      </c>
      <c r="G1388" t="s">
        <v>29</v>
      </c>
      <c r="H1388" t="s">
        <v>30</v>
      </c>
      <c r="I1388">
        <v>11</v>
      </c>
      <c r="J1388" t="s">
        <v>2854</v>
      </c>
      <c r="K1388">
        <v>30</v>
      </c>
      <c r="L1388" t="s">
        <v>63</v>
      </c>
      <c r="M1388">
        <v>5</v>
      </c>
      <c r="N1388" t="s">
        <v>48</v>
      </c>
      <c r="O1388" t="s">
        <v>69</v>
      </c>
      <c r="P1388" t="s">
        <v>70</v>
      </c>
      <c r="Q1388" s="2">
        <v>10472.85</v>
      </c>
      <c r="R1388" s="2">
        <v>1853.32</v>
      </c>
      <c r="S1388" t="s">
        <v>115</v>
      </c>
      <c r="T1388" t="s">
        <v>71</v>
      </c>
      <c r="U1388" t="s">
        <v>38</v>
      </c>
      <c r="V1388">
        <v>2.8</v>
      </c>
      <c r="W1388" t="s">
        <v>76</v>
      </c>
      <c r="X1388" t="s">
        <v>65</v>
      </c>
      <c r="Y1388" t="s">
        <v>41</v>
      </c>
    </row>
    <row r="1389" spans="1:25" x14ac:dyDescent="0.3">
      <c r="A1389" t="s">
        <v>2855</v>
      </c>
      <c r="B1389" s="1">
        <v>46313</v>
      </c>
      <c r="C1389" t="s">
        <v>117</v>
      </c>
      <c r="D1389" t="s">
        <v>4083</v>
      </c>
      <c r="E1389" t="s">
        <v>4084</v>
      </c>
      <c r="F1389" t="s">
        <v>60</v>
      </c>
      <c r="G1389" t="s">
        <v>29</v>
      </c>
      <c r="H1389" t="s">
        <v>30</v>
      </c>
      <c r="I1389">
        <v>7</v>
      </c>
      <c r="J1389" t="s">
        <v>2856</v>
      </c>
      <c r="K1389">
        <v>35</v>
      </c>
      <c r="L1389" t="s">
        <v>63</v>
      </c>
      <c r="M1389">
        <v>1</v>
      </c>
      <c r="N1389" t="s">
        <v>64</v>
      </c>
      <c r="O1389" t="s">
        <v>34</v>
      </c>
      <c r="P1389" t="s">
        <v>50</v>
      </c>
      <c r="Q1389" s="2">
        <v>39799.379999999997</v>
      </c>
      <c r="R1389" s="2">
        <v>1322.58</v>
      </c>
      <c r="S1389" t="s">
        <v>115</v>
      </c>
      <c r="T1389" t="s">
        <v>71</v>
      </c>
      <c r="U1389" t="s">
        <v>38</v>
      </c>
      <c r="V1389">
        <v>4.9000000000000004</v>
      </c>
      <c r="W1389" t="s">
        <v>103</v>
      </c>
      <c r="X1389" t="s">
        <v>65</v>
      </c>
      <c r="Y1389" t="s">
        <v>41</v>
      </c>
    </row>
    <row r="1390" spans="1:25" x14ac:dyDescent="0.3">
      <c r="A1390" t="s">
        <v>2857</v>
      </c>
      <c r="B1390" s="1">
        <v>46314</v>
      </c>
      <c r="C1390" t="s">
        <v>117</v>
      </c>
      <c r="D1390" t="s">
        <v>4083</v>
      </c>
      <c r="E1390" t="s">
        <v>120</v>
      </c>
      <c r="F1390" t="s">
        <v>28</v>
      </c>
      <c r="G1390" t="s">
        <v>29</v>
      </c>
      <c r="H1390" t="s">
        <v>86</v>
      </c>
      <c r="I1390">
        <v>7</v>
      </c>
      <c r="J1390" t="s">
        <v>2858</v>
      </c>
      <c r="K1390">
        <v>41</v>
      </c>
      <c r="L1390" t="s">
        <v>32</v>
      </c>
      <c r="M1390">
        <v>6</v>
      </c>
      <c r="N1390" t="s">
        <v>91</v>
      </c>
      <c r="O1390" t="s">
        <v>69</v>
      </c>
      <c r="P1390" t="s">
        <v>82</v>
      </c>
      <c r="Q1390" s="2">
        <v>8049.08</v>
      </c>
      <c r="R1390" s="2">
        <v>332.43</v>
      </c>
      <c r="S1390" t="s">
        <v>115</v>
      </c>
      <c r="T1390" t="s">
        <v>71</v>
      </c>
      <c r="U1390" t="s">
        <v>38</v>
      </c>
      <c r="V1390">
        <v>4.3</v>
      </c>
      <c r="W1390" t="s">
        <v>39</v>
      </c>
      <c r="X1390" t="s">
        <v>65</v>
      </c>
      <c r="Y1390" t="s">
        <v>41</v>
      </c>
    </row>
    <row r="1391" spans="1:25" x14ac:dyDescent="0.3">
      <c r="A1391" t="s">
        <v>2859</v>
      </c>
      <c r="B1391" s="1">
        <v>46315</v>
      </c>
      <c r="C1391" t="s">
        <v>57</v>
      </c>
      <c r="D1391" t="s">
        <v>44</v>
      </c>
      <c r="E1391" t="s">
        <v>4085</v>
      </c>
      <c r="F1391" t="s">
        <v>60</v>
      </c>
      <c r="G1391" t="s">
        <v>29</v>
      </c>
      <c r="H1391" t="s">
        <v>46</v>
      </c>
      <c r="I1391">
        <v>5</v>
      </c>
      <c r="J1391" t="s">
        <v>2860</v>
      </c>
      <c r="K1391">
        <v>44</v>
      </c>
      <c r="L1391" t="s">
        <v>32</v>
      </c>
      <c r="M1391">
        <v>6</v>
      </c>
      <c r="N1391" t="s">
        <v>33</v>
      </c>
      <c r="O1391" t="s">
        <v>69</v>
      </c>
      <c r="P1391" t="s">
        <v>70</v>
      </c>
      <c r="Q1391" s="2">
        <v>45852.18</v>
      </c>
      <c r="R1391" s="2">
        <v>2596.64</v>
      </c>
      <c r="S1391" t="s">
        <v>51</v>
      </c>
      <c r="T1391" t="s">
        <v>37</v>
      </c>
      <c r="U1391" t="s">
        <v>83</v>
      </c>
      <c r="V1391">
        <v>1.7</v>
      </c>
      <c r="W1391" t="s">
        <v>124</v>
      </c>
      <c r="X1391" t="s">
        <v>106</v>
      </c>
      <c r="Y1391" t="s">
        <v>72</v>
      </c>
    </row>
    <row r="1392" spans="1:25" x14ac:dyDescent="0.3">
      <c r="A1392" t="s">
        <v>2861</v>
      </c>
      <c r="B1392" s="1">
        <v>46316</v>
      </c>
      <c r="C1392" t="s">
        <v>26</v>
      </c>
      <c r="D1392" t="s">
        <v>26</v>
      </c>
      <c r="E1392" t="s">
        <v>89</v>
      </c>
      <c r="F1392" t="s">
        <v>28</v>
      </c>
      <c r="G1392" t="s">
        <v>29</v>
      </c>
      <c r="H1392" t="s">
        <v>61</v>
      </c>
      <c r="I1392">
        <v>7</v>
      </c>
      <c r="J1392" t="s">
        <v>2862</v>
      </c>
      <c r="K1392">
        <v>21</v>
      </c>
      <c r="L1392" t="s">
        <v>80</v>
      </c>
      <c r="M1392">
        <v>3</v>
      </c>
      <c r="N1392" t="s">
        <v>91</v>
      </c>
      <c r="O1392" t="s">
        <v>81</v>
      </c>
      <c r="P1392" t="s">
        <v>82</v>
      </c>
      <c r="Q1392" s="2">
        <v>17674.259999999998</v>
      </c>
      <c r="R1392" s="2">
        <v>1564.54</v>
      </c>
      <c r="S1392" t="s">
        <v>36</v>
      </c>
      <c r="T1392" t="s">
        <v>52</v>
      </c>
      <c r="U1392" t="s">
        <v>83</v>
      </c>
      <c r="V1392">
        <v>4.2</v>
      </c>
      <c r="W1392" t="s">
        <v>39</v>
      </c>
      <c r="X1392" t="s">
        <v>40</v>
      </c>
      <c r="Y1392" t="s">
        <v>41</v>
      </c>
    </row>
    <row r="1393" spans="1:25" x14ac:dyDescent="0.3">
      <c r="A1393" t="s">
        <v>2863</v>
      </c>
      <c r="B1393" s="1">
        <v>46317</v>
      </c>
      <c r="C1393" t="s">
        <v>78</v>
      </c>
      <c r="D1393" t="s">
        <v>58</v>
      </c>
      <c r="E1393" t="s">
        <v>89</v>
      </c>
      <c r="F1393" t="s">
        <v>28</v>
      </c>
      <c r="G1393" t="s">
        <v>29</v>
      </c>
      <c r="H1393" t="s">
        <v>61</v>
      </c>
      <c r="I1393">
        <v>10</v>
      </c>
      <c r="J1393" t="s">
        <v>2864</v>
      </c>
      <c r="K1393">
        <v>39</v>
      </c>
      <c r="L1393" t="s">
        <v>80</v>
      </c>
      <c r="M1393">
        <v>5</v>
      </c>
      <c r="N1393" t="s">
        <v>48</v>
      </c>
      <c r="O1393" t="s">
        <v>69</v>
      </c>
      <c r="P1393" t="s">
        <v>50</v>
      </c>
      <c r="Q1393" s="2">
        <v>45449.56</v>
      </c>
      <c r="R1393" s="2">
        <v>3539.33</v>
      </c>
      <c r="S1393" t="s">
        <v>36</v>
      </c>
      <c r="T1393" t="s">
        <v>71</v>
      </c>
      <c r="U1393" t="s">
        <v>53</v>
      </c>
      <c r="V1393">
        <v>1.7</v>
      </c>
      <c r="W1393" t="s">
        <v>124</v>
      </c>
      <c r="X1393" t="s">
        <v>40</v>
      </c>
      <c r="Y1393" t="s">
        <v>72</v>
      </c>
    </row>
    <row r="1394" spans="1:25" x14ac:dyDescent="0.3">
      <c r="A1394" t="s">
        <v>2865</v>
      </c>
      <c r="B1394" s="1">
        <v>46318</v>
      </c>
      <c r="C1394" t="s">
        <v>117</v>
      </c>
      <c r="D1394" t="s">
        <v>4083</v>
      </c>
      <c r="E1394" t="s">
        <v>45</v>
      </c>
      <c r="F1394" t="s">
        <v>28</v>
      </c>
      <c r="G1394" t="s">
        <v>29</v>
      </c>
      <c r="H1394" t="s">
        <v>67</v>
      </c>
      <c r="I1394">
        <v>14</v>
      </c>
      <c r="J1394" t="s">
        <v>2866</v>
      </c>
      <c r="K1394">
        <v>41</v>
      </c>
      <c r="L1394" t="s">
        <v>63</v>
      </c>
      <c r="M1394">
        <v>2</v>
      </c>
      <c r="N1394" t="s">
        <v>64</v>
      </c>
      <c r="O1394" t="s">
        <v>81</v>
      </c>
      <c r="P1394" t="s">
        <v>35</v>
      </c>
      <c r="Q1394" s="2">
        <v>39807.81</v>
      </c>
      <c r="R1394" s="2">
        <v>3617.61</v>
      </c>
      <c r="S1394" t="s">
        <v>115</v>
      </c>
      <c r="T1394" t="s">
        <v>37</v>
      </c>
      <c r="U1394" t="s">
        <v>53</v>
      </c>
      <c r="V1394">
        <v>1.3</v>
      </c>
      <c r="W1394" t="s">
        <v>124</v>
      </c>
      <c r="X1394" t="s">
        <v>106</v>
      </c>
      <c r="Y1394" t="s">
        <v>41</v>
      </c>
    </row>
    <row r="1395" spans="1:25" x14ac:dyDescent="0.3">
      <c r="A1395" t="s">
        <v>2867</v>
      </c>
      <c r="B1395" s="1">
        <v>46319</v>
      </c>
      <c r="C1395" t="s">
        <v>43</v>
      </c>
      <c r="D1395" t="s">
        <v>58</v>
      </c>
      <c r="E1395" t="s">
        <v>4084</v>
      </c>
      <c r="F1395" t="s">
        <v>60</v>
      </c>
      <c r="G1395" t="s">
        <v>29</v>
      </c>
      <c r="H1395" t="s">
        <v>30</v>
      </c>
      <c r="I1395">
        <v>7</v>
      </c>
      <c r="J1395" t="s">
        <v>2868</v>
      </c>
      <c r="K1395">
        <v>57</v>
      </c>
      <c r="L1395" t="s">
        <v>80</v>
      </c>
      <c r="M1395">
        <v>7</v>
      </c>
      <c r="N1395" t="s">
        <v>48</v>
      </c>
      <c r="O1395" t="s">
        <v>69</v>
      </c>
      <c r="P1395" t="s">
        <v>50</v>
      </c>
      <c r="Q1395" s="2">
        <v>44204.05</v>
      </c>
      <c r="R1395" s="2">
        <v>1660.54</v>
      </c>
      <c r="S1395" t="s">
        <v>115</v>
      </c>
      <c r="T1395" t="s">
        <v>52</v>
      </c>
      <c r="U1395" t="s">
        <v>38</v>
      </c>
      <c r="V1395">
        <v>4.3</v>
      </c>
      <c r="W1395" t="s">
        <v>39</v>
      </c>
      <c r="X1395" t="s">
        <v>65</v>
      </c>
      <c r="Y1395" t="s">
        <v>72</v>
      </c>
    </row>
    <row r="1396" spans="1:25" x14ac:dyDescent="0.3">
      <c r="A1396" t="s">
        <v>2869</v>
      </c>
      <c r="B1396" s="1">
        <v>46320</v>
      </c>
      <c r="C1396" t="s">
        <v>57</v>
      </c>
      <c r="D1396" t="s">
        <v>44</v>
      </c>
      <c r="E1396" t="s">
        <v>4084</v>
      </c>
      <c r="F1396" t="s">
        <v>60</v>
      </c>
      <c r="G1396" t="s">
        <v>29</v>
      </c>
      <c r="H1396" t="s">
        <v>27</v>
      </c>
      <c r="I1396">
        <v>6</v>
      </c>
      <c r="J1396" t="s">
        <v>2870</v>
      </c>
      <c r="K1396">
        <v>62</v>
      </c>
      <c r="L1396" t="s">
        <v>80</v>
      </c>
      <c r="M1396">
        <v>3</v>
      </c>
      <c r="N1396" t="s">
        <v>33</v>
      </c>
      <c r="O1396" t="s">
        <v>69</v>
      </c>
      <c r="P1396" t="s">
        <v>70</v>
      </c>
      <c r="Q1396" s="2">
        <v>14631.79</v>
      </c>
      <c r="R1396" s="2">
        <v>3345.6</v>
      </c>
      <c r="S1396" t="s">
        <v>94</v>
      </c>
      <c r="T1396" t="s">
        <v>71</v>
      </c>
      <c r="U1396" t="s">
        <v>83</v>
      </c>
      <c r="V1396">
        <v>4.9000000000000004</v>
      </c>
      <c r="W1396" t="s">
        <v>103</v>
      </c>
      <c r="X1396" t="s">
        <v>65</v>
      </c>
      <c r="Y1396" t="s">
        <v>72</v>
      </c>
    </row>
    <row r="1397" spans="1:25" x14ac:dyDescent="0.3">
      <c r="A1397" t="s">
        <v>2871</v>
      </c>
      <c r="B1397" s="1">
        <v>46321</v>
      </c>
      <c r="C1397" t="s">
        <v>78</v>
      </c>
      <c r="D1397" t="s">
        <v>58</v>
      </c>
      <c r="E1397" t="s">
        <v>4084</v>
      </c>
      <c r="F1397" t="s">
        <v>60</v>
      </c>
      <c r="G1397" t="s">
        <v>29</v>
      </c>
      <c r="H1397" t="s">
        <v>27</v>
      </c>
      <c r="I1397">
        <v>10</v>
      </c>
      <c r="J1397" t="s">
        <v>2872</v>
      </c>
      <c r="K1397">
        <v>27</v>
      </c>
      <c r="L1397" t="s">
        <v>63</v>
      </c>
      <c r="M1397">
        <v>2</v>
      </c>
      <c r="N1397" t="s">
        <v>48</v>
      </c>
      <c r="O1397" t="s">
        <v>81</v>
      </c>
      <c r="P1397" t="s">
        <v>70</v>
      </c>
      <c r="Q1397" s="2">
        <v>31806.21</v>
      </c>
      <c r="R1397" s="2">
        <v>1293.3800000000001</v>
      </c>
      <c r="S1397" t="s">
        <v>94</v>
      </c>
      <c r="T1397" t="s">
        <v>71</v>
      </c>
      <c r="U1397" t="s">
        <v>53</v>
      </c>
      <c r="V1397">
        <v>1.4</v>
      </c>
      <c r="W1397" t="s">
        <v>124</v>
      </c>
      <c r="X1397" t="s">
        <v>55</v>
      </c>
      <c r="Y1397" t="s">
        <v>41</v>
      </c>
    </row>
    <row r="1398" spans="1:25" x14ac:dyDescent="0.3">
      <c r="A1398" t="s">
        <v>2873</v>
      </c>
      <c r="B1398" s="1">
        <v>46322</v>
      </c>
      <c r="C1398" t="s">
        <v>57</v>
      </c>
      <c r="D1398" t="s">
        <v>44</v>
      </c>
      <c r="E1398" t="s">
        <v>89</v>
      </c>
      <c r="F1398" t="s">
        <v>28</v>
      </c>
      <c r="G1398" t="s">
        <v>29</v>
      </c>
      <c r="H1398" t="s">
        <v>61</v>
      </c>
      <c r="I1398">
        <v>9</v>
      </c>
      <c r="J1398" t="s">
        <v>2874</v>
      </c>
      <c r="K1398">
        <v>19</v>
      </c>
      <c r="L1398" t="s">
        <v>32</v>
      </c>
      <c r="M1398">
        <v>5</v>
      </c>
      <c r="N1398" t="s">
        <v>64</v>
      </c>
      <c r="O1398" t="s">
        <v>81</v>
      </c>
      <c r="P1398" t="s">
        <v>50</v>
      </c>
      <c r="Q1398" s="2">
        <v>9211.51</v>
      </c>
      <c r="R1398" s="2">
        <v>3635.87</v>
      </c>
      <c r="S1398" t="s">
        <v>94</v>
      </c>
      <c r="T1398" t="s">
        <v>37</v>
      </c>
      <c r="U1398" t="s">
        <v>83</v>
      </c>
      <c r="V1398">
        <v>4.3</v>
      </c>
      <c r="W1398" t="s">
        <v>39</v>
      </c>
      <c r="X1398" t="s">
        <v>84</v>
      </c>
      <c r="Y1398" t="s">
        <v>41</v>
      </c>
    </row>
    <row r="1399" spans="1:25" x14ac:dyDescent="0.3">
      <c r="A1399" t="s">
        <v>2875</v>
      </c>
      <c r="B1399" s="1">
        <v>46323</v>
      </c>
      <c r="C1399" t="s">
        <v>78</v>
      </c>
      <c r="D1399" t="s">
        <v>58</v>
      </c>
      <c r="E1399" t="s">
        <v>45</v>
      </c>
      <c r="F1399" t="s">
        <v>28</v>
      </c>
      <c r="G1399" t="s">
        <v>29</v>
      </c>
      <c r="H1399" t="s">
        <v>67</v>
      </c>
      <c r="I1399">
        <v>8</v>
      </c>
      <c r="J1399" t="s">
        <v>2876</v>
      </c>
      <c r="K1399">
        <v>57</v>
      </c>
      <c r="L1399" t="s">
        <v>80</v>
      </c>
      <c r="M1399">
        <v>3</v>
      </c>
      <c r="N1399" t="s">
        <v>33</v>
      </c>
      <c r="O1399" t="s">
        <v>49</v>
      </c>
      <c r="P1399" t="s">
        <v>70</v>
      </c>
      <c r="Q1399" s="2">
        <v>14102.63</v>
      </c>
      <c r="R1399" s="2">
        <v>80.39</v>
      </c>
      <c r="S1399" t="s">
        <v>115</v>
      </c>
      <c r="T1399" t="s">
        <v>52</v>
      </c>
      <c r="U1399" t="s">
        <v>75</v>
      </c>
      <c r="V1399">
        <v>4.4000000000000004</v>
      </c>
      <c r="W1399" t="s">
        <v>54</v>
      </c>
      <c r="X1399" t="s">
        <v>84</v>
      </c>
      <c r="Y1399" t="s">
        <v>41</v>
      </c>
    </row>
    <row r="1400" spans="1:25" x14ac:dyDescent="0.3">
      <c r="A1400" t="s">
        <v>2877</v>
      </c>
      <c r="B1400" s="1">
        <v>46324</v>
      </c>
      <c r="C1400" t="s">
        <v>78</v>
      </c>
      <c r="D1400" t="s">
        <v>58</v>
      </c>
      <c r="E1400" t="s">
        <v>120</v>
      </c>
      <c r="F1400" t="s">
        <v>28</v>
      </c>
      <c r="G1400" t="s">
        <v>29</v>
      </c>
      <c r="H1400" t="s">
        <v>86</v>
      </c>
      <c r="I1400">
        <v>7</v>
      </c>
      <c r="J1400" t="s">
        <v>2878</v>
      </c>
      <c r="K1400">
        <v>23</v>
      </c>
      <c r="L1400" t="s">
        <v>32</v>
      </c>
      <c r="M1400">
        <v>5</v>
      </c>
      <c r="N1400" t="s">
        <v>48</v>
      </c>
      <c r="O1400" t="s">
        <v>69</v>
      </c>
      <c r="P1400" t="s">
        <v>70</v>
      </c>
      <c r="Q1400" s="2">
        <v>18945.599999999999</v>
      </c>
      <c r="R1400" s="2">
        <v>758.04</v>
      </c>
      <c r="S1400" t="s">
        <v>36</v>
      </c>
      <c r="T1400" t="s">
        <v>37</v>
      </c>
      <c r="U1400" t="s">
        <v>83</v>
      </c>
      <c r="V1400">
        <v>1.5</v>
      </c>
      <c r="W1400" t="s">
        <v>124</v>
      </c>
      <c r="X1400" t="s">
        <v>40</v>
      </c>
      <c r="Y1400" t="s">
        <v>41</v>
      </c>
    </row>
    <row r="1401" spans="1:25" x14ac:dyDescent="0.3">
      <c r="A1401" t="s">
        <v>2879</v>
      </c>
      <c r="B1401" s="1">
        <v>46325</v>
      </c>
      <c r="C1401" t="s">
        <v>117</v>
      </c>
      <c r="D1401" t="s">
        <v>4083</v>
      </c>
      <c r="E1401" t="s">
        <v>4085</v>
      </c>
      <c r="F1401" t="s">
        <v>60</v>
      </c>
      <c r="G1401" t="s">
        <v>29</v>
      </c>
      <c r="H1401" t="s">
        <v>46</v>
      </c>
      <c r="I1401">
        <v>7</v>
      </c>
      <c r="J1401" t="s">
        <v>2880</v>
      </c>
      <c r="K1401">
        <v>65</v>
      </c>
      <c r="L1401" t="s">
        <v>63</v>
      </c>
      <c r="M1401">
        <v>1</v>
      </c>
      <c r="N1401" t="s">
        <v>64</v>
      </c>
      <c r="O1401" t="s">
        <v>81</v>
      </c>
      <c r="P1401" t="s">
        <v>82</v>
      </c>
      <c r="Q1401" s="2">
        <v>38336.57</v>
      </c>
      <c r="R1401" s="2">
        <v>1225.04</v>
      </c>
      <c r="S1401" t="s">
        <v>36</v>
      </c>
      <c r="T1401" t="s">
        <v>71</v>
      </c>
      <c r="U1401" t="s">
        <v>38</v>
      </c>
      <c r="V1401">
        <v>2.1</v>
      </c>
      <c r="W1401" t="s">
        <v>76</v>
      </c>
      <c r="X1401" t="s">
        <v>106</v>
      </c>
      <c r="Y1401" t="s">
        <v>41</v>
      </c>
    </row>
    <row r="1402" spans="1:25" x14ac:dyDescent="0.3">
      <c r="A1402" t="s">
        <v>2881</v>
      </c>
      <c r="B1402" s="1">
        <v>46326</v>
      </c>
      <c r="C1402" t="s">
        <v>57</v>
      </c>
      <c r="D1402" t="s">
        <v>44</v>
      </c>
      <c r="E1402" t="s">
        <v>120</v>
      </c>
      <c r="F1402" t="s">
        <v>28</v>
      </c>
      <c r="G1402" t="s">
        <v>29</v>
      </c>
      <c r="H1402" t="s">
        <v>86</v>
      </c>
      <c r="I1402">
        <v>12</v>
      </c>
      <c r="J1402" t="s">
        <v>2882</v>
      </c>
      <c r="K1402">
        <v>35</v>
      </c>
      <c r="L1402" t="s">
        <v>63</v>
      </c>
      <c r="M1402">
        <v>3</v>
      </c>
      <c r="N1402" t="s">
        <v>64</v>
      </c>
      <c r="O1402" t="s">
        <v>69</v>
      </c>
      <c r="P1402" t="s">
        <v>35</v>
      </c>
      <c r="Q1402" s="2">
        <v>6112.15</v>
      </c>
      <c r="R1402" s="2">
        <v>3864.68</v>
      </c>
      <c r="S1402" t="s">
        <v>115</v>
      </c>
      <c r="T1402" t="s">
        <v>37</v>
      </c>
      <c r="U1402" t="s">
        <v>83</v>
      </c>
      <c r="V1402">
        <v>3.9</v>
      </c>
      <c r="W1402" t="s">
        <v>54</v>
      </c>
      <c r="X1402" t="s">
        <v>65</v>
      </c>
      <c r="Y1402" t="s">
        <v>41</v>
      </c>
    </row>
    <row r="1403" spans="1:25" x14ac:dyDescent="0.3">
      <c r="A1403" t="s">
        <v>2883</v>
      </c>
      <c r="B1403" s="1">
        <v>46327</v>
      </c>
      <c r="C1403" t="s">
        <v>57</v>
      </c>
      <c r="D1403" t="s">
        <v>44</v>
      </c>
      <c r="E1403" t="s">
        <v>89</v>
      </c>
      <c r="F1403" t="s">
        <v>28</v>
      </c>
      <c r="G1403" t="s">
        <v>29</v>
      </c>
      <c r="H1403" t="s">
        <v>61</v>
      </c>
      <c r="I1403">
        <v>4</v>
      </c>
      <c r="J1403" t="s">
        <v>2884</v>
      </c>
      <c r="K1403">
        <v>34</v>
      </c>
      <c r="L1403" t="s">
        <v>80</v>
      </c>
      <c r="M1403">
        <v>2</v>
      </c>
      <c r="N1403" t="s">
        <v>91</v>
      </c>
      <c r="O1403" t="s">
        <v>69</v>
      </c>
      <c r="P1403" t="s">
        <v>50</v>
      </c>
      <c r="Q1403" s="2">
        <v>45640.28</v>
      </c>
      <c r="R1403" s="2">
        <v>331.88</v>
      </c>
      <c r="S1403" t="s">
        <v>115</v>
      </c>
      <c r="T1403" t="s">
        <v>37</v>
      </c>
      <c r="U1403" t="s">
        <v>38</v>
      </c>
      <c r="V1403">
        <v>4.2</v>
      </c>
      <c r="W1403" t="s">
        <v>39</v>
      </c>
      <c r="X1403" t="s">
        <v>84</v>
      </c>
      <c r="Y1403" t="s">
        <v>72</v>
      </c>
    </row>
    <row r="1404" spans="1:25" x14ac:dyDescent="0.3">
      <c r="A1404" t="s">
        <v>2885</v>
      </c>
      <c r="B1404" s="1">
        <v>46328</v>
      </c>
      <c r="C1404" t="s">
        <v>43</v>
      </c>
      <c r="D1404" t="s">
        <v>58</v>
      </c>
      <c r="E1404" t="s">
        <v>4084</v>
      </c>
      <c r="F1404" t="s">
        <v>60</v>
      </c>
      <c r="G1404" t="s">
        <v>29</v>
      </c>
      <c r="H1404" t="s">
        <v>30</v>
      </c>
      <c r="I1404">
        <v>6</v>
      </c>
      <c r="J1404" t="s">
        <v>2886</v>
      </c>
      <c r="K1404">
        <v>55</v>
      </c>
      <c r="L1404" t="s">
        <v>63</v>
      </c>
      <c r="M1404">
        <v>1</v>
      </c>
      <c r="N1404" t="s">
        <v>48</v>
      </c>
      <c r="O1404" t="s">
        <v>69</v>
      </c>
      <c r="P1404" t="s">
        <v>82</v>
      </c>
      <c r="Q1404" s="2">
        <v>8186.16</v>
      </c>
      <c r="R1404" s="2">
        <v>940.29</v>
      </c>
      <c r="S1404" t="s">
        <v>51</v>
      </c>
      <c r="T1404" t="s">
        <v>71</v>
      </c>
      <c r="U1404" t="s">
        <v>53</v>
      </c>
      <c r="V1404">
        <v>2.4</v>
      </c>
      <c r="W1404" t="s">
        <v>76</v>
      </c>
      <c r="X1404" t="s">
        <v>106</v>
      </c>
      <c r="Y1404" t="s">
        <v>41</v>
      </c>
    </row>
    <row r="1405" spans="1:25" x14ac:dyDescent="0.3">
      <c r="A1405" t="s">
        <v>2887</v>
      </c>
      <c r="B1405" s="1">
        <v>46329</v>
      </c>
      <c r="C1405" t="s">
        <v>43</v>
      </c>
      <c r="D1405" t="s">
        <v>58</v>
      </c>
      <c r="E1405" t="s">
        <v>4085</v>
      </c>
      <c r="F1405" t="s">
        <v>60</v>
      </c>
      <c r="G1405" t="s">
        <v>29</v>
      </c>
      <c r="H1405" t="s">
        <v>46</v>
      </c>
      <c r="I1405">
        <v>10</v>
      </c>
      <c r="J1405" t="s">
        <v>2888</v>
      </c>
      <c r="K1405">
        <v>62</v>
      </c>
      <c r="L1405" t="s">
        <v>63</v>
      </c>
      <c r="M1405">
        <v>4</v>
      </c>
      <c r="N1405" t="s">
        <v>33</v>
      </c>
      <c r="O1405" t="s">
        <v>34</v>
      </c>
      <c r="P1405" t="s">
        <v>70</v>
      </c>
      <c r="Q1405" s="2">
        <v>21942.06</v>
      </c>
      <c r="R1405" s="2">
        <v>1793.12</v>
      </c>
      <c r="S1405" t="s">
        <v>51</v>
      </c>
      <c r="T1405" t="s">
        <v>71</v>
      </c>
      <c r="U1405" t="s">
        <v>53</v>
      </c>
      <c r="V1405">
        <v>1.6</v>
      </c>
      <c r="W1405" t="s">
        <v>124</v>
      </c>
      <c r="X1405" t="s">
        <v>106</v>
      </c>
      <c r="Y1405" t="s">
        <v>72</v>
      </c>
    </row>
    <row r="1406" spans="1:25" x14ac:dyDescent="0.3">
      <c r="A1406" t="s">
        <v>2889</v>
      </c>
      <c r="B1406" s="1">
        <v>46330</v>
      </c>
      <c r="C1406" t="s">
        <v>117</v>
      </c>
      <c r="D1406" t="s">
        <v>4083</v>
      </c>
      <c r="E1406" t="s">
        <v>89</v>
      </c>
      <c r="F1406" t="s">
        <v>28</v>
      </c>
      <c r="G1406" t="s">
        <v>29</v>
      </c>
      <c r="H1406" t="s">
        <v>61</v>
      </c>
      <c r="I1406">
        <v>10</v>
      </c>
      <c r="J1406" t="s">
        <v>2890</v>
      </c>
      <c r="K1406">
        <v>40</v>
      </c>
      <c r="L1406" t="s">
        <v>63</v>
      </c>
      <c r="M1406">
        <v>2</v>
      </c>
      <c r="N1406" t="s">
        <v>91</v>
      </c>
      <c r="O1406" t="s">
        <v>49</v>
      </c>
      <c r="P1406" t="s">
        <v>82</v>
      </c>
      <c r="Q1406" s="2">
        <v>8649.0300000000007</v>
      </c>
      <c r="R1406" s="2">
        <v>45.87</v>
      </c>
      <c r="S1406" t="s">
        <v>36</v>
      </c>
      <c r="T1406" t="s">
        <v>52</v>
      </c>
      <c r="U1406" t="s">
        <v>53</v>
      </c>
      <c r="V1406">
        <v>3.6</v>
      </c>
      <c r="W1406" t="s">
        <v>54</v>
      </c>
      <c r="X1406" t="s">
        <v>65</v>
      </c>
      <c r="Y1406" t="s">
        <v>72</v>
      </c>
    </row>
    <row r="1407" spans="1:25" x14ac:dyDescent="0.3">
      <c r="A1407" t="s">
        <v>2891</v>
      </c>
      <c r="B1407" s="1">
        <v>46331</v>
      </c>
      <c r="C1407" t="s">
        <v>117</v>
      </c>
      <c r="D1407" t="s">
        <v>4083</v>
      </c>
      <c r="E1407" t="s">
        <v>89</v>
      </c>
      <c r="F1407" t="s">
        <v>28</v>
      </c>
      <c r="G1407" t="s">
        <v>29</v>
      </c>
      <c r="H1407" t="s">
        <v>61</v>
      </c>
      <c r="I1407">
        <v>13</v>
      </c>
      <c r="J1407" t="s">
        <v>2892</v>
      </c>
      <c r="K1407">
        <v>63</v>
      </c>
      <c r="L1407" t="s">
        <v>80</v>
      </c>
      <c r="M1407">
        <v>7</v>
      </c>
      <c r="N1407" t="s">
        <v>48</v>
      </c>
      <c r="O1407" t="s">
        <v>34</v>
      </c>
      <c r="P1407" t="s">
        <v>35</v>
      </c>
      <c r="Q1407" s="2">
        <v>39603.550000000003</v>
      </c>
      <c r="R1407" s="2">
        <v>3810.6</v>
      </c>
      <c r="S1407" t="s">
        <v>94</v>
      </c>
      <c r="T1407" t="s">
        <v>52</v>
      </c>
      <c r="U1407" t="s">
        <v>75</v>
      </c>
      <c r="V1407">
        <v>3.8</v>
      </c>
      <c r="W1407" t="s">
        <v>39</v>
      </c>
      <c r="X1407" t="s">
        <v>106</v>
      </c>
      <c r="Y1407" t="s">
        <v>72</v>
      </c>
    </row>
    <row r="1408" spans="1:25" x14ac:dyDescent="0.3">
      <c r="A1408" t="s">
        <v>2893</v>
      </c>
      <c r="B1408" s="1">
        <v>46332</v>
      </c>
      <c r="C1408" t="s">
        <v>26</v>
      </c>
      <c r="D1408" t="s">
        <v>26</v>
      </c>
      <c r="E1408" t="s">
        <v>89</v>
      </c>
      <c r="F1408" t="s">
        <v>28</v>
      </c>
      <c r="G1408" t="s">
        <v>29</v>
      </c>
      <c r="H1408" t="s">
        <v>61</v>
      </c>
      <c r="I1408">
        <v>3</v>
      </c>
      <c r="J1408" t="s">
        <v>2894</v>
      </c>
      <c r="K1408">
        <v>47</v>
      </c>
      <c r="L1408" t="s">
        <v>80</v>
      </c>
      <c r="M1408">
        <v>5</v>
      </c>
      <c r="N1408" t="s">
        <v>48</v>
      </c>
      <c r="O1408" t="s">
        <v>49</v>
      </c>
      <c r="P1408" t="s">
        <v>50</v>
      </c>
      <c r="Q1408" s="2">
        <v>11359.17</v>
      </c>
      <c r="R1408" s="2">
        <v>2800.53</v>
      </c>
      <c r="S1408" t="s">
        <v>36</v>
      </c>
      <c r="T1408" t="s">
        <v>71</v>
      </c>
      <c r="U1408" t="s">
        <v>38</v>
      </c>
      <c r="V1408">
        <v>3</v>
      </c>
      <c r="W1408" t="s">
        <v>76</v>
      </c>
      <c r="X1408" t="s">
        <v>84</v>
      </c>
      <c r="Y1408" t="s">
        <v>41</v>
      </c>
    </row>
    <row r="1409" spans="1:25" x14ac:dyDescent="0.3">
      <c r="A1409" t="s">
        <v>2895</v>
      </c>
      <c r="B1409" s="1">
        <v>46333</v>
      </c>
      <c r="C1409" t="s">
        <v>43</v>
      </c>
      <c r="D1409" t="s">
        <v>58</v>
      </c>
      <c r="E1409" t="s">
        <v>4085</v>
      </c>
      <c r="F1409" t="s">
        <v>60</v>
      </c>
      <c r="G1409" t="s">
        <v>29</v>
      </c>
      <c r="H1409" t="s">
        <v>46</v>
      </c>
      <c r="I1409">
        <v>4</v>
      </c>
      <c r="J1409" t="s">
        <v>2896</v>
      </c>
      <c r="K1409">
        <v>38</v>
      </c>
      <c r="L1409" t="s">
        <v>80</v>
      </c>
      <c r="M1409">
        <v>2</v>
      </c>
      <c r="N1409" t="s">
        <v>33</v>
      </c>
      <c r="O1409" t="s">
        <v>69</v>
      </c>
      <c r="P1409" t="s">
        <v>35</v>
      </c>
      <c r="Q1409" s="2">
        <v>44814.06</v>
      </c>
      <c r="R1409" s="2">
        <v>4503.3999999999996</v>
      </c>
      <c r="S1409" t="s">
        <v>51</v>
      </c>
      <c r="T1409" t="s">
        <v>71</v>
      </c>
      <c r="U1409" t="s">
        <v>75</v>
      </c>
      <c r="V1409">
        <v>1.6</v>
      </c>
      <c r="W1409" t="s">
        <v>124</v>
      </c>
      <c r="X1409" t="s">
        <v>55</v>
      </c>
      <c r="Y1409" t="s">
        <v>41</v>
      </c>
    </row>
    <row r="1410" spans="1:25" x14ac:dyDescent="0.3">
      <c r="A1410" t="s">
        <v>2897</v>
      </c>
      <c r="B1410" s="1">
        <v>46334</v>
      </c>
      <c r="C1410" t="s">
        <v>78</v>
      </c>
      <c r="D1410" t="s">
        <v>58</v>
      </c>
      <c r="E1410" t="s">
        <v>4085</v>
      </c>
      <c r="F1410" t="s">
        <v>60</v>
      </c>
      <c r="G1410" t="s">
        <v>29</v>
      </c>
      <c r="H1410" t="s">
        <v>59</v>
      </c>
      <c r="I1410">
        <v>7</v>
      </c>
      <c r="J1410" t="s">
        <v>2898</v>
      </c>
      <c r="K1410">
        <v>27</v>
      </c>
      <c r="L1410" t="s">
        <v>63</v>
      </c>
      <c r="M1410">
        <v>4</v>
      </c>
      <c r="N1410" t="s">
        <v>91</v>
      </c>
      <c r="O1410" t="s">
        <v>69</v>
      </c>
      <c r="P1410" t="s">
        <v>35</v>
      </c>
      <c r="Q1410" s="2">
        <v>28859.99</v>
      </c>
      <c r="R1410" s="2">
        <v>155.16</v>
      </c>
      <c r="S1410" t="s">
        <v>36</v>
      </c>
      <c r="T1410" t="s">
        <v>52</v>
      </c>
      <c r="U1410" t="s">
        <v>75</v>
      </c>
      <c r="V1410">
        <v>4.4000000000000004</v>
      </c>
      <c r="W1410" t="s">
        <v>54</v>
      </c>
      <c r="X1410" t="s">
        <v>84</v>
      </c>
      <c r="Y1410" t="s">
        <v>41</v>
      </c>
    </row>
    <row r="1411" spans="1:25" x14ac:dyDescent="0.3">
      <c r="A1411" t="s">
        <v>2899</v>
      </c>
      <c r="B1411" s="1">
        <v>46335</v>
      </c>
      <c r="C1411" t="s">
        <v>57</v>
      </c>
      <c r="D1411" t="s">
        <v>44</v>
      </c>
      <c r="E1411" t="s">
        <v>45</v>
      </c>
      <c r="F1411" t="s">
        <v>28</v>
      </c>
      <c r="G1411" t="s">
        <v>29</v>
      </c>
      <c r="H1411" t="s">
        <v>67</v>
      </c>
      <c r="I1411">
        <v>11</v>
      </c>
      <c r="J1411" t="s">
        <v>2900</v>
      </c>
      <c r="K1411">
        <v>60</v>
      </c>
      <c r="L1411" t="s">
        <v>32</v>
      </c>
      <c r="M1411">
        <v>2</v>
      </c>
      <c r="N1411" t="s">
        <v>91</v>
      </c>
      <c r="O1411" t="s">
        <v>81</v>
      </c>
      <c r="P1411" t="s">
        <v>82</v>
      </c>
      <c r="Q1411" s="2">
        <v>47681.279999999999</v>
      </c>
      <c r="R1411" s="2">
        <v>1356.95</v>
      </c>
      <c r="S1411" t="s">
        <v>51</v>
      </c>
      <c r="T1411" t="s">
        <v>37</v>
      </c>
      <c r="U1411" t="s">
        <v>53</v>
      </c>
      <c r="V1411">
        <v>3.6</v>
      </c>
      <c r="W1411" t="s">
        <v>54</v>
      </c>
      <c r="X1411" t="s">
        <v>55</v>
      </c>
      <c r="Y1411" t="s">
        <v>41</v>
      </c>
    </row>
    <row r="1412" spans="1:25" x14ac:dyDescent="0.3">
      <c r="A1412" t="s">
        <v>2901</v>
      </c>
      <c r="B1412" s="1">
        <v>46336</v>
      </c>
      <c r="C1412" t="s">
        <v>117</v>
      </c>
      <c r="D1412" t="s">
        <v>4083</v>
      </c>
      <c r="E1412" t="s">
        <v>45</v>
      </c>
      <c r="F1412" t="s">
        <v>28</v>
      </c>
      <c r="G1412" t="s">
        <v>29</v>
      </c>
      <c r="H1412" t="s">
        <v>67</v>
      </c>
      <c r="I1412">
        <v>12</v>
      </c>
      <c r="J1412" t="s">
        <v>2902</v>
      </c>
      <c r="K1412">
        <v>30</v>
      </c>
      <c r="L1412" t="s">
        <v>63</v>
      </c>
      <c r="M1412">
        <v>1</v>
      </c>
      <c r="N1412" t="s">
        <v>33</v>
      </c>
      <c r="O1412" t="s">
        <v>49</v>
      </c>
      <c r="P1412" t="s">
        <v>82</v>
      </c>
      <c r="Q1412" s="2">
        <v>18066.240000000002</v>
      </c>
      <c r="R1412" s="2">
        <v>3656.26</v>
      </c>
      <c r="S1412" t="s">
        <v>51</v>
      </c>
      <c r="T1412" t="s">
        <v>71</v>
      </c>
      <c r="U1412" t="s">
        <v>38</v>
      </c>
      <c r="V1412">
        <v>4.5</v>
      </c>
      <c r="W1412" t="s">
        <v>103</v>
      </c>
      <c r="X1412" t="s">
        <v>106</v>
      </c>
      <c r="Y1412" t="s">
        <v>41</v>
      </c>
    </row>
    <row r="1413" spans="1:25" x14ac:dyDescent="0.3">
      <c r="A1413" t="s">
        <v>2903</v>
      </c>
      <c r="B1413" s="1">
        <v>46337</v>
      </c>
      <c r="C1413" t="s">
        <v>57</v>
      </c>
      <c r="D1413" t="s">
        <v>44</v>
      </c>
      <c r="E1413" t="s">
        <v>120</v>
      </c>
      <c r="F1413" t="s">
        <v>28</v>
      </c>
      <c r="G1413" t="s">
        <v>29</v>
      </c>
      <c r="H1413" t="s">
        <v>86</v>
      </c>
      <c r="I1413">
        <v>13</v>
      </c>
      <c r="J1413" t="s">
        <v>2904</v>
      </c>
      <c r="K1413">
        <v>29</v>
      </c>
      <c r="L1413" t="s">
        <v>80</v>
      </c>
      <c r="M1413">
        <v>6</v>
      </c>
      <c r="N1413" t="s">
        <v>91</v>
      </c>
      <c r="O1413" t="s">
        <v>49</v>
      </c>
      <c r="P1413" t="s">
        <v>35</v>
      </c>
      <c r="Q1413" s="2">
        <v>25444.23</v>
      </c>
      <c r="R1413" s="2">
        <v>3375.75</v>
      </c>
      <c r="S1413" t="s">
        <v>94</v>
      </c>
      <c r="T1413" t="s">
        <v>71</v>
      </c>
      <c r="U1413" t="s">
        <v>83</v>
      </c>
      <c r="V1413">
        <v>4.7</v>
      </c>
      <c r="W1413" t="s">
        <v>103</v>
      </c>
      <c r="X1413" t="s">
        <v>84</v>
      </c>
      <c r="Y1413" t="s">
        <v>41</v>
      </c>
    </row>
    <row r="1414" spans="1:25" x14ac:dyDescent="0.3">
      <c r="A1414" t="s">
        <v>2905</v>
      </c>
      <c r="B1414" s="1">
        <v>46338</v>
      </c>
      <c r="C1414" t="s">
        <v>57</v>
      </c>
      <c r="D1414" t="s">
        <v>44</v>
      </c>
      <c r="E1414" t="s">
        <v>4085</v>
      </c>
      <c r="F1414" t="s">
        <v>60</v>
      </c>
      <c r="G1414" t="s">
        <v>29</v>
      </c>
      <c r="H1414" t="s">
        <v>46</v>
      </c>
      <c r="I1414">
        <v>14</v>
      </c>
      <c r="J1414" t="s">
        <v>2906</v>
      </c>
      <c r="K1414">
        <v>26</v>
      </c>
      <c r="L1414" t="s">
        <v>32</v>
      </c>
      <c r="M1414">
        <v>2</v>
      </c>
      <c r="N1414" t="s">
        <v>64</v>
      </c>
      <c r="O1414" t="s">
        <v>34</v>
      </c>
      <c r="P1414" t="s">
        <v>70</v>
      </c>
      <c r="Q1414" s="2">
        <v>36241.11</v>
      </c>
      <c r="R1414" s="2">
        <v>1215.29</v>
      </c>
      <c r="S1414" t="s">
        <v>94</v>
      </c>
      <c r="T1414" t="s">
        <v>37</v>
      </c>
      <c r="U1414" t="s">
        <v>83</v>
      </c>
      <c r="V1414">
        <v>4.2</v>
      </c>
      <c r="W1414" t="s">
        <v>54</v>
      </c>
      <c r="X1414" t="s">
        <v>65</v>
      </c>
      <c r="Y1414" t="s">
        <v>72</v>
      </c>
    </row>
    <row r="1415" spans="1:25" x14ac:dyDescent="0.3">
      <c r="A1415" t="s">
        <v>2907</v>
      </c>
      <c r="B1415" s="1">
        <v>46339</v>
      </c>
      <c r="C1415" t="s">
        <v>26</v>
      </c>
      <c r="D1415" t="s">
        <v>26</v>
      </c>
      <c r="E1415" t="s">
        <v>4085</v>
      </c>
      <c r="F1415" t="s">
        <v>60</v>
      </c>
      <c r="G1415" t="s">
        <v>29</v>
      </c>
      <c r="H1415" t="s">
        <v>46</v>
      </c>
      <c r="I1415">
        <v>13</v>
      </c>
      <c r="J1415" t="s">
        <v>2908</v>
      </c>
      <c r="K1415">
        <v>21</v>
      </c>
      <c r="L1415" t="s">
        <v>32</v>
      </c>
      <c r="M1415">
        <v>3</v>
      </c>
      <c r="N1415" t="s">
        <v>33</v>
      </c>
      <c r="O1415" t="s">
        <v>49</v>
      </c>
      <c r="P1415" t="s">
        <v>50</v>
      </c>
      <c r="Q1415" s="2">
        <v>42436.1</v>
      </c>
      <c r="R1415" s="2">
        <v>2978.44</v>
      </c>
      <c r="S1415" t="s">
        <v>51</v>
      </c>
      <c r="T1415" t="s">
        <v>52</v>
      </c>
      <c r="U1415" t="s">
        <v>38</v>
      </c>
      <c r="V1415">
        <v>4.8</v>
      </c>
      <c r="W1415" t="s">
        <v>103</v>
      </c>
      <c r="X1415" t="s">
        <v>106</v>
      </c>
      <c r="Y1415" t="s">
        <v>72</v>
      </c>
    </row>
    <row r="1416" spans="1:25" x14ac:dyDescent="0.3">
      <c r="A1416" t="s">
        <v>2909</v>
      </c>
      <c r="B1416" s="1">
        <v>46340</v>
      </c>
      <c r="C1416" t="s">
        <v>43</v>
      </c>
      <c r="D1416" t="s">
        <v>58</v>
      </c>
      <c r="E1416" t="s">
        <v>4085</v>
      </c>
      <c r="F1416" t="s">
        <v>60</v>
      </c>
      <c r="G1416" t="s">
        <v>29</v>
      </c>
      <c r="H1416" t="s">
        <v>59</v>
      </c>
      <c r="I1416">
        <v>9</v>
      </c>
      <c r="J1416" t="s">
        <v>2910</v>
      </c>
      <c r="K1416">
        <v>56</v>
      </c>
      <c r="L1416" t="s">
        <v>80</v>
      </c>
      <c r="M1416">
        <v>7</v>
      </c>
      <c r="N1416" t="s">
        <v>48</v>
      </c>
      <c r="O1416" t="s">
        <v>69</v>
      </c>
      <c r="P1416" t="s">
        <v>70</v>
      </c>
      <c r="Q1416" s="2">
        <v>23961.07</v>
      </c>
      <c r="R1416" s="2">
        <v>3968.79</v>
      </c>
      <c r="S1416" t="s">
        <v>115</v>
      </c>
      <c r="T1416" t="s">
        <v>52</v>
      </c>
      <c r="U1416" t="s">
        <v>83</v>
      </c>
      <c r="V1416">
        <v>4.8</v>
      </c>
      <c r="W1416" t="s">
        <v>103</v>
      </c>
      <c r="X1416" t="s">
        <v>65</v>
      </c>
      <c r="Y1416" t="s">
        <v>72</v>
      </c>
    </row>
    <row r="1417" spans="1:25" x14ac:dyDescent="0.3">
      <c r="A1417" t="s">
        <v>2911</v>
      </c>
      <c r="B1417" s="1">
        <v>46341</v>
      </c>
      <c r="C1417" t="s">
        <v>117</v>
      </c>
      <c r="D1417" t="s">
        <v>4083</v>
      </c>
      <c r="E1417" t="s">
        <v>45</v>
      </c>
      <c r="F1417" t="s">
        <v>28</v>
      </c>
      <c r="G1417" t="s">
        <v>29</v>
      </c>
      <c r="H1417" t="s">
        <v>67</v>
      </c>
      <c r="I1417">
        <v>12</v>
      </c>
      <c r="J1417" t="s">
        <v>2912</v>
      </c>
      <c r="K1417">
        <v>41</v>
      </c>
      <c r="L1417" t="s">
        <v>32</v>
      </c>
      <c r="M1417">
        <v>4</v>
      </c>
      <c r="N1417" t="s">
        <v>33</v>
      </c>
      <c r="O1417" t="s">
        <v>81</v>
      </c>
      <c r="P1417" t="s">
        <v>70</v>
      </c>
      <c r="Q1417" s="2">
        <v>45159.46</v>
      </c>
      <c r="R1417" s="2">
        <v>166.9</v>
      </c>
      <c r="S1417" t="s">
        <v>94</v>
      </c>
      <c r="T1417" t="s">
        <v>37</v>
      </c>
      <c r="U1417" t="s">
        <v>53</v>
      </c>
      <c r="V1417">
        <v>3.5</v>
      </c>
      <c r="W1417" t="s">
        <v>54</v>
      </c>
      <c r="X1417" t="s">
        <v>55</v>
      </c>
      <c r="Y1417" t="s">
        <v>72</v>
      </c>
    </row>
    <row r="1418" spans="1:25" x14ac:dyDescent="0.3">
      <c r="A1418" t="s">
        <v>2913</v>
      </c>
      <c r="B1418" s="1">
        <v>46342</v>
      </c>
      <c r="C1418" t="s">
        <v>57</v>
      </c>
      <c r="D1418" t="s">
        <v>44</v>
      </c>
      <c r="E1418" t="s">
        <v>89</v>
      </c>
      <c r="F1418" t="s">
        <v>28</v>
      </c>
      <c r="G1418" t="s">
        <v>29</v>
      </c>
      <c r="H1418" t="s">
        <v>61</v>
      </c>
      <c r="I1418">
        <v>7</v>
      </c>
      <c r="J1418" t="s">
        <v>2914</v>
      </c>
      <c r="K1418">
        <v>51</v>
      </c>
      <c r="L1418" t="s">
        <v>32</v>
      </c>
      <c r="M1418">
        <v>2</v>
      </c>
      <c r="N1418" t="s">
        <v>64</v>
      </c>
      <c r="O1418" t="s">
        <v>34</v>
      </c>
      <c r="P1418" t="s">
        <v>50</v>
      </c>
      <c r="Q1418" s="2">
        <v>10309.42</v>
      </c>
      <c r="R1418" s="2">
        <v>3588.14</v>
      </c>
      <c r="S1418" t="s">
        <v>51</v>
      </c>
      <c r="T1418" t="s">
        <v>71</v>
      </c>
      <c r="U1418" t="s">
        <v>53</v>
      </c>
      <c r="V1418">
        <v>3.9</v>
      </c>
      <c r="W1418" t="s">
        <v>54</v>
      </c>
      <c r="X1418" t="s">
        <v>40</v>
      </c>
      <c r="Y1418" t="s">
        <v>72</v>
      </c>
    </row>
    <row r="1419" spans="1:25" x14ac:dyDescent="0.3">
      <c r="A1419" t="s">
        <v>2915</v>
      </c>
      <c r="B1419" s="1">
        <v>46343</v>
      </c>
      <c r="C1419" t="s">
        <v>117</v>
      </c>
      <c r="D1419" t="s">
        <v>4083</v>
      </c>
      <c r="E1419" t="s">
        <v>4084</v>
      </c>
      <c r="F1419" t="s">
        <v>60</v>
      </c>
      <c r="G1419" t="s">
        <v>29</v>
      </c>
      <c r="H1419" t="s">
        <v>27</v>
      </c>
      <c r="I1419">
        <v>3</v>
      </c>
      <c r="J1419" t="s">
        <v>2916</v>
      </c>
      <c r="K1419">
        <v>56</v>
      </c>
      <c r="L1419" t="s">
        <v>80</v>
      </c>
      <c r="M1419">
        <v>4</v>
      </c>
      <c r="N1419" t="s">
        <v>33</v>
      </c>
      <c r="O1419" t="s">
        <v>81</v>
      </c>
      <c r="P1419" t="s">
        <v>82</v>
      </c>
      <c r="Q1419" s="2">
        <v>36890.81</v>
      </c>
      <c r="R1419" s="2">
        <v>1260.49</v>
      </c>
      <c r="S1419" t="s">
        <v>115</v>
      </c>
      <c r="T1419" t="s">
        <v>37</v>
      </c>
      <c r="U1419" t="s">
        <v>75</v>
      </c>
      <c r="V1419">
        <v>3.8</v>
      </c>
      <c r="W1419" t="s">
        <v>39</v>
      </c>
      <c r="X1419" t="s">
        <v>40</v>
      </c>
      <c r="Y1419" t="s">
        <v>41</v>
      </c>
    </row>
    <row r="1420" spans="1:25" x14ac:dyDescent="0.3">
      <c r="A1420" t="s">
        <v>2917</v>
      </c>
      <c r="B1420" s="1">
        <v>46344</v>
      </c>
      <c r="C1420" t="s">
        <v>78</v>
      </c>
      <c r="D1420" t="s">
        <v>58</v>
      </c>
      <c r="E1420" t="s">
        <v>45</v>
      </c>
      <c r="F1420" t="s">
        <v>28</v>
      </c>
      <c r="G1420" t="s">
        <v>29</v>
      </c>
      <c r="H1420" t="s">
        <v>67</v>
      </c>
      <c r="I1420">
        <v>8</v>
      </c>
      <c r="J1420" t="s">
        <v>2918</v>
      </c>
      <c r="K1420">
        <v>58</v>
      </c>
      <c r="L1420" t="s">
        <v>32</v>
      </c>
      <c r="M1420">
        <v>6</v>
      </c>
      <c r="N1420" t="s">
        <v>48</v>
      </c>
      <c r="O1420" t="s">
        <v>49</v>
      </c>
      <c r="P1420" t="s">
        <v>70</v>
      </c>
      <c r="Q1420" s="2">
        <v>20668.95</v>
      </c>
      <c r="R1420" s="2">
        <v>4739.26</v>
      </c>
      <c r="S1420" t="s">
        <v>115</v>
      </c>
      <c r="T1420" t="s">
        <v>71</v>
      </c>
      <c r="U1420" t="s">
        <v>53</v>
      </c>
      <c r="V1420">
        <v>3.5</v>
      </c>
      <c r="W1420" t="s">
        <v>54</v>
      </c>
      <c r="X1420" t="s">
        <v>55</v>
      </c>
      <c r="Y1420" t="s">
        <v>41</v>
      </c>
    </row>
    <row r="1421" spans="1:25" x14ac:dyDescent="0.3">
      <c r="A1421" t="s">
        <v>2919</v>
      </c>
      <c r="B1421" s="1">
        <v>46345</v>
      </c>
      <c r="C1421" t="s">
        <v>26</v>
      </c>
      <c r="D1421" t="s">
        <v>26</v>
      </c>
      <c r="E1421" t="s">
        <v>4085</v>
      </c>
      <c r="F1421" t="s">
        <v>60</v>
      </c>
      <c r="G1421" t="s">
        <v>29</v>
      </c>
      <c r="H1421" t="s">
        <v>46</v>
      </c>
      <c r="I1421">
        <v>14</v>
      </c>
      <c r="J1421" t="s">
        <v>2920</v>
      </c>
      <c r="K1421">
        <v>22</v>
      </c>
      <c r="L1421" t="s">
        <v>32</v>
      </c>
      <c r="M1421">
        <v>1</v>
      </c>
      <c r="N1421" t="s">
        <v>48</v>
      </c>
      <c r="O1421" t="s">
        <v>49</v>
      </c>
      <c r="P1421" t="s">
        <v>82</v>
      </c>
      <c r="Q1421" s="2">
        <v>9560.1</v>
      </c>
      <c r="R1421" s="2">
        <v>2691.1</v>
      </c>
      <c r="S1421" t="s">
        <v>36</v>
      </c>
      <c r="T1421" t="s">
        <v>52</v>
      </c>
      <c r="U1421" t="s">
        <v>83</v>
      </c>
      <c r="V1421">
        <v>1.1000000000000001</v>
      </c>
      <c r="W1421" t="s">
        <v>124</v>
      </c>
      <c r="X1421" t="s">
        <v>40</v>
      </c>
      <c r="Y1421" t="s">
        <v>72</v>
      </c>
    </row>
    <row r="1422" spans="1:25" x14ac:dyDescent="0.3">
      <c r="A1422" t="s">
        <v>2921</v>
      </c>
      <c r="B1422" s="1">
        <v>46346</v>
      </c>
      <c r="C1422" t="s">
        <v>78</v>
      </c>
      <c r="D1422" t="s">
        <v>58</v>
      </c>
      <c r="E1422" t="s">
        <v>45</v>
      </c>
      <c r="F1422" t="s">
        <v>28</v>
      </c>
      <c r="G1422" t="s">
        <v>29</v>
      </c>
      <c r="H1422" t="s">
        <v>67</v>
      </c>
      <c r="I1422">
        <v>10</v>
      </c>
      <c r="J1422" t="s">
        <v>2922</v>
      </c>
      <c r="K1422">
        <v>32</v>
      </c>
      <c r="L1422" t="s">
        <v>80</v>
      </c>
      <c r="M1422">
        <v>3</v>
      </c>
      <c r="N1422" t="s">
        <v>33</v>
      </c>
      <c r="O1422" t="s">
        <v>34</v>
      </c>
      <c r="P1422" t="s">
        <v>50</v>
      </c>
      <c r="Q1422" s="2">
        <v>22399.91</v>
      </c>
      <c r="R1422" s="2">
        <v>166.93</v>
      </c>
      <c r="S1422" t="s">
        <v>36</v>
      </c>
      <c r="T1422" t="s">
        <v>71</v>
      </c>
      <c r="U1422" t="s">
        <v>75</v>
      </c>
      <c r="V1422">
        <v>2.4</v>
      </c>
      <c r="W1422" t="s">
        <v>76</v>
      </c>
      <c r="X1422" t="s">
        <v>106</v>
      </c>
      <c r="Y1422" t="s">
        <v>72</v>
      </c>
    </row>
    <row r="1423" spans="1:25" x14ac:dyDescent="0.3">
      <c r="A1423" t="s">
        <v>2923</v>
      </c>
      <c r="B1423" s="1">
        <v>46347</v>
      </c>
      <c r="C1423" t="s">
        <v>117</v>
      </c>
      <c r="D1423" t="s">
        <v>4083</v>
      </c>
      <c r="E1423" t="s">
        <v>120</v>
      </c>
      <c r="F1423" t="s">
        <v>28</v>
      </c>
      <c r="G1423" t="s">
        <v>29</v>
      </c>
      <c r="H1423" t="s">
        <v>86</v>
      </c>
      <c r="I1423">
        <v>9</v>
      </c>
      <c r="J1423" t="s">
        <v>2924</v>
      </c>
      <c r="K1423">
        <v>67</v>
      </c>
      <c r="L1423" t="s">
        <v>32</v>
      </c>
      <c r="M1423">
        <v>5</v>
      </c>
      <c r="N1423" t="s">
        <v>33</v>
      </c>
      <c r="O1423" t="s">
        <v>49</v>
      </c>
      <c r="P1423" t="s">
        <v>70</v>
      </c>
      <c r="Q1423" s="2">
        <v>44609.7</v>
      </c>
      <c r="R1423" s="2">
        <v>2017.15</v>
      </c>
      <c r="S1423" t="s">
        <v>94</v>
      </c>
      <c r="T1423" t="s">
        <v>71</v>
      </c>
      <c r="U1423" t="s">
        <v>38</v>
      </c>
      <c r="V1423">
        <v>1.4</v>
      </c>
      <c r="W1423" t="s">
        <v>124</v>
      </c>
      <c r="X1423" t="s">
        <v>106</v>
      </c>
      <c r="Y1423" t="s">
        <v>72</v>
      </c>
    </row>
    <row r="1424" spans="1:25" x14ac:dyDescent="0.3">
      <c r="A1424" t="s">
        <v>2925</v>
      </c>
      <c r="B1424" s="1">
        <v>46348</v>
      </c>
      <c r="C1424" t="s">
        <v>117</v>
      </c>
      <c r="D1424" t="s">
        <v>4083</v>
      </c>
      <c r="E1424" t="s">
        <v>4085</v>
      </c>
      <c r="F1424" t="s">
        <v>60</v>
      </c>
      <c r="G1424" t="s">
        <v>29</v>
      </c>
      <c r="H1424" t="s">
        <v>46</v>
      </c>
      <c r="I1424">
        <v>4</v>
      </c>
      <c r="J1424" t="s">
        <v>2926</v>
      </c>
      <c r="K1424">
        <v>21</v>
      </c>
      <c r="L1424" t="s">
        <v>32</v>
      </c>
      <c r="M1424">
        <v>2</v>
      </c>
      <c r="N1424" t="s">
        <v>64</v>
      </c>
      <c r="O1424" t="s">
        <v>81</v>
      </c>
      <c r="P1424" t="s">
        <v>82</v>
      </c>
      <c r="Q1424" s="2">
        <v>49124.02</v>
      </c>
      <c r="R1424" s="2">
        <v>4831.5600000000004</v>
      </c>
      <c r="S1424" t="s">
        <v>115</v>
      </c>
      <c r="T1424" t="s">
        <v>71</v>
      </c>
      <c r="U1424" t="s">
        <v>38</v>
      </c>
      <c r="V1424">
        <v>2.2000000000000002</v>
      </c>
      <c r="W1424" t="s">
        <v>76</v>
      </c>
      <c r="X1424" t="s">
        <v>84</v>
      </c>
      <c r="Y1424" t="s">
        <v>41</v>
      </c>
    </row>
    <row r="1425" spans="1:25" x14ac:dyDescent="0.3">
      <c r="A1425" t="s">
        <v>2927</v>
      </c>
      <c r="B1425" s="1">
        <v>46349</v>
      </c>
      <c r="C1425" t="s">
        <v>43</v>
      </c>
      <c r="D1425" t="s">
        <v>58</v>
      </c>
      <c r="E1425" t="s">
        <v>120</v>
      </c>
      <c r="F1425" t="s">
        <v>28</v>
      </c>
      <c r="G1425" t="s">
        <v>29</v>
      </c>
      <c r="H1425" t="s">
        <v>86</v>
      </c>
      <c r="I1425">
        <v>14</v>
      </c>
      <c r="J1425" t="s">
        <v>2928</v>
      </c>
      <c r="K1425">
        <v>68</v>
      </c>
      <c r="L1425" t="s">
        <v>32</v>
      </c>
      <c r="M1425">
        <v>1</v>
      </c>
      <c r="N1425" t="s">
        <v>64</v>
      </c>
      <c r="O1425" t="s">
        <v>69</v>
      </c>
      <c r="P1425" t="s">
        <v>82</v>
      </c>
      <c r="Q1425" s="2">
        <v>22675.99</v>
      </c>
      <c r="R1425" s="2">
        <v>3651.86</v>
      </c>
      <c r="S1425" t="s">
        <v>94</v>
      </c>
      <c r="T1425" t="s">
        <v>71</v>
      </c>
      <c r="U1425" t="s">
        <v>75</v>
      </c>
      <c r="V1425">
        <v>1.3</v>
      </c>
      <c r="W1425" t="s">
        <v>124</v>
      </c>
      <c r="X1425" t="s">
        <v>106</v>
      </c>
      <c r="Y1425" t="s">
        <v>41</v>
      </c>
    </row>
    <row r="1426" spans="1:25" x14ac:dyDescent="0.3">
      <c r="A1426" t="s">
        <v>2929</v>
      </c>
      <c r="B1426" s="1">
        <v>46350</v>
      </c>
      <c r="C1426" t="s">
        <v>57</v>
      </c>
      <c r="D1426" t="s">
        <v>44</v>
      </c>
      <c r="E1426" t="s">
        <v>4085</v>
      </c>
      <c r="F1426" t="s">
        <v>60</v>
      </c>
      <c r="G1426" t="s">
        <v>29</v>
      </c>
      <c r="H1426" t="s">
        <v>59</v>
      </c>
      <c r="I1426">
        <v>7</v>
      </c>
      <c r="J1426" t="s">
        <v>2930</v>
      </c>
      <c r="K1426">
        <v>69</v>
      </c>
      <c r="L1426" t="s">
        <v>32</v>
      </c>
      <c r="M1426">
        <v>4</v>
      </c>
      <c r="N1426" t="s">
        <v>48</v>
      </c>
      <c r="O1426" t="s">
        <v>34</v>
      </c>
      <c r="P1426" t="s">
        <v>70</v>
      </c>
      <c r="Q1426" s="2">
        <v>44888.74</v>
      </c>
      <c r="R1426" s="2">
        <v>1502.4</v>
      </c>
      <c r="S1426" t="s">
        <v>51</v>
      </c>
      <c r="T1426" t="s">
        <v>71</v>
      </c>
      <c r="U1426" t="s">
        <v>53</v>
      </c>
      <c r="V1426">
        <v>4.7</v>
      </c>
      <c r="W1426" t="s">
        <v>103</v>
      </c>
      <c r="X1426" t="s">
        <v>40</v>
      </c>
      <c r="Y1426" t="s">
        <v>41</v>
      </c>
    </row>
    <row r="1427" spans="1:25" x14ac:dyDescent="0.3">
      <c r="A1427" t="s">
        <v>2931</v>
      </c>
      <c r="B1427" s="1">
        <v>46351</v>
      </c>
      <c r="C1427" t="s">
        <v>57</v>
      </c>
      <c r="D1427" t="s">
        <v>44</v>
      </c>
      <c r="E1427" t="s">
        <v>45</v>
      </c>
      <c r="F1427" t="s">
        <v>28</v>
      </c>
      <c r="G1427" t="s">
        <v>29</v>
      </c>
      <c r="H1427" t="s">
        <v>67</v>
      </c>
      <c r="I1427">
        <v>13</v>
      </c>
      <c r="J1427" t="s">
        <v>2932</v>
      </c>
      <c r="K1427">
        <v>56</v>
      </c>
      <c r="L1427" t="s">
        <v>80</v>
      </c>
      <c r="M1427">
        <v>6</v>
      </c>
      <c r="N1427" t="s">
        <v>91</v>
      </c>
      <c r="O1427" t="s">
        <v>49</v>
      </c>
      <c r="P1427" t="s">
        <v>50</v>
      </c>
      <c r="Q1427" s="2">
        <v>27934.45</v>
      </c>
      <c r="R1427" s="2">
        <v>2876.34</v>
      </c>
      <c r="S1427" t="s">
        <v>94</v>
      </c>
      <c r="T1427" t="s">
        <v>52</v>
      </c>
      <c r="U1427" t="s">
        <v>75</v>
      </c>
      <c r="V1427">
        <v>2.8</v>
      </c>
      <c r="W1427" t="s">
        <v>76</v>
      </c>
      <c r="X1427" t="s">
        <v>65</v>
      </c>
      <c r="Y1427" t="s">
        <v>41</v>
      </c>
    </row>
    <row r="1428" spans="1:25" x14ac:dyDescent="0.3">
      <c r="A1428" t="s">
        <v>2933</v>
      </c>
      <c r="B1428" s="1">
        <v>46352</v>
      </c>
      <c r="C1428" t="s">
        <v>78</v>
      </c>
      <c r="D1428" t="s">
        <v>58</v>
      </c>
      <c r="E1428" t="s">
        <v>89</v>
      </c>
      <c r="F1428" t="s">
        <v>28</v>
      </c>
      <c r="G1428" t="s">
        <v>29</v>
      </c>
      <c r="H1428" t="s">
        <v>61</v>
      </c>
      <c r="I1428">
        <v>6</v>
      </c>
      <c r="J1428" t="s">
        <v>2934</v>
      </c>
      <c r="K1428">
        <v>25</v>
      </c>
      <c r="L1428" t="s">
        <v>63</v>
      </c>
      <c r="M1428">
        <v>7</v>
      </c>
      <c r="N1428" t="s">
        <v>91</v>
      </c>
      <c r="O1428" t="s">
        <v>81</v>
      </c>
      <c r="P1428" t="s">
        <v>35</v>
      </c>
      <c r="Q1428" s="2">
        <v>37265.68</v>
      </c>
      <c r="R1428" s="2">
        <v>2995.51</v>
      </c>
      <c r="S1428" t="s">
        <v>115</v>
      </c>
      <c r="T1428" t="s">
        <v>37</v>
      </c>
      <c r="U1428" t="s">
        <v>75</v>
      </c>
      <c r="V1428">
        <v>1.8</v>
      </c>
      <c r="W1428" t="s">
        <v>124</v>
      </c>
      <c r="X1428" t="s">
        <v>84</v>
      </c>
      <c r="Y1428" t="s">
        <v>41</v>
      </c>
    </row>
    <row r="1429" spans="1:25" x14ac:dyDescent="0.3">
      <c r="A1429" t="s">
        <v>2935</v>
      </c>
      <c r="B1429" s="1">
        <v>46353</v>
      </c>
      <c r="C1429" t="s">
        <v>26</v>
      </c>
      <c r="D1429" t="s">
        <v>26</v>
      </c>
      <c r="E1429" t="s">
        <v>4084</v>
      </c>
      <c r="F1429" t="s">
        <v>60</v>
      </c>
      <c r="G1429" t="s">
        <v>29</v>
      </c>
      <c r="H1429" t="s">
        <v>30</v>
      </c>
      <c r="I1429">
        <v>11</v>
      </c>
      <c r="J1429" t="s">
        <v>2936</v>
      </c>
      <c r="K1429">
        <v>66</v>
      </c>
      <c r="L1429" t="s">
        <v>63</v>
      </c>
      <c r="M1429">
        <v>4</v>
      </c>
      <c r="N1429" t="s">
        <v>91</v>
      </c>
      <c r="O1429" t="s">
        <v>69</v>
      </c>
      <c r="P1429" t="s">
        <v>82</v>
      </c>
      <c r="Q1429" s="2">
        <v>7041.71</v>
      </c>
      <c r="R1429" s="2">
        <v>116.74</v>
      </c>
      <c r="S1429" t="s">
        <v>36</v>
      </c>
      <c r="T1429" t="s">
        <v>52</v>
      </c>
      <c r="U1429" t="s">
        <v>53</v>
      </c>
      <c r="V1429">
        <v>3.3</v>
      </c>
      <c r="W1429" t="s">
        <v>39</v>
      </c>
      <c r="X1429" t="s">
        <v>65</v>
      </c>
      <c r="Y1429" t="s">
        <v>41</v>
      </c>
    </row>
    <row r="1430" spans="1:25" x14ac:dyDescent="0.3">
      <c r="A1430" t="s">
        <v>2937</v>
      </c>
      <c r="B1430" s="1">
        <v>46354</v>
      </c>
      <c r="C1430" t="s">
        <v>57</v>
      </c>
      <c r="D1430" t="s">
        <v>44</v>
      </c>
      <c r="E1430" t="s">
        <v>120</v>
      </c>
      <c r="F1430" t="s">
        <v>28</v>
      </c>
      <c r="G1430" t="s">
        <v>29</v>
      </c>
      <c r="H1430" t="s">
        <v>86</v>
      </c>
      <c r="I1430">
        <v>12</v>
      </c>
      <c r="J1430" t="s">
        <v>2938</v>
      </c>
      <c r="K1430">
        <v>62</v>
      </c>
      <c r="L1430" t="s">
        <v>32</v>
      </c>
      <c r="M1430">
        <v>7</v>
      </c>
      <c r="N1430" t="s">
        <v>91</v>
      </c>
      <c r="O1430" t="s">
        <v>49</v>
      </c>
      <c r="P1430" t="s">
        <v>50</v>
      </c>
      <c r="Q1430" s="2">
        <v>30079.040000000001</v>
      </c>
      <c r="R1430" s="2">
        <v>894.17</v>
      </c>
      <c r="S1430" t="s">
        <v>94</v>
      </c>
      <c r="T1430" t="s">
        <v>71</v>
      </c>
      <c r="U1430" t="s">
        <v>38</v>
      </c>
      <c r="V1430">
        <v>1.8</v>
      </c>
      <c r="W1430" t="s">
        <v>124</v>
      </c>
      <c r="X1430" t="s">
        <v>40</v>
      </c>
      <c r="Y1430" t="s">
        <v>41</v>
      </c>
    </row>
    <row r="1431" spans="1:25" x14ac:dyDescent="0.3">
      <c r="A1431" t="s">
        <v>2939</v>
      </c>
      <c r="B1431" s="1">
        <v>46355</v>
      </c>
      <c r="C1431" t="s">
        <v>43</v>
      </c>
      <c r="D1431" t="s">
        <v>58</v>
      </c>
      <c r="E1431" t="s">
        <v>45</v>
      </c>
      <c r="F1431" t="s">
        <v>28</v>
      </c>
      <c r="G1431" t="s">
        <v>29</v>
      </c>
      <c r="H1431" t="s">
        <v>67</v>
      </c>
      <c r="I1431">
        <v>3</v>
      </c>
      <c r="J1431" t="s">
        <v>2940</v>
      </c>
      <c r="K1431">
        <v>41</v>
      </c>
      <c r="L1431" t="s">
        <v>80</v>
      </c>
      <c r="M1431">
        <v>6</v>
      </c>
      <c r="N1431" t="s">
        <v>48</v>
      </c>
      <c r="O1431" t="s">
        <v>34</v>
      </c>
      <c r="P1431" t="s">
        <v>70</v>
      </c>
      <c r="Q1431" s="2">
        <v>8157.29</v>
      </c>
      <c r="R1431" s="2">
        <v>2758.88</v>
      </c>
      <c r="S1431" t="s">
        <v>36</v>
      </c>
      <c r="T1431" t="s">
        <v>37</v>
      </c>
      <c r="U1431" t="s">
        <v>75</v>
      </c>
      <c r="V1431">
        <v>4.2</v>
      </c>
      <c r="W1431" t="s">
        <v>39</v>
      </c>
      <c r="X1431" t="s">
        <v>65</v>
      </c>
      <c r="Y1431" t="s">
        <v>72</v>
      </c>
    </row>
    <row r="1432" spans="1:25" x14ac:dyDescent="0.3">
      <c r="A1432" t="s">
        <v>2941</v>
      </c>
      <c r="B1432" s="1">
        <v>46356</v>
      </c>
      <c r="C1432" t="s">
        <v>78</v>
      </c>
      <c r="D1432" t="s">
        <v>58</v>
      </c>
      <c r="E1432" t="s">
        <v>89</v>
      </c>
      <c r="F1432" t="s">
        <v>28</v>
      </c>
      <c r="G1432" t="s">
        <v>29</v>
      </c>
      <c r="H1432" t="s">
        <v>61</v>
      </c>
      <c r="I1432">
        <v>14</v>
      </c>
      <c r="J1432" t="s">
        <v>2942</v>
      </c>
      <c r="K1432">
        <v>45</v>
      </c>
      <c r="L1432" t="s">
        <v>80</v>
      </c>
      <c r="M1432">
        <v>7</v>
      </c>
      <c r="N1432" t="s">
        <v>91</v>
      </c>
      <c r="O1432" t="s">
        <v>49</v>
      </c>
      <c r="P1432" t="s">
        <v>82</v>
      </c>
      <c r="Q1432" s="2">
        <v>17087.810000000001</v>
      </c>
      <c r="R1432" s="2">
        <v>2013.76</v>
      </c>
      <c r="S1432" t="s">
        <v>94</v>
      </c>
      <c r="T1432" t="s">
        <v>71</v>
      </c>
      <c r="U1432" t="s">
        <v>38</v>
      </c>
      <c r="V1432">
        <v>2.2000000000000002</v>
      </c>
      <c r="W1432" t="s">
        <v>76</v>
      </c>
      <c r="X1432" t="s">
        <v>40</v>
      </c>
      <c r="Y1432" t="s">
        <v>72</v>
      </c>
    </row>
    <row r="1433" spans="1:25" x14ac:dyDescent="0.3">
      <c r="A1433" t="s">
        <v>2943</v>
      </c>
      <c r="B1433" s="1">
        <v>46357</v>
      </c>
      <c r="C1433" t="s">
        <v>78</v>
      </c>
      <c r="D1433" t="s">
        <v>58</v>
      </c>
      <c r="E1433" t="s">
        <v>45</v>
      </c>
      <c r="F1433" t="s">
        <v>28</v>
      </c>
      <c r="G1433" t="s">
        <v>29</v>
      </c>
      <c r="H1433" t="s">
        <v>67</v>
      </c>
      <c r="I1433">
        <v>8</v>
      </c>
      <c r="J1433" t="s">
        <v>2944</v>
      </c>
      <c r="K1433">
        <v>60</v>
      </c>
      <c r="L1433" t="s">
        <v>32</v>
      </c>
      <c r="M1433">
        <v>6</v>
      </c>
      <c r="N1433" t="s">
        <v>91</v>
      </c>
      <c r="O1433" t="s">
        <v>49</v>
      </c>
      <c r="P1433" t="s">
        <v>82</v>
      </c>
      <c r="Q1433" s="2">
        <v>30506.639999999999</v>
      </c>
      <c r="R1433" s="2">
        <v>950.19</v>
      </c>
      <c r="S1433" t="s">
        <v>51</v>
      </c>
      <c r="T1433" t="s">
        <v>52</v>
      </c>
      <c r="U1433" t="s">
        <v>83</v>
      </c>
      <c r="V1433">
        <v>2.2999999999999998</v>
      </c>
      <c r="W1433" t="s">
        <v>76</v>
      </c>
      <c r="X1433" t="s">
        <v>106</v>
      </c>
      <c r="Y1433" t="s">
        <v>41</v>
      </c>
    </row>
    <row r="1434" spans="1:25" x14ac:dyDescent="0.3">
      <c r="A1434" t="s">
        <v>2945</v>
      </c>
      <c r="B1434" s="1">
        <v>46358</v>
      </c>
      <c r="C1434" t="s">
        <v>43</v>
      </c>
      <c r="D1434" t="s">
        <v>58</v>
      </c>
      <c r="E1434" t="s">
        <v>120</v>
      </c>
      <c r="F1434" t="s">
        <v>28</v>
      </c>
      <c r="G1434" t="s">
        <v>29</v>
      </c>
      <c r="H1434" t="s">
        <v>86</v>
      </c>
      <c r="I1434">
        <v>5</v>
      </c>
      <c r="J1434" t="s">
        <v>2946</v>
      </c>
      <c r="K1434">
        <v>44</v>
      </c>
      <c r="L1434" t="s">
        <v>63</v>
      </c>
      <c r="M1434">
        <v>1</v>
      </c>
      <c r="N1434" t="s">
        <v>33</v>
      </c>
      <c r="O1434" t="s">
        <v>49</v>
      </c>
      <c r="P1434" t="s">
        <v>82</v>
      </c>
      <c r="Q1434" s="2">
        <v>41322.370000000003</v>
      </c>
      <c r="R1434" s="2">
        <v>3863.34</v>
      </c>
      <c r="S1434" t="s">
        <v>115</v>
      </c>
      <c r="T1434" t="s">
        <v>52</v>
      </c>
      <c r="U1434" t="s">
        <v>53</v>
      </c>
      <c r="V1434">
        <v>4.5</v>
      </c>
      <c r="W1434" t="s">
        <v>103</v>
      </c>
      <c r="X1434" t="s">
        <v>84</v>
      </c>
      <c r="Y1434" t="s">
        <v>72</v>
      </c>
    </row>
    <row r="1435" spans="1:25" x14ac:dyDescent="0.3">
      <c r="A1435" t="s">
        <v>2947</v>
      </c>
      <c r="B1435" s="1">
        <v>46359</v>
      </c>
      <c r="C1435" t="s">
        <v>26</v>
      </c>
      <c r="D1435" t="s">
        <v>26</v>
      </c>
      <c r="E1435" t="s">
        <v>4084</v>
      </c>
      <c r="F1435" t="s">
        <v>60</v>
      </c>
      <c r="G1435" t="s">
        <v>29</v>
      </c>
      <c r="H1435" t="s">
        <v>30</v>
      </c>
      <c r="I1435">
        <v>13</v>
      </c>
      <c r="J1435" t="s">
        <v>2948</v>
      </c>
      <c r="K1435">
        <v>18</v>
      </c>
      <c r="L1435" t="s">
        <v>32</v>
      </c>
      <c r="M1435">
        <v>2</v>
      </c>
      <c r="N1435" t="s">
        <v>91</v>
      </c>
      <c r="O1435" t="s">
        <v>69</v>
      </c>
      <c r="P1435" t="s">
        <v>50</v>
      </c>
      <c r="Q1435" s="2">
        <v>30240.21</v>
      </c>
      <c r="R1435" s="2">
        <v>2444.9699999999998</v>
      </c>
      <c r="S1435" t="s">
        <v>94</v>
      </c>
      <c r="T1435" t="s">
        <v>71</v>
      </c>
      <c r="U1435" t="s">
        <v>83</v>
      </c>
      <c r="V1435">
        <v>3.2</v>
      </c>
      <c r="W1435" t="s">
        <v>76</v>
      </c>
      <c r="X1435" t="s">
        <v>55</v>
      </c>
      <c r="Y1435" t="s">
        <v>41</v>
      </c>
    </row>
    <row r="1436" spans="1:25" x14ac:dyDescent="0.3">
      <c r="A1436" t="s">
        <v>2949</v>
      </c>
      <c r="B1436" s="1">
        <v>46360</v>
      </c>
      <c r="C1436" t="s">
        <v>43</v>
      </c>
      <c r="D1436" t="s">
        <v>58</v>
      </c>
      <c r="E1436" t="s">
        <v>45</v>
      </c>
      <c r="F1436" t="s">
        <v>28</v>
      </c>
      <c r="G1436" t="s">
        <v>29</v>
      </c>
      <c r="H1436" t="s">
        <v>67</v>
      </c>
      <c r="I1436">
        <v>11</v>
      </c>
      <c r="J1436" t="s">
        <v>2950</v>
      </c>
      <c r="K1436">
        <v>51</v>
      </c>
      <c r="L1436" t="s">
        <v>80</v>
      </c>
      <c r="M1436">
        <v>5</v>
      </c>
      <c r="N1436" t="s">
        <v>33</v>
      </c>
      <c r="O1436" t="s">
        <v>69</v>
      </c>
      <c r="P1436" t="s">
        <v>82</v>
      </c>
      <c r="Q1436" s="2">
        <v>47128.62</v>
      </c>
      <c r="R1436" s="2">
        <v>1549.87</v>
      </c>
      <c r="S1436" t="s">
        <v>51</v>
      </c>
      <c r="T1436" t="s">
        <v>71</v>
      </c>
      <c r="U1436" t="s">
        <v>38</v>
      </c>
      <c r="V1436">
        <v>4.5</v>
      </c>
      <c r="W1436" t="s">
        <v>103</v>
      </c>
      <c r="X1436" t="s">
        <v>40</v>
      </c>
      <c r="Y1436" t="s">
        <v>72</v>
      </c>
    </row>
    <row r="1437" spans="1:25" x14ac:dyDescent="0.3">
      <c r="A1437" t="s">
        <v>2951</v>
      </c>
      <c r="B1437" s="1">
        <v>46361</v>
      </c>
      <c r="C1437" t="s">
        <v>26</v>
      </c>
      <c r="D1437" t="s">
        <v>26</v>
      </c>
      <c r="E1437" t="s">
        <v>4085</v>
      </c>
      <c r="F1437" t="s">
        <v>60</v>
      </c>
      <c r="G1437" t="s">
        <v>29</v>
      </c>
      <c r="H1437" t="s">
        <v>46</v>
      </c>
      <c r="I1437">
        <v>7</v>
      </c>
      <c r="J1437" t="s">
        <v>2952</v>
      </c>
      <c r="K1437">
        <v>34</v>
      </c>
      <c r="L1437" t="s">
        <v>80</v>
      </c>
      <c r="M1437">
        <v>2</v>
      </c>
      <c r="N1437" t="s">
        <v>48</v>
      </c>
      <c r="O1437" t="s">
        <v>49</v>
      </c>
      <c r="P1437" t="s">
        <v>82</v>
      </c>
      <c r="Q1437" s="2">
        <v>41464.959999999999</v>
      </c>
      <c r="R1437" s="2">
        <v>808.39</v>
      </c>
      <c r="S1437" t="s">
        <v>51</v>
      </c>
      <c r="T1437" t="s">
        <v>37</v>
      </c>
      <c r="U1437" t="s">
        <v>83</v>
      </c>
      <c r="V1437">
        <v>2.7</v>
      </c>
      <c r="W1437" t="s">
        <v>76</v>
      </c>
      <c r="X1437" t="s">
        <v>106</v>
      </c>
      <c r="Y1437" t="s">
        <v>41</v>
      </c>
    </row>
    <row r="1438" spans="1:25" x14ac:dyDescent="0.3">
      <c r="A1438" t="s">
        <v>2953</v>
      </c>
      <c r="B1438" s="1">
        <v>46362</v>
      </c>
      <c r="C1438" t="s">
        <v>43</v>
      </c>
      <c r="D1438" t="s">
        <v>58</v>
      </c>
      <c r="E1438" t="s">
        <v>89</v>
      </c>
      <c r="F1438" t="s">
        <v>28</v>
      </c>
      <c r="G1438" t="s">
        <v>29</v>
      </c>
      <c r="H1438" t="s">
        <v>61</v>
      </c>
      <c r="I1438">
        <v>8</v>
      </c>
      <c r="J1438" t="s">
        <v>2954</v>
      </c>
      <c r="K1438">
        <v>54</v>
      </c>
      <c r="L1438" t="s">
        <v>63</v>
      </c>
      <c r="M1438">
        <v>3</v>
      </c>
      <c r="N1438" t="s">
        <v>33</v>
      </c>
      <c r="O1438" t="s">
        <v>49</v>
      </c>
      <c r="P1438" t="s">
        <v>70</v>
      </c>
      <c r="Q1438" s="2">
        <v>12030.81</v>
      </c>
      <c r="R1438" s="2">
        <v>3055.82</v>
      </c>
      <c r="S1438" t="s">
        <v>51</v>
      </c>
      <c r="T1438" t="s">
        <v>37</v>
      </c>
      <c r="U1438" t="s">
        <v>83</v>
      </c>
      <c r="V1438">
        <v>2.4</v>
      </c>
      <c r="W1438" t="s">
        <v>76</v>
      </c>
      <c r="X1438" t="s">
        <v>65</v>
      </c>
      <c r="Y1438" t="s">
        <v>41</v>
      </c>
    </row>
    <row r="1439" spans="1:25" x14ac:dyDescent="0.3">
      <c r="A1439" t="s">
        <v>2955</v>
      </c>
      <c r="B1439" s="1">
        <v>46363</v>
      </c>
      <c r="C1439" t="s">
        <v>43</v>
      </c>
      <c r="D1439" t="s">
        <v>58</v>
      </c>
      <c r="E1439" t="s">
        <v>45</v>
      </c>
      <c r="F1439" t="s">
        <v>28</v>
      </c>
      <c r="G1439" t="s">
        <v>29</v>
      </c>
      <c r="H1439" t="s">
        <v>67</v>
      </c>
      <c r="I1439">
        <v>13</v>
      </c>
      <c r="J1439" t="s">
        <v>2956</v>
      </c>
      <c r="K1439">
        <v>55</v>
      </c>
      <c r="L1439" t="s">
        <v>80</v>
      </c>
      <c r="M1439">
        <v>2</v>
      </c>
      <c r="N1439" t="s">
        <v>64</v>
      </c>
      <c r="O1439" t="s">
        <v>34</v>
      </c>
      <c r="P1439" t="s">
        <v>82</v>
      </c>
      <c r="Q1439" s="2">
        <v>22503.13</v>
      </c>
      <c r="R1439" s="2">
        <v>3331.31</v>
      </c>
      <c r="S1439" t="s">
        <v>36</v>
      </c>
      <c r="T1439" t="s">
        <v>71</v>
      </c>
      <c r="U1439" t="s">
        <v>83</v>
      </c>
      <c r="V1439">
        <v>3</v>
      </c>
      <c r="W1439" t="s">
        <v>76</v>
      </c>
      <c r="X1439" t="s">
        <v>106</v>
      </c>
      <c r="Y1439" t="s">
        <v>72</v>
      </c>
    </row>
    <row r="1440" spans="1:25" x14ac:dyDescent="0.3">
      <c r="A1440" t="s">
        <v>2957</v>
      </c>
      <c r="B1440" s="1">
        <v>46364</v>
      </c>
      <c r="C1440" t="s">
        <v>117</v>
      </c>
      <c r="D1440" t="s">
        <v>4083</v>
      </c>
      <c r="E1440" t="s">
        <v>89</v>
      </c>
      <c r="F1440" t="s">
        <v>28</v>
      </c>
      <c r="G1440" t="s">
        <v>29</v>
      </c>
      <c r="H1440" t="s">
        <v>61</v>
      </c>
      <c r="I1440">
        <v>11</v>
      </c>
      <c r="J1440" t="s">
        <v>2958</v>
      </c>
      <c r="K1440">
        <v>43</v>
      </c>
      <c r="L1440" t="s">
        <v>80</v>
      </c>
      <c r="M1440">
        <v>6</v>
      </c>
      <c r="N1440" t="s">
        <v>33</v>
      </c>
      <c r="O1440" t="s">
        <v>49</v>
      </c>
      <c r="P1440" t="s">
        <v>50</v>
      </c>
      <c r="Q1440" s="2">
        <v>35081.839999999997</v>
      </c>
      <c r="R1440" s="2">
        <v>3347.99</v>
      </c>
      <c r="S1440" t="s">
        <v>36</v>
      </c>
      <c r="T1440" t="s">
        <v>37</v>
      </c>
      <c r="U1440" t="s">
        <v>75</v>
      </c>
      <c r="V1440">
        <v>1.2</v>
      </c>
      <c r="W1440" t="s">
        <v>124</v>
      </c>
      <c r="X1440" t="s">
        <v>65</v>
      </c>
      <c r="Y1440" t="s">
        <v>41</v>
      </c>
    </row>
    <row r="1441" spans="1:25" x14ac:dyDescent="0.3">
      <c r="A1441" t="s">
        <v>2959</v>
      </c>
      <c r="B1441" s="1">
        <v>46365</v>
      </c>
      <c r="C1441" t="s">
        <v>78</v>
      </c>
      <c r="D1441" t="s">
        <v>58</v>
      </c>
      <c r="E1441" t="s">
        <v>4085</v>
      </c>
      <c r="F1441" t="s">
        <v>60</v>
      </c>
      <c r="G1441" t="s">
        <v>29</v>
      </c>
      <c r="H1441" t="s">
        <v>46</v>
      </c>
      <c r="I1441">
        <v>11</v>
      </c>
      <c r="J1441" t="s">
        <v>2960</v>
      </c>
      <c r="K1441">
        <v>41</v>
      </c>
      <c r="L1441" t="s">
        <v>80</v>
      </c>
      <c r="M1441">
        <v>6</v>
      </c>
      <c r="N1441" t="s">
        <v>91</v>
      </c>
      <c r="O1441" t="s">
        <v>81</v>
      </c>
      <c r="P1441" t="s">
        <v>70</v>
      </c>
      <c r="Q1441" s="2">
        <v>47228.27</v>
      </c>
      <c r="R1441" s="2">
        <v>1101.44</v>
      </c>
      <c r="S1441" t="s">
        <v>51</v>
      </c>
      <c r="T1441" t="s">
        <v>71</v>
      </c>
      <c r="U1441" t="s">
        <v>75</v>
      </c>
      <c r="V1441">
        <v>1.6</v>
      </c>
      <c r="W1441" t="s">
        <v>124</v>
      </c>
      <c r="X1441" t="s">
        <v>65</v>
      </c>
      <c r="Y1441" t="s">
        <v>72</v>
      </c>
    </row>
    <row r="1442" spans="1:25" x14ac:dyDescent="0.3">
      <c r="A1442" t="s">
        <v>2961</v>
      </c>
      <c r="B1442" s="1">
        <v>46366</v>
      </c>
      <c r="C1442" t="s">
        <v>43</v>
      </c>
      <c r="D1442" t="s">
        <v>58</v>
      </c>
      <c r="E1442" t="s">
        <v>4084</v>
      </c>
      <c r="F1442" t="s">
        <v>60</v>
      </c>
      <c r="G1442" t="s">
        <v>29</v>
      </c>
      <c r="H1442" t="s">
        <v>27</v>
      </c>
      <c r="I1442">
        <v>10</v>
      </c>
      <c r="J1442" t="s">
        <v>2962</v>
      </c>
      <c r="K1442">
        <v>56</v>
      </c>
      <c r="L1442" t="s">
        <v>63</v>
      </c>
      <c r="M1442">
        <v>3</v>
      </c>
      <c r="N1442" t="s">
        <v>33</v>
      </c>
      <c r="O1442" t="s">
        <v>81</v>
      </c>
      <c r="P1442" t="s">
        <v>35</v>
      </c>
      <c r="Q1442" s="2">
        <v>49447.21</v>
      </c>
      <c r="R1442" s="2">
        <v>2976.69</v>
      </c>
      <c r="S1442" t="s">
        <v>51</v>
      </c>
      <c r="T1442" t="s">
        <v>71</v>
      </c>
      <c r="U1442" t="s">
        <v>53</v>
      </c>
      <c r="V1442">
        <v>1.9</v>
      </c>
      <c r="W1442" t="s">
        <v>124</v>
      </c>
      <c r="X1442" t="s">
        <v>65</v>
      </c>
      <c r="Y1442" t="s">
        <v>41</v>
      </c>
    </row>
    <row r="1443" spans="1:25" x14ac:dyDescent="0.3">
      <c r="A1443" t="s">
        <v>2963</v>
      </c>
      <c r="B1443" s="1">
        <v>46367</v>
      </c>
      <c r="C1443" t="s">
        <v>43</v>
      </c>
      <c r="D1443" t="s">
        <v>58</v>
      </c>
      <c r="E1443" t="s">
        <v>4084</v>
      </c>
      <c r="F1443" t="s">
        <v>60</v>
      </c>
      <c r="G1443" t="s">
        <v>29</v>
      </c>
      <c r="H1443" t="s">
        <v>27</v>
      </c>
      <c r="I1443">
        <v>11</v>
      </c>
      <c r="J1443" t="s">
        <v>2964</v>
      </c>
      <c r="K1443">
        <v>38</v>
      </c>
      <c r="L1443" t="s">
        <v>80</v>
      </c>
      <c r="M1443">
        <v>4</v>
      </c>
      <c r="N1443" t="s">
        <v>33</v>
      </c>
      <c r="O1443" t="s">
        <v>34</v>
      </c>
      <c r="P1443" t="s">
        <v>70</v>
      </c>
      <c r="Q1443" s="2">
        <v>39343.39</v>
      </c>
      <c r="R1443" s="2">
        <v>4527.03</v>
      </c>
      <c r="S1443" t="s">
        <v>94</v>
      </c>
      <c r="T1443" t="s">
        <v>71</v>
      </c>
      <c r="U1443" t="s">
        <v>38</v>
      </c>
      <c r="V1443">
        <v>4.3</v>
      </c>
      <c r="W1443" t="s">
        <v>54</v>
      </c>
      <c r="X1443" t="s">
        <v>65</v>
      </c>
      <c r="Y1443" t="s">
        <v>72</v>
      </c>
    </row>
    <row r="1444" spans="1:25" x14ac:dyDescent="0.3">
      <c r="A1444" t="s">
        <v>2965</v>
      </c>
      <c r="B1444" s="1">
        <v>46368</v>
      </c>
      <c r="C1444" t="s">
        <v>57</v>
      </c>
      <c r="D1444" t="s">
        <v>44</v>
      </c>
      <c r="E1444" t="s">
        <v>4085</v>
      </c>
      <c r="F1444" t="s">
        <v>60</v>
      </c>
      <c r="G1444" t="s">
        <v>29</v>
      </c>
      <c r="H1444" t="s">
        <v>46</v>
      </c>
      <c r="I1444">
        <v>6</v>
      </c>
      <c r="J1444" t="s">
        <v>2966</v>
      </c>
      <c r="K1444">
        <v>47</v>
      </c>
      <c r="L1444" t="s">
        <v>32</v>
      </c>
      <c r="M1444">
        <v>6</v>
      </c>
      <c r="N1444" t="s">
        <v>48</v>
      </c>
      <c r="O1444" t="s">
        <v>69</v>
      </c>
      <c r="P1444" t="s">
        <v>82</v>
      </c>
      <c r="Q1444" s="2">
        <v>30819.62</v>
      </c>
      <c r="R1444" s="2">
        <v>1765.94</v>
      </c>
      <c r="S1444" t="s">
        <v>94</v>
      </c>
      <c r="T1444" t="s">
        <v>52</v>
      </c>
      <c r="U1444" t="s">
        <v>38</v>
      </c>
      <c r="V1444">
        <v>3.9</v>
      </c>
      <c r="W1444" t="s">
        <v>54</v>
      </c>
      <c r="X1444" t="s">
        <v>84</v>
      </c>
      <c r="Y1444" t="s">
        <v>41</v>
      </c>
    </row>
    <row r="1445" spans="1:25" x14ac:dyDescent="0.3">
      <c r="A1445" t="s">
        <v>2967</v>
      </c>
      <c r="B1445" s="1">
        <v>46369</v>
      </c>
      <c r="C1445" t="s">
        <v>78</v>
      </c>
      <c r="D1445" t="s">
        <v>58</v>
      </c>
      <c r="E1445" t="s">
        <v>89</v>
      </c>
      <c r="F1445" t="s">
        <v>28</v>
      </c>
      <c r="G1445" t="s">
        <v>29</v>
      </c>
      <c r="H1445" t="s">
        <v>61</v>
      </c>
      <c r="I1445">
        <v>8</v>
      </c>
      <c r="J1445" t="s">
        <v>2968</v>
      </c>
      <c r="K1445">
        <v>64</v>
      </c>
      <c r="L1445" t="s">
        <v>63</v>
      </c>
      <c r="M1445">
        <v>3</v>
      </c>
      <c r="N1445" t="s">
        <v>48</v>
      </c>
      <c r="O1445" t="s">
        <v>49</v>
      </c>
      <c r="P1445" t="s">
        <v>35</v>
      </c>
      <c r="Q1445" s="2">
        <v>39047.440000000002</v>
      </c>
      <c r="R1445" s="2">
        <v>1053.83</v>
      </c>
      <c r="S1445" t="s">
        <v>115</v>
      </c>
      <c r="T1445" t="s">
        <v>71</v>
      </c>
      <c r="U1445" t="s">
        <v>53</v>
      </c>
      <c r="V1445">
        <v>1.8</v>
      </c>
      <c r="W1445" t="s">
        <v>124</v>
      </c>
      <c r="X1445" t="s">
        <v>65</v>
      </c>
      <c r="Y1445" t="s">
        <v>72</v>
      </c>
    </row>
    <row r="1446" spans="1:25" x14ac:dyDescent="0.3">
      <c r="A1446" t="s">
        <v>2969</v>
      </c>
      <c r="B1446" s="1">
        <v>46370</v>
      </c>
      <c r="C1446" t="s">
        <v>57</v>
      </c>
      <c r="D1446" t="s">
        <v>44</v>
      </c>
      <c r="E1446" t="s">
        <v>45</v>
      </c>
      <c r="F1446" t="s">
        <v>28</v>
      </c>
      <c r="G1446" t="s">
        <v>29</v>
      </c>
      <c r="H1446" t="s">
        <v>67</v>
      </c>
      <c r="I1446">
        <v>7</v>
      </c>
      <c r="J1446" t="s">
        <v>2970</v>
      </c>
      <c r="K1446">
        <v>68</v>
      </c>
      <c r="L1446" t="s">
        <v>32</v>
      </c>
      <c r="M1446">
        <v>6</v>
      </c>
      <c r="N1446" t="s">
        <v>91</v>
      </c>
      <c r="O1446" t="s">
        <v>34</v>
      </c>
      <c r="P1446" t="s">
        <v>70</v>
      </c>
      <c r="Q1446" s="2">
        <v>17295.64</v>
      </c>
      <c r="R1446" s="2">
        <v>3860.75</v>
      </c>
      <c r="S1446" t="s">
        <v>94</v>
      </c>
      <c r="T1446" t="s">
        <v>71</v>
      </c>
      <c r="U1446" t="s">
        <v>38</v>
      </c>
      <c r="V1446">
        <v>2.1</v>
      </c>
      <c r="W1446" t="s">
        <v>76</v>
      </c>
      <c r="X1446" t="s">
        <v>84</v>
      </c>
      <c r="Y1446" t="s">
        <v>41</v>
      </c>
    </row>
    <row r="1447" spans="1:25" x14ac:dyDescent="0.3">
      <c r="A1447" t="s">
        <v>2971</v>
      </c>
      <c r="B1447" s="1">
        <v>46371</v>
      </c>
      <c r="C1447" t="s">
        <v>78</v>
      </c>
      <c r="D1447" t="s">
        <v>58</v>
      </c>
      <c r="E1447" t="s">
        <v>4085</v>
      </c>
      <c r="F1447" t="s">
        <v>60</v>
      </c>
      <c r="G1447" t="s">
        <v>29</v>
      </c>
      <c r="H1447" t="s">
        <v>59</v>
      </c>
      <c r="I1447">
        <v>7</v>
      </c>
      <c r="J1447" t="s">
        <v>2972</v>
      </c>
      <c r="K1447">
        <v>65</v>
      </c>
      <c r="L1447" t="s">
        <v>32</v>
      </c>
      <c r="M1447">
        <v>5</v>
      </c>
      <c r="N1447" t="s">
        <v>64</v>
      </c>
      <c r="O1447" t="s">
        <v>69</v>
      </c>
      <c r="P1447" t="s">
        <v>82</v>
      </c>
      <c r="Q1447" s="2">
        <v>17762.14</v>
      </c>
      <c r="R1447" s="2">
        <v>884.41</v>
      </c>
      <c r="S1447" t="s">
        <v>115</v>
      </c>
      <c r="T1447" t="s">
        <v>71</v>
      </c>
      <c r="U1447" t="s">
        <v>38</v>
      </c>
      <c r="V1447">
        <v>4.8</v>
      </c>
      <c r="W1447" t="s">
        <v>103</v>
      </c>
      <c r="X1447" t="s">
        <v>55</v>
      </c>
      <c r="Y1447" t="s">
        <v>72</v>
      </c>
    </row>
    <row r="1448" spans="1:25" x14ac:dyDescent="0.3">
      <c r="A1448" t="s">
        <v>2973</v>
      </c>
      <c r="B1448" s="1">
        <v>46372</v>
      </c>
      <c r="C1448" t="s">
        <v>57</v>
      </c>
      <c r="D1448" t="s">
        <v>44</v>
      </c>
      <c r="E1448" t="s">
        <v>120</v>
      </c>
      <c r="F1448" t="s">
        <v>28</v>
      </c>
      <c r="G1448" t="s">
        <v>29</v>
      </c>
      <c r="H1448" t="s">
        <v>86</v>
      </c>
      <c r="I1448">
        <v>6</v>
      </c>
      <c r="J1448" t="s">
        <v>2974</v>
      </c>
      <c r="K1448">
        <v>30</v>
      </c>
      <c r="L1448" t="s">
        <v>63</v>
      </c>
      <c r="M1448">
        <v>6</v>
      </c>
      <c r="N1448" t="s">
        <v>64</v>
      </c>
      <c r="O1448" t="s">
        <v>34</v>
      </c>
      <c r="P1448" t="s">
        <v>70</v>
      </c>
      <c r="Q1448" s="2">
        <v>34445.72</v>
      </c>
      <c r="R1448" s="2">
        <v>1268.74</v>
      </c>
      <c r="S1448" t="s">
        <v>115</v>
      </c>
      <c r="T1448" t="s">
        <v>37</v>
      </c>
      <c r="U1448" t="s">
        <v>83</v>
      </c>
      <c r="V1448">
        <v>1.3</v>
      </c>
      <c r="W1448" t="s">
        <v>124</v>
      </c>
      <c r="X1448" t="s">
        <v>84</v>
      </c>
      <c r="Y1448" t="s">
        <v>72</v>
      </c>
    </row>
    <row r="1449" spans="1:25" x14ac:dyDescent="0.3">
      <c r="A1449" t="s">
        <v>2975</v>
      </c>
      <c r="B1449" s="1">
        <v>46373</v>
      </c>
      <c r="C1449" t="s">
        <v>43</v>
      </c>
      <c r="D1449" t="s">
        <v>58</v>
      </c>
      <c r="E1449" t="s">
        <v>89</v>
      </c>
      <c r="F1449" t="s">
        <v>28</v>
      </c>
      <c r="G1449" t="s">
        <v>29</v>
      </c>
      <c r="H1449" t="s">
        <v>61</v>
      </c>
      <c r="I1449">
        <v>4</v>
      </c>
      <c r="J1449" t="s">
        <v>2976</v>
      </c>
      <c r="K1449">
        <v>54</v>
      </c>
      <c r="L1449" t="s">
        <v>32</v>
      </c>
      <c r="M1449">
        <v>1</v>
      </c>
      <c r="N1449" t="s">
        <v>33</v>
      </c>
      <c r="O1449" t="s">
        <v>69</v>
      </c>
      <c r="P1449" t="s">
        <v>50</v>
      </c>
      <c r="Q1449" s="2">
        <v>44232.6</v>
      </c>
      <c r="R1449" s="2">
        <v>503.22</v>
      </c>
      <c r="S1449" t="s">
        <v>115</v>
      </c>
      <c r="T1449" t="s">
        <v>71</v>
      </c>
      <c r="U1449" t="s">
        <v>83</v>
      </c>
      <c r="V1449">
        <v>3.2</v>
      </c>
      <c r="W1449" t="s">
        <v>76</v>
      </c>
      <c r="X1449" t="s">
        <v>65</v>
      </c>
      <c r="Y1449" t="s">
        <v>72</v>
      </c>
    </row>
    <row r="1450" spans="1:25" x14ac:dyDescent="0.3">
      <c r="A1450" t="s">
        <v>2977</v>
      </c>
      <c r="B1450" s="1">
        <v>46374</v>
      </c>
      <c r="C1450" t="s">
        <v>43</v>
      </c>
      <c r="D1450" t="s">
        <v>58</v>
      </c>
      <c r="E1450" t="s">
        <v>4084</v>
      </c>
      <c r="F1450" t="s">
        <v>60</v>
      </c>
      <c r="G1450" t="s">
        <v>29</v>
      </c>
      <c r="H1450" t="s">
        <v>27</v>
      </c>
      <c r="I1450">
        <v>14</v>
      </c>
      <c r="J1450" t="s">
        <v>2978</v>
      </c>
      <c r="K1450">
        <v>20</v>
      </c>
      <c r="L1450" t="s">
        <v>63</v>
      </c>
      <c r="M1450">
        <v>3</v>
      </c>
      <c r="N1450" t="s">
        <v>64</v>
      </c>
      <c r="O1450" t="s">
        <v>49</v>
      </c>
      <c r="P1450" t="s">
        <v>82</v>
      </c>
      <c r="Q1450" s="2">
        <v>48641.43</v>
      </c>
      <c r="R1450" s="2">
        <v>1339.37</v>
      </c>
      <c r="S1450" t="s">
        <v>36</v>
      </c>
      <c r="T1450" t="s">
        <v>52</v>
      </c>
      <c r="U1450" t="s">
        <v>38</v>
      </c>
      <c r="V1450">
        <v>3.1</v>
      </c>
      <c r="W1450" t="s">
        <v>39</v>
      </c>
      <c r="X1450" t="s">
        <v>55</v>
      </c>
      <c r="Y1450" t="s">
        <v>72</v>
      </c>
    </row>
    <row r="1451" spans="1:25" x14ac:dyDescent="0.3">
      <c r="A1451" t="s">
        <v>2979</v>
      </c>
      <c r="B1451" s="1">
        <v>46375</v>
      </c>
      <c r="C1451" t="s">
        <v>117</v>
      </c>
      <c r="D1451" t="s">
        <v>4083</v>
      </c>
      <c r="E1451" t="s">
        <v>4085</v>
      </c>
      <c r="F1451" t="s">
        <v>60</v>
      </c>
      <c r="G1451" t="s">
        <v>29</v>
      </c>
      <c r="H1451" t="s">
        <v>59</v>
      </c>
      <c r="I1451">
        <v>8</v>
      </c>
      <c r="J1451" t="s">
        <v>2980</v>
      </c>
      <c r="K1451">
        <v>49</v>
      </c>
      <c r="L1451" t="s">
        <v>32</v>
      </c>
      <c r="M1451">
        <v>7</v>
      </c>
      <c r="N1451" t="s">
        <v>48</v>
      </c>
      <c r="O1451" t="s">
        <v>34</v>
      </c>
      <c r="P1451" t="s">
        <v>50</v>
      </c>
      <c r="Q1451" s="2">
        <v>20360.060000000001</v>
      </c>
      <c r="R1451" s="2">
        <v>2051.6799999999998</v>
      </c>
      <c r="S1451" t="s">
        <v>94</v>
      </c>
      <c r="T1451" t="s">
        <v>52</v>
      </c>
      <c r="U1451" t="s">
        <v>53</v>
      </c>
      <c r="V1451">
        <v>3.9</v>
      </c>
      <c r="W1451" t="s">
        <v>54</v>
      </c>
      <c r="X1451" t="s">
        <v>106</v>
      </c>
      <c r="Y1451" t="s">
        <v>41</v>
      </c>
    </row>
    <row r="1452" spans="1:25" x14ac:dyDescent="0.3">
      <c r="A1452" t="s">
        <v>2981</v>
      </c>
      <c r="B1452" s="1">
        <v>46376</v>
      </c>
      <c r="C1452" t="s">
        <v>57</v>
      </c>
      <c r="D1452" t="s">
        <v>44</v>
      </c>
      <c r="E1452" t="s">
        <v>4084</v>
      </c>
      <c r="F1452" t="s">
        <v>60</v>
      </c>
      <c r="G1452" t="s">
        <v>29</v>
      </c>
      <c r="H1452" t="s">
        <v>30</v>
      </c>
      <c r="I1452">
        <v>11</v>
      </c>
      <c r="J1452" t="s">
        <v>2982</v>
      </c>
      <c r="K1452">
        <v>52</v>
      </c>
      <c r="L1452" t="s">
        <v>63</v>
      </c>
      <c r="M1452">
        <v>2</v>
      </c>
      <c r="N1452" t="s">
        <v>91</v>
      </c>
      <c r="O1452" t="s">
        <v>49</v>
      </c>
      <c r="P1452" t="s">
        <v>82</v>
      </c>
      <c r="Q1452" s="2">
        <v>40844.910000000003</v>
      </c>
      <c r="R1452" s="2">
        <v>320.79000000000002</v>
      </c>
      <c r="S1452" t="s">
        <v>51</v>
      </c>
      <c r="T1452" t="s">
        <v>71</v>
      </c>
      <c r="U1452" t="s">
        <v>53</v>
      </c>
      <c r="V1452">
        <v>2</v>
      </c>
      <c r="W1452" t="s">
        <v>76</v>
      </c>
      <c r="X1452" t="s">
        <v>84</v>
      </c>
      <c r="Y1452" t="s">
        <v>72</v>
      </c>
    </row>
    <row r="1453" spans="1:25" x14ac:dyDescent="0.3">
      <c r="A1453" t="s">
        <v>2983</v>
      </c>
      <c r="B1453" s="1">
        <v>46377</v>
      </c>
      <c r="C1453" t="s">
        <v>26</v>
      </c>
      <c r="D1453" t="s">
        <v>26</v>
      </c>
      <c r="E1453" t="s">
        <v>89</v>
      </c>
      <c r="F1453" t="s">
        <v>28</v>
      </c>
      <c r="G1453" t="s">
        <v>29</v>
      </c>
      <c r="H1453" t="s">
        <v>61</v>
      </c>
      <c r="I1453">
        <v>14</v>
      </c>
      <c r="J1453" t="s">
        <v>2984</v>
      </c>
      <c r="K1453">
        <v>36</v>
      </c>
      <c r="L1453" t="s">
        <v>80</v>
      </c>
      <c r="M1453">
        <v>3</v>
      </c>
      <c r="N1453" t="s">
        <v>91</v>
      </c>
      <c r="O1453" t="s">
        <v>34</v>
      </c>
      <c r="P1453" t="s">
        <v>50</v>
      </c>
      <c r="Q1453" s="2">
        <v>43318.89</v>
      </c>
      <c r="R1453" s="2">
        <v>4358.54</v>
      </c>
      <c r="S1453" t="s">
        <v>115</v>
      </c>
      <c r="T1453" t="s">
        <v>71</v>
      </c>
      <c r="U1453" t="s">
        <v>38</v>
      </c>
      <c r="V1453">
        <v>4.7</v>
      </c>
      <c r="W1453" t="s">
        <v>103</v>
      </c>
      <c r="X1453" t="s">
        <v>106</v>
      </c>
      <c r="Y1453" t="s">
        <v>41</v>
      </c>
    </row>
    <row r="1454" spans="1:25" x14ac:dyDescent="0.3">
      <c r="A1454" t="s">
        <v>2985</v>
      </c>
      <c r="B1454" s="1">
        <v>46378</v>
      </c>
      <c r="C1454" t="s">
        <v>117</v>
      </c>
      <c r="D1454" t="s">
        <v>4083</v>
      </c>
      <c r="E1454" t="s">
        <v>4084</v>
      </c>
      <c r="F1454" t="s">
        <v>60</v>
      </c>
      <c r="G1454" t="s">
        <v>29</v>
      </c>
      <c r="H1454" t="s">
        <v>27</v>
      </c>
      <c r="I1454">
        <v>3</v>
      </c>
      <c r="J1454" t="s">
        <v>2986</v>
      </c>
      <c r="K1454">
        <v>31</v>
      </c>
      <c r="L1454" t="s">
        <v>80</v>
      </c>
      <c r="M1454">
        <v>4</v>
      </c>
      <c r="N1454" t="s">
        <v>48</v>
      </c>
      <c r="O1454" t="s">
        <v>69</v>
      </c>
      <c r="P1454" t="s">
        <v>35</v>
      </c>
      <c r="Q1454" s="2">
        <v>33042.800000000003</v>
      </c>
      <c r="R1454" s="2">
        <v>2568.37</v>
      </c>
      <c r="S1454" t="s">
        <v>51</v>
      </c>
      <c r="T1454" t="s">
        <v>71</v>
      </c>
      <c r="U1454" t="s">
        <v>53</v>
      </c>
      <c r="V1454">
        <v>2.6</v>
      </c>
      <c r="W1454" t="s">
        <v>76</v>
      </c>
      <c r="X1454" t="s">
        <v>55</v>
      </c>
      <c r="Y1454" t="s">
        <v>41</v>
      </c>
    </row>
    <row r="1455" spans="1:25" x14ac:dyDescent="0.3">
      <c r="A1455" t="s">
        <v>2987</v>
      </c>
      <c r="B1455" s="1">
        <v>46379</v>
      </c>
      <c r="C1455" t="s">
        <v>57</v>
      </c>
      <c r="D1455" t="s">
        <v>44</v>
      </c>
      <c r="E1455" t="s">
        <v>4085</v>
      </c>
      <c r="F1455" t="s">
        <v>60</v>
      </c>
      <c r="G1455" t="s">
        <v>29</v>
      </c>
      <c r="H1455" t="s">
        <v>46</v>
      </c>
      <c r="I1455">
        <v>9</v>
      </c>
      <c r="J1455" t="s">
        <v>2988</v>
      </c>
      <c r="K1455">
        <v>65</v>
      </c>
      <c r="L1455" t="s">
        <v>32</v>
      </c>
      <c r="M1455">
        <v>6</v>
      </c>
      <c r="N1455" t="s">
        <v>91</v>
      </c>
      <c r="O1455" t="s">
        <v>34</v>
      </c>
      <c r="P1455" t="s">
        <v>50</v>
      </c>
      <c r="Q1455" s="2">
        <v>20641.63</v>
      </c>
      <c r="R1455" s="2">
        <v>2940.52</v>
      </c>
      <c r="S1455" t="s">
        <v>115</v>
      </c>
      <c r="T1455" t="s">
        <v>52</v>
      </c>
      <c r="U1455" t="s">
        <v>53</v>
      </c>
      <c r="V1455">
        <v>2.1</v>
      </c>
      <c r="W1455" t="s">
        <v>76</v>
      </c>
      <c r="X1455" t="s">
        <v>84</v>
      </c>
      <c r="Y1455" t="s">
        <v>41</v>
      </c>
    </row>
    <row r="1456" spans="1:25" x14ac:dyDescent="0.3">
      <c r="A1456" t="s">
        <v>2989</v>
      </c>
      <c r="B1456" s="1">
        <v>46380</v>
      </c>
      <c r="C1456" t="s">
        <v>57</v>
      </c>
      <c r="D1456" t="s">
        <v>44</v>
      </c>
      <c r="E1456" t="s">
        <v>89</v>
      </c>
      <c r="F1456" t="s">
        <v>28</v>
      </c>
      <c r="G1456" t="s">
        <v>29</v>
      </c>
      <c r="H1456" t="s">
        <v>61</v>
      </c>
      <c r="I1456">
        <v>8</v>
      </c>
      <c r="J1456" t="s">
        <v>2990</v>
      </c>
      <c r="K1456">
        <v>39</v>
      </c>
      <c r="L1456" t="s">
        <v>80</v>
      </c>
      <c r="M1456">
        <v>3</v>
      </c>
      <c r="N1456" t="s">
        <v>33</v>
      </c>
      <c r="O1456" t="s">
        <v>81</v>
      </c>
      <c r="P1456" t="s">
        <v>70</v>
      </c>
      <c r="Q1456" s="2">
        <v>32858.99</v>
      </c>
      <c r="R1456" s="2">
        <v>1856.43</v>
      </c>
      <c r="S1456" t="s">
        <v>94</v>
      </c>
      <c r="T1456" t="s">
        <v>37</v>
      </c>
      <c r="U1456" t="s">
        <v>83</v>
      </c>
      <c r="V1456">
        <v>2.2999999999999998</v>
      </c>
      <c r="W1456" t="s">
        <v>76</v>
      </c>
      <c r="X1456" t="s">
        <v>65</v>
      </c>
      <c r="Y1456" t="s">
        <v>41</v>
      </c>
    </row>
    <row r="1457" spans="1:25" x14ac:dyDescent="0.3">
      <c r="A1457" t="s">
        <v>2991</v>
      </c>
      <c r="B1457" s="1">
        <v>46381</v>
      </c>
      <c r="C1457" t="s">
        <v>117</v>
      </c>
      <c r="D1457" t="s">
        <v>4083</v>
      </c>
      <c r="E1457" t="s">
        <v>120</v>
      </c>
      <c r="F1457" t="s">
        <v>28</v>
      </c>
      <c r="G1457" t="s">
        <v>29</v>
      </c>
      <c r="H1457" t="s">
        <v>86</v>
      </c>
      <c r="I1457">
        <v>5</v>
      </c>
      <c r="J1457" t="s">
        <v>2992</v>
      </c>
      <c r="K1457">
        <v>34</v>
      </c>
      <c r="L1457" t="s">
        <v>63</v>
      </c>
      <c r="M1457">
        <v>5</v>
      </c>
      <c r="N1457" t="s">
        <v>91</v>
      </c>
      <c r="O1457" t="s">
        <v>81</v>
      </c>
      <c r="P1457" t="s">
        <v>82</v>
      </c>
      <c r="Q1457" s="2">
        <v>31300.2</v>
      </c>
      <c r="R1457" s="2">
        <v>3349.18</v>
      </c>
      <c r="S1457" t="s">
        <v>115</v>
      </c>
      <c r="T1457" t="s">
        <v>37</v>
      </c>
      <c r="U1457" t="s">
        <v>53</v>
      </c>
      <c r="V1457">
        <v>2.4</v>
      </c>
      <c r="W1457" t="s">
        <v>76</v>
      </c>
      <c r="X1457" t="s">
        <v>84</v>
      </c>
      <c r="Y1457" t="s">
        <v>41</v>
      </c>
    </row>
    <row r="1458" spans="1:25" x14ac:dyDescent="0.3">
      <c r="A1458" t="s">
        <v>2993</v>
      </c>
      <c r="B1458" s="1">
        <v>46382</v>
      </c>
      <c r="C1458" t="s">
        <v>43</v>
      </c>
      <c r="D1458" t="s">
        <v>58</v>
      </c>
      <c r="E1458" t="s">
        <v>4085</v>
      </c>
      <c r="F1458" t="s">
        <v>60</v>
      </c>
      <c r="G1458" t="s">
        <v>29</v>
      </c>
      <c r="H1458" t="s">
        <v>59</v>
      </c>
      <c r="I1458">
        <v>3</v>
      </c>
      <c r="J1458" t="s">
        <v>2994</v>
      </c>
      <c r="K1458">
        <v>21</v>
      </c>
      <c r="L1458" t="s">
        <v>32</v>
      </c>
      <c r="M1458">
        <v>3</v>
      </c>
      <c r="N1458" t="s">
        <v>64</v>
      </c>
      <c r="O1458" t="s">
        <v>34</v>
      </c>
      <c r="P1458" t="s">
        <v>70</v>
      </c>
      <c r="Q1458" s="2">
        <v>32293.65</v>
      </c>
      <c r="R1458" s="2">
        <v>2158.91</v>
      </c>
      <c r="S1458" t="s">
        <v>94</v>
      </c>
      <c r="T1458" t="s">
        <v>71</v>
      </c>
      <c r="U1458" t="s">
        <v>75</v>
      </c>
      <c r="V1458">
        <v>1.8</v>
      </c>
      <c r="W1458" t="s">
        <v>124</v>
      </c>
      <c r="X1458" t="s">
        <v>65</v>
      </c>
      <c r="Y1458" t="s">
        <v>41</v>
      </c>
    </row>
    <row r="1459" spans="1:25" x14ac:dyDescent="0.3">
      <c r="A1459" t="s">
        <v>2995</v>
      </c>
      <c r="B1459" s="1">
        <v>46383</v>
      </c>
      <c r="C1459" t="s">
        <v>57</v>
      </c>
      <c r="D1459" t="s">
        <v>44</v>
      </c>
      <c r="E1459" t="s">
        <v>45</v>
      </c>
      <c r="F1459" t="s">
        <v>28</v>
      </c>
      <c r="G1459" t="s">
        <v>29</v>
      </c>
      <c r="H1459" t="s">
        <v>67</v>
      </c>
      <c r="I1459">
        <v>6</v>
      </c>
      <c r="J1459" t="s">
        <v>2996</v>
      </c>
      <c r="K1459">
        <v>62</v>
      </c>
      <c r="L1459" t="s">
        <v>80</v>
      </c>
      <c r="M1459">
        <v>5</v>
      </c>
      <c r="N1459" t="s">
        <v>91</v>
      </c>
      <c r="O1459" t="s">
        <v>81</v>
      </c>
      <c r="P1459" t="s">
        <v>50</v>
      </c>
      <c r="Q1459" s="2">
        <v>32866.71</v>
      </c>
      <c r="R1459" s="2">
        <v>3806.57</v>
      </c>
      <c r="S1459" t="s">
        <v>51</v>
      </c>
      <c r="T1459" t="s">
        <v>37</v>
      </c>
      <c r="U1459" t="s">
        <v>83</v>
      </c>
      <c r="V1459">
        <v>4.7</v>
      </c>
      <c r="W1459" t="s">
        <v>103</v>
      </c>
      <c r="X1459" t="s">
        <v>40</v>
      </c>
      <c r="Y1459" t="s">
        <v>41</v>
      </c>
    </row>
    <row r="1460" spans="1:25" x14ac:dyDescent="0.3">
      <c r="A1460" t="s">
        <v>2997</v>
      </c>
      <c r="B1460" s="1">
        <v>46384</v>
      </c>
      <c r="C1460" t="s">
        <v>43</v>
      </c>
      <c r="D1460" t="s">
        <v>58</v>
      </c>
      <c r="E1460" t="s">
        <v>4085</v>
      </c>
      <c r="F1460" t="s">
        <v>60</v>
      </c>
      <c r="G1460" t="s">
        <v>29</v>
      </c>
      <c r="H1460" t="s">
        <v>59</v>
      </c>
      <c r="I1460">
        <v>11</v>
      </c>
      <c r="J1460" t="s">
        <v>2998</v>
      </c>
      <c r="K1460">
        <v>57</v>
      </c>
      <c r="L1460" t="s">
        <v>80</v>
      </c>
      <c r="M1460">
        <v>6</v>
      </c>
      <c r="N1460" t="s">
        <v>91</v>
      </c>
      <c r="O1460" t="s">
        <v>49</v>
      </c>
      <c r="P1460" t="s">
        <v>82</v>
      </c>
      <c r="Q1460" s="2">
        <v>43117.62</v>
      </c>
      <c r="R1460" s="2">
        <v>4107.01</v>
      </c>
      <c r="S1460" t="s">
        <v>94</v>
      </c>
      <c r="T1460" t="s">
        <v>52</v>
      </c>
      <c r="U1460" t="s">
        <v>75</v>
      </c>
      <c r="V1460">
        <v>1.7</v>
      </c>
      <c r="W1460" t="s">
        <v>124</v>
      </c>
      <c r="X1460" t="s">
        <v>84</v>
      </c>
      <c r="Y1460" t="s">
        <v>41</v>
      </c>
    </row>
    <row r="1461" spans="1:25" x14ac:dyDescent="0.3">
      <c r="A1461" t="s">
        <v>2999</v>
      </c>
      <c r="B1461" s="1">
        <v>46385</v>
      </c>
      <c r="C1461" t="s">
        <v>117</v>
      </c>
      <c r="D1461" t="s">
        <v>4083</v>
      </c>
      <c r="E1461" t="s">
        <v>89</v>
      </c>
      <c r="F1461" t="s">
        <v>28</v>
      </c>
      <c r="G1461" t="s">
        <v>29</v>
      </c>
      <c r="H1461" t="s">
        <v>61</v>
      </c>
      <c r="I1461">
        <v>4</v>
      </c>
      <c r="J1461" t="s">
        <v>3000</v>
      </c>
      <c r="K1461">
        <v>36</v>
      </c>
      <c r="L1461" t="s">
        <v>32</v>
      </c>
      <c r="M1461">
        <v>2</v>
      </c>
      <c r="N1461" t="s">
        <v>48</v>
      </c>
      <c r="O1461" t="s">
        <v>81</v>
      </c>
      <c r="P1461" t="s">
        <v>50</v>
      </c>
      <c r="Q1461" s="2">
        <v>12653.67</v>
      </c>
      <c r="R1461" s="2">
        <v>3359.25</v>
      </c>
      <c r="S1461" t="s">
        <v>51</v>
      </c>
      <c r="T1461" t="s">
        <v>71</v>
      </c>
      <c r="U1461" t="s">
        <v>38</v>
      </c>
      <c r="V1461">
        <v>4.5</v>
      </c>
      <c r="W1461" t="s">
        <v>103</v>
      </c>
      <c r="X1461" t="s">
        <v>84</v>
      </c>
      <c r="Y1461" t="s">
        <v>72</v>
      </c>
    </row>
    <row r="1462" spans="1:25" x14ac:dyDescent="0.3">
      <c r="A1462" t="s">
        <v>3001</v>
      </c>
      <c r="B1462" s="1">
        <v>46386</v>
      </c>
      <c r="C1462" t="s">
        <v>43</v>
      </c>
      <c r="D1462" t="s">
        <v>58</v>
      </c>
      <c r="E1462" t="s">
        <v>4085</v>
      </c>
      <c r="F1462" t="s">
        <v>60</v>
      </c>
      <c r="G1462" t="s">
        <v>29</v>
      </c>
      <c r="H1462" t="s">
        <v>59</v>
      </c>
      <c r="I1462">
        <v>5</v>
      </c>
      <c r="J1462" t="s">
        <v>3002</v>
      </c>
      <c r="K1462">
        <v>54</v>
      </c>
      <c r="L1462" t="s">
        <v>80</v>
      </c>
      <c r="M1462">
        <v>6</v>
      </c>
      <c r="N1462" t="s">
        <v>48</v>
      </c>
      <c r="O1462" t="s">
        <v>81</v>
      </c>
      <c r="P1462" t="s">
        <v>35</v>
      </c>
      <c r="Q1462" s="2">
        <v>21528.23</v>
      </c>
      <c r="R1462" s="2">
        <v>2456.6799999999998</v>
      </c>
      <c r="S1462" t="s">
        <v>94</v>
      </c>
      <c r="T1462" t="s">
        <v>37</v>
      </c>
      <c r="U1462" t="s">
        <v>53</v>
      </c>
      <c r="V1462">
        <v>2.6</v>
      </c>
      <c r="W1462" t="s">
        <v>76</v>
      </c>
      <c r="X1462" t="s">
        <v>106</v>
      </c>
      <c r="Y1462" t="s">
        <v>72</v>
      </c>
    </row>
    <row r="1463" spans="1:25" x14ac:dyDescent="0.3">
      <c r="A1463" t="s">
        <v>3003</v>
      </c>
      <c r="B1463" s="1">
        <v>46387</v>
      </c>
      <c r="C1463" t="s">
        <v>78</v>
      </c>
      <c r="D1463" t="s">
        <v>58</v>
      </c>
      <c r="E1463" t="s">
        <v>120</v>
      </c>
      <c r="F1463" t="s">
        <v>28</v>
      </c>
      <c r="G1463" t="s">
        <v>29</v>
      </c>
      <c r="H1463" t="s">
        <v>86</v>
      </c>
      <c r="I1463">
        <v>4</v>
      </c>
      <c r="J1463" t="s">
        <v>3004</v>
      </c>
      <c r="K1463">
        <v>19</v>
      </c>
      <c r="L1463" t="s">
        <v>80</v>
      </c>
      <c r="M1463">
        <v>4</v>
      </c>
      <c r="N1463" t="s">
        <v>64</v>
      </c>
      <c r="O1463" t="s">
        <v>49</v>
      </c>
      <c r="P1463" t="s">
        <v>35</v>
      </c>
      <c r="Q1463" s="2">
        <v>31370.080000000002</v>
      </c>
      <c r="R1463" s="2">
        <v>3911.35</v>
      </c>
      <c r="S1463" t="s">
        <v>115</v>
      </c>
      <c r="T1463" t="s">
        <v>71</v>
      </c>
      <c r="U1463" t="s">
        <v>75</v>
      </c>
      <c r="V1463">
        <v>2.1</v>
      </c>
      <c r="W1463" t="s">
        <v>76</v>
      </c>
      <c r="X1463" t="s">
        <v>106</v>
      </c>
      <c r="Y1463" t="s">
        <v>41</v>
      </c>
    </row>
    <row r="1464" spans="1:25" x14ac:dyDescent="0.3">
      <c r="A1464" t="s">
        <v>3005</v>
      </c>
      <c r="B1464" s="1">
        <v>46388</v>
      </c>
      <c r="C1464" t="s">
        <v>26</v>
      </c>
      <c r="D1464" t="s">
        <v>26</v>
      </c>
      <c r="E1464" t="s">
        <v>120</v>
      </c>
      <c r="F1464" t="s">
        <v>28</v>
      </c>
      <c r="G1464" t="s">
        <v>29</v>
      </c>
      <c r="H1464" t="s">
        <v>86</v>
      </c>
      <c r="I1464">
        <v>4</v>
      </c>
      <c r="J1464" t="s">
        <v>3006</v>
      </c>
      <c r="K1464">
        <v>32</v>
      </c>
      <c r="L1464" t="s">
        <v>32</v>
      </c>
      <c r="M1464">
        <v>1</v>
      </c>
      <c r="N1464" t="s">
        <v>48</v>
      </c>
      <c r="O1464" t="s">
        <v>49</v>
      </c>
      <c r="P1464" t="s">
        <v>35</v>
      </c>
      <c r="Q1464" s="2">
        <v>17749.75</v>
      </c>
      <c r="R1464" s="2">
        <v>2471.4299999999998</v>
      </c>
      <c r="S1464" t="s">
        <v>115</v>
      </c>
      <c r="T1464" t="s">
        <v>71</v>
      </c>
      <c r="U1464" t="s">
        <v>53</v>
      </c>
      <c r="V1464">
        <v>1.8</v>
      </c>
      <c r="W1464" t="s">
        <v>124</v>
      </c>
      <c r="X1464" t="s">
        <v>55</v>
      </c>
      <c r="Y1464" t="s">
        <v>72</v>
      </c>
    </row>
    <row r="1465" spans="1:25" x14ac:dyDescent="0.3">
      <c r="A1465" t="s">
        <v>3007</v>
      </c>
      <c r="B1465" s="1">
        <v>46389</v>
      </c>
      <c r="C1465" t="s">
        <v>57</v>
      </c>
      <c r="D1465" t="s">
        <v>44</v>
      </c>
      <c r="E1465" t="s">
        <v>45</v>
      </c>
      <c r="F1465" t="s">
        <v>28</v>
      </c>
      <c r="G1465" t="s">
        <v>29</v>
      </c>
      <c r="H1465" t="s">
        <v>67</v>
      </c>
      <c r="I1465">
        <v>12</v>
      </c>
      <c r="J1465" t="s">
        <v>3008</v>
      </c>
      <c r="K1465">
        <v>19</v>
      </c>
      <c r="L1465" t="s">
        <v>80</v>
      </c>
      <c r="M1465">
        <v>2</v>
      </c>
      <c r="N1465" t="s">
        <v>64</v>
      </c>
      <c r="O1465" t="s">
        <v>69</v>
      </c>
      <c r="P1465" t="s">
        <v>50</v>
      </c>
      <c r="Q1465" s="2">
        <v>49016.89</v>
      </c>
      <c r="R1465" s="2">
        <v>557.54999999999995</v>
      </c>
      <c r="S1465" t="s">
        <v>94</v>
      </c>
      <c r="T1465" t="s">
        <v>52</v>
      </c>
      <c r="U1465" t="s">
        <v>75</v>
      </c>
      <c r="V1465">
        <v>3</v>
      </c>
      <c r="W1465" t="s">
        <v>76</v>
      </c>
      <c r="X1465" t="s">
        <v>65</v>
      </c>
      <c r="Y1465" t="s">
        <v>72</v>
      </c>
    </row>
    <row r="1466" spans="1:25" x14ac:dyDescent="0.3">
      <c r="A1466" t="s">
        <v>3009</v>
      </c>
      <c r="B1466" s="1">
        <v>46390</v>
      </c>
      <c r="C1466" t="s">
        <v>26</v>
      </c>
      <c r="D1466" t="s">
        <v>26</v>
      </c>
      <c r="E1466" t="s">
        <v>4084</v>
      </c>
      <c r="F1466" t="s">
        <v>60</v>
      </c>
      <c r="G1466" t="s">
        <v>29</v>
      </c>
      <c r="H1466" t="s">
        <v>27</v>
      </c>
      <c r="I1466">
        <v>13</v>
      </c>
      <c r="J1466" t="s">
        <v>3010</v>
      </c>
      <c r="K1466">
        <v>28</v>
      </c>
      <c r="L1466" t="s">
        <v>80</v>
      </c>
      <c r="M1466">
        <v>2</v>
      </c>
      <c r="N1466" t="s">
        <v>33</v>
      </c>
      <c r="O1466" t="s">
        <v>49</v>
      </c>
      <c r="P1466" t="s">
        <v>50</v>
      </c>
      <c r="Q1466" s="2">
        <v>16841.759999999998</v>
      </c>
      <c r="R1466" s="2">
        <v>581.70000000000005</v>
      </c>
      <c r="S1466" t="s">
        <v>51</v>
      </c>
      <c r="T1466" t="s">
        <v>52</v>
      </c>
      <c r="U1466" t="s">
        <v>83</v>
      </c>
      <c r="V1466">
        <v>3.7</v>
      </c>
      <c r="W1466" t="s">
        <v>54</v>
      </c>
      <c r="X1466" t="s">
        <v>106</v>
      </c>
      <c r="Y1466" t="s">
        <v>41</v>
      </c>
    </row>
    <row r="1467" spans="1:25" x14ac:dyDescent="0.3">
      <c r="A1467" t="s">
        <v>3011</v>
      </c>
      <c r="B1467" s="1">
        <v>46391</v>
      </c>
      <c r="C1467" t="s">
        <v>43</v>
      </c>
      <c r="D1467" t="s">
        <v>58</v>
      </c>
      <c r="E1467" t="s">
        <v>89</v>
      </c>
      <c r="F1467" t="s">
        <v>28</v>
      </c>
      <c r="G1467" t="s">
        <v>29</v>
      </c>
      <c r="H1467" t="s">
        <v>61</v>
      </c>
      <c r="I1467">
        <v>13</v>
      </c>
      <c r="J1467" t="s">
        <v>3012</v>
      </c>
      <c r="K1467">
        <v>62</v>
      </c>
      <c r="L1467" t="s">
        <v>80</v>
      </c>
      <c r="M1467">
        <v>1</v>
      </c>
      <c r="N1467" t="s">
        <v>64</v>
      </c>
      <c r="O1467" t="s">
        <v>34</v>
      </c>
      <c r="P1467" t="s">
        <v>35</v>
      </c>
      <c r="Q1467" s="2">
        <v>26133.3</v>
      </c>
      <c r="R1467" s="2">
        <v>4742.92</v>
      </c>
      <c r="S1467" t="s">
        <v>51</v>
      </c>
      <c r="T1467" t="s">
        <v>37</v>
      </c>
      <c r="U1467" t="s">
        <v>38</v>
      </c>
      <c r="V1467">
        <v>4.5999999999999996</v>
      </c>
      <c r="W1467" t="s">
        <v>103</v>
      </c>
      <c r="X1467" t="s">
        <v>55</v>
      </c>
      <c r="Y1467" t="s">
        <v>72</v>
      </c>
    </row>
    <row r="1468" spans="1:25" x14ac:dyDescent="0.3">
      <c r="A1468" t="s">
        <v>3013</v>
      </c>
      <c r="B1468" s="1">
        <v>46392</v>
      </c>
      <c r="C1468" t="s">
        <v>57</v>
      </c>
      <c r="D1468" t="s">
        <v>44</v>
      </c>
      <c r="E1468" t="s">
        <v>89</v>
      </c>
      <c r="F1468" t="s">
        <v>28</v>
      </c>
      <c r="G1468" t="s">
        <v>29</v>
      </c>
      <c r="H1468" t="s">
        <v>61</v>
      </c>
      <c r="I1468">
        <v>10</v>
      </c>
      <c r="J1468" t="s">
        <v>3014</v>
      </c>
      <c r="K1468">
        <v>40</v>
      </c>
      <c r="L1468" t="s">
        <v>80</v>
      </c>
      <c r="M1468">
        <v>3</v>
      </c>
      <c r="N1468" t="s">
        <v>91</v>
      </c>
      <c r="O1468" t="s">
        <v>81</v>
      </c>
      <c r="P1468" t="s">
        <v>50</v>
      </c>
      <c r="Q1468" s="2">
        <v>44481.43</v>
      </c>
      <c r="R1468" s="2">
        <v>1067.82</v>
      </c>
      <c r="S1468" t="s">
        <v>51</v>
      </c>
      <c r="T1468" t="s">
        <v>52</v>
      </c>
      <c r="U1468" t="s">
        <v>75</v>
      </c>
      <c r="V1468">
        <v>3.6</v>
      </c>
      <c r="W1468" t="s">
        <v>54</v>
      </c>
      <c r="X1468" t="s">
        <v>65</v>
      </c>
      <c r="Y1468" t="s">
        <v>72</v>
      </c>
    </row>
    <row r="1469" spans="1:25" x14ac:dyDescent="0.3">
      <c r="A1469" t="s">
        <v>3015</v>
      </c>
      <c r="B1469" s="1">
        <v>46393</v>
      </c>
      <c r="C1469" t="s">
        <v>43</v>
      </c>
      <c r="D1469" t="s">
        <v>58</v>
      </c>
      <c r="E1469" t="s">
        <v>4084</v>
      </c>
      <c r="F1469" t="s">
        <v>60</v>
      </c>
      <c r="G1469" t="s">
        <v>29</v>
      </c>
      <c r="H1469" t="s">
        <v>27</v>
      </c>
      <c r="I1469">
        <v>5</v>
      </c>
      <c r="J1469" t="s">
        <v>3016</v>
      </c>
      <c r="K1469">
        <v>27</v>
      </c>
      <c r="L1469" t="s">
        <v>32</v>
      </c>
      <c r="M1469">
        <v>6</v>
      </c>
      <c r="N1469" t="s">
        <v>64</v>
      </c>
      <c r="O1469" t="s">
        <v>69</v>
      </c>
      <c r="P1469" t="s">
        <v>70</v>
      </c>
      <c r="Q1469" s="2">
        <v>8602.86</v>
      </c>
      <c r="R1469" s="2">
        <v>4079.62</v>
      </c>
      <c r="S1469" t="s">
        <v>94</v>
      </c>
      <c r="T1469" t="s">
        <v>71</v>
      </c>
      <c r="U1469" t="s">
        <v>83</v>
      </c>
      <c r="V1469">
        <v>2.9</v>
      </c>
      <c r="W1469" t="s">
        <v>76</v>
      </c>
      <c r="X1469" t="s">
        <v>65</v>
      </c>
      <c r="Y1469" t="s">
        <v>72</v>
      </c>
    </row>
    <row r="1470" spans="1:25" x14ac:dyDescent="0.3">
      <c r="A1470" t="s">
        <v>3017</v>
      </c>
      <c r="B1470" s="1">
        <v>46394</v>
      </c>
      <c r="C1470" t="s">
        <v>78</v>
      </c>
      <c r="D1470" t="s">
        <v>58</v>
      </c>
      <c r="E1470" t="s">
        <v>120</v>
      </c>
      <c r="F1470" t="s">
        <v>28</v>
      </c>
      <c r="G1470" t="s">
        <v>29</v>
      </c>
      <c r="H1470" t="s">
        <v>86</v>
      </c>
      <c r="I1470">
        <v>9</v>
      </c>
      <c r="J1470" t="s">
        <v>3018</v>
      </c>
      <c r="K1470">
        <v>20</v>
      </c>
      <c r="L1470" t="s">
        <v>63</v>
      </c>
      <c r="M1470">
        <v>3</v>
      </c>
      <c r="N1470" t="s">
        <v>33</v>
      </c>
      <c r="O1470" t="s">
        <v>49</v>
      </c>
      <c r="P1470" t="s">
        <v>50</v>
      </c>
      <c r="Q1470" s="2">
        <v>41930.959999999999</v>
      </c>
      <c r="R1470" s="2">
        <v>1233.53</v>
      </c>
      <c r="S1470" t="s">
        <v>94</v>
      </c>
      <c r="T1470" t="s">
        <v>52</v>
      </c>
      <c r="U1470" t="s">
        <v>38</v>
      </c>
      <c r="V1470">
        <v>1.1000000000000001</v>
      </c>
      <c r="W1470" t="s">
        <v>124</v>
      </c>
      <c r="X1470" t="s">
        <v>65</v>
      </c>
      <c r="Y1470" t="s">
        <v>41</v>
      </c>
    </row>
    <row r="1471" spans="1:25" x14ac:dyDescent="0.3">
      <c r="A1471" t="s">
        <v>3019</v>
      </c>
      <c r="B1471" s="1">
        <v>46395</v>
      </c>
      <c r="C1471" t="s">
        <v>117</v>
      </c>
      <c r="D1471" t="s">
        <v>4083</v>
      </c>
      <c r="E1471" t="s">
        <v>120</v>
      </c>
      <c r="F1471" t="s">
        <v>28</v>
      </c>
      <c r="G1471" t="s">
        <v>29</v>
      </c>
      <c r="H1471" t="s">
        <v>86</v>
      </c>
      <c r="I1471">
        <v>10</v>
      </c>
      <c r="J1471" t="s">
        <v>3020</v>
      </c>
      <c r="K1471">
        <v>22</v>
      </c>
      <c r="L1471" t="s">
        <v>63</v>
      </c>
      <c r="M1471">
        <v>3</v>
      </c>
      <c r="N1471" t="s">
        <v>91</v>
      </c>
      <c r="O1471" t="s">
        <v>81</v>
      </c>
      <c r="P1471" t="s">
        <v>70</v>
      </c>
      <c r="Q1471" s="2">
        <v>30695.38</v>
      </c>
      <c r="R1471" s="2">
        <v>2153.9</v>
      </c>
      <c r="S1471" t="s">
        <v>94</v>
      </c>
      <c r="T1471" t="s">
        <v>37</v>
      </c>
      <c r="U1471" t="s">
        <v>75</v>
      </c>
      <c r="V1471">
        <v>4.7</v>
      </c>
      <c r="W1471" t="s">
        <v>103</v>
      </c>
      <c r="X1471" t="s">
        <v>40</v>
      </c>
      <c r="Y1471" t="s">
        <v>41</v>
      </c>
    </row>
    <row r="1472" spans="1:25" x14ac:dyDescent="0.3">
      <c r="A1472" t="s">
        <v>3021</v>
      </c>
      <c r="B1472" s="1">
        <v>46396</v>
      </c>
      <c r="C1472" t="s">
        <v>57</v>
      </c>
      <c r="D1472" t="s">
        <v>44</v>
      </c>
      <c r="E1472" t="s">
        <v>4085</v>
      </c>
      <c r="F1472" t="s">
        <v>60</v>
      </c>
      <c r="G1472" t="s">
        <v>29</v>
      </c>
      <c r="H1472" t="s">
        <v>46</v>
      </c>
      <c r="I1472">
        <v>5</v>
      </c>
      <c r="J1472" t="s">
        <v>3022</v>
      </c>
      <c r="K1472">
        <v>20</v>
      </c>
      <c r="L1472" t="s">
        <v>80</v>
      </c>
      <c r="M1472">
        <v>6</v>
      </c>
      <c r="N1472" t="s">
        <v>64</v>
      </c>
      <c r="O1472" t="s">
        <v>34</v>
      </c>
      <c r="P1472" t="s">
        <v>35</v>
      </c>
      <c r="Q1472" s="2">
        <v>6431.09</v>
      </c>
      <c r="R1472" s="2">
        <v>3274.74</v>
      </c>
      <c r="S1472" t="s">
        <v>94</v>
      </c>
      <c r="T1472" t="s">
        <v>37</v>
      </c>
      <c r="U1472" t="s">
        <v>75</v>
      </c>
      <c r="V1472">
        <v>4.5999999999999996</v>
      </c>
      <c r="W1472" t="s">
        <v>103</v>
      </c>
      <c r="X1472" t="s">
        <v>65</v>
      </c>
      <c r="Y1472" t="s">
        <v>72</v>
      </c>
    </row>
    <row r="1473" spans="1:25" x14ac:dyDescent="0.3">
      <c r="A1473" t="s">
        <v>3023</v>
      </c>
      <c r="B1473" s="1">
        <v>46397</v>
      </c>
      <c r="C1473" t="s">
        <v>78</v>
      </c>
      <c r="D1473" t="s">
        <v>58</v>
      </c>
      <c r="E1473" t="s">
        <v>45</v>
      </c>
      <c r="F1473" t="s">
        <v>28</v>
      </c>
      <c r="G1473" t="s">
        <v>29</v>
      </c>
      <c r="H1473" t="s">
        <v>67</v>
      </c>
      <c r="I1473">
        <v>4</v>
      </c>
      <c r="J1473" t="s">
        <v>3024</v>
      </c>
      <c r="K1473">
        <v>55</v>
      </c>
      <c r="L1473" t="s">
        <v>80</v>
      </c>
      <c r="M1473">
        <v>4</v>
      </c>
      <c r="N1473" t="s">
        <v>48</v>
      </c>
      <c r="O1473" t="s">
        <v>34</v>
      </c>
      <c r="P1473" t="s">
        <v>50</v>
      </c>
      <c r="Q1473" s="2">
        <v>45631.08</v>
      </c>
      <c r="R1473" s="2">
        <v>794.34</v>
      </c>
      <c r="S1473" t="s">
        <v>51</v>
      </c>
      <c r="T1473" t="s">
        <v>37</v>
      </c>
      <c r="U1473" t="s">
        <v>83</v>
      </c>
      <c r="V1473">
        <v>2.5</v>
      </c>
      <c r="W1473" t="s">
        <v>76</v>
      </c>
      <c r="X1473" t="s">
        <v>55</v>
      </c>
      <c r="Y1473" t="s">
        <v>41</v>
      </c>
    </row>
    <row r="1474" spans="1:25" x14ac:dyDescent="0.3">
      <c r="A1474" t="s">
        <v>3025</v>
      </c>
      <c r="B1474" s="1">
        <v>46398</v>
      </c>
      <c r="C1474" t="s">
        <v>78</v>
      </c>
      <c r="D1474" t="s">
        <v>58</v>
      </c>
      <c r="E1474" t="s">
        <v>45</v>
      </c>
      <c r="F1474" t="s">
        <v>28</v>
      </c>
      <c r="G1474" t="s">
        <v>29</v>
      </c>
      <c r="H1474" t="s">
        <v>67</v>
      </c>
      <c r="I1474">
        <v>10</v>
      </c>
      <c r="J1474" t="s">
        <v>3026</v>
      </c>
      <c r="K1474">
        <v>30</v>
      </c>
      <c r="L1474" t="s">
        <v>63</v>
      </c>
      <c r="M1474">
        <v>2</v>
      </c>
      <c r="N1474" t="s">
        <v>48</v>
      </c>
      <c r="O1474" t="s">
        <v>69</v>
      </c>
      <c r="P1474" t="s">
        <v>35</v>
      </c>
      <c r="Q1474" s="2">
        <v>6763.86</v>
      </c>
      <c r="R1474" s="2">
        <v>3686.23</v>
      </c>
      <c r="S1474" t="s">
        <v>51</v>
      </c>
      <c r="T1474" t="s">
        <v>52</v>
      </c>
      <c r="U1474" t="s">
        <v>38</v>
      </c>
      <c r="V1474">
        <v>1.1000000000000001</v>
      </c>
      <c r="W1474" t="s">
        <v>124</v>
      </c>
      <c r="X1474" t="s">
        <v>65</v>
      </c>
      <c r="Y1474" t="s">
        <v>41</v>
      </c>
    </row>
    <row r="1475" spans="1:25" x14ac:dyDescent="0.3">
      <c r="A1475" t="s">
        <v>3027</v>
      </c>
      <c r="B1475" s="1">
        <v>46399</v>
      </c>
      <c r="C1475" t="s">
        <v>57</v>
      </c>
      <c r="D1475" t="s">
        <v>44</v>
      </c>
      <c r="E1475" t="s">
        <v>45</v>
      </c>
      <c r="F1475" t="s">
        <v>28</v>
      </c>
      <c r="G1475" t="s">
        <v>29</v>
      </c>
      <c r="H1475" t="s">
        <v>67</v>
      </c>
      <c r="I1475">
        <v>5</v>
      </c>
      <c r="J1475" t="s">
        <v>3028</v>
      </c>
      <c r="K1475">
        <v>59</v>
      </c>
      <c r="L1475" t="s">
        <v>80</v>
      </c>
      <c r="M1475">
        <v>5</v>
      </c>
      <c r="N1475" t="s">
        <v>48</v>
      </c>
      <c r="O1475" t="s">
        <v>34</v>
      </c>
      <c r="P1475" t="s">
        <v>82</v>
      </c>
      <c r="Q1475" s="2">
        <v>28184.799999999999</v>
      </c>
      <c r="R1475" s="2">
        <v>3449.56</v>
      </c>
      <c r="S1475" t="s">
        <v>36</v>
      </c>
      <c r="T1475" t="s">
        <v>52</v>
      </c>
      <c r="U1475" t="s">
        <v>38</v>
      </c>
      <c r="V1475">
        <v>3.9</v>
      </c>
      <c r="W1475" t="s">
        <v>54</v>
      </c>
      <c r="X1475" t="s">
        <v>65</v>
      </c>
      <c r="Y1475" t="s">
        <v>72</v>
      </c>
    </row>
    <row r="1476" spans="1:25" x14ac:dyDescent="0.3">
      <c r="A1476" t="s">
        <v>3029</v>
      </c>
      <c r="B1476" s="1">
        <v>46400</v>
      </c>
      <c r="C1476" t="s">
        <v>43</v>
      </c>
      <c r="D1476" t="s">
        <v>58</v>
      </c>
      <c r="E1476" t="s">
        <v>4085</v>
      </c>
      <c r="F1476" t="s">
        <v>60</v>
      </c>
      <c r="G1476" t="s">
        <v>29</v>
      </c>
      <c r="H1476" t="s">
        <v>46</v>
      </c>
      <c r="I1476">
        <v>9</v>
      </c>
      <c r="J1476" t="s">
        <v>3030</v>
      </c>
      <c r="K1476">
        <v>36</v>
      </c>
      <c r="L1476" t="s">
        <v>63</v>
      </c>
      <c r="M1476">
        <v>1</v>
      </c>
      <c r="N1476" t="s">
        <v>64</v>
      </c>
      <c r="O1476" t="s">
        <v>81</v>
      </c>
      <c r="P1476" t="s">
        <v>50</v>
      </c>
      <c r="Q1476" s="2">
        <v>7206.41</v>
      </c>
      <c r="R1476" s="2">
        <v>2715.41</v>
      </c>
      <c r="S1476" t="s">
        <v>94</v>
      </c>
      <c r="T1476" t="s">
        <v>52</v>
      </c>
      <c r="U1476" t="s">
        <v>83</v>
      </c>
      <c r="V1476">
        <v>4.2</v>
      </c>
      <c r="W1476" t="s">
        <v>54</v>
      </c>
      <c r="X1476" t="s">
        <v>55</v>
      </c>
      <c r="Y1476" t="s">
        <v>72</v>
      </c>
    </row>
    <row r="1477" spans="1:25" x14ac:dyDescent="0.3">
      <c r="A1477" t="s">
        <v>3031</v>
      </c>
      <c r="B1477" s="1">
        <v>46401</v>
      </c>
      <c r="C1477" t="s">
        <v>78</v>
      </c>
      <c r="D1477" t="s">
        <v>58</v>
      </c>
      <c r="E1477" t="s">
        <v>45</v>
      </c>
      <c r="F1477" t="s">
        <v>28</v>
      </c>
      <c r="G1477" t="s">
        <v>29</v>
      </c>
      <c r="H1477" t="s">
        <v>67</v>
      </c>
      <c r="I1477">
        <v>14</v>
      </c>
      <c r="J1477" t="s">
        <v>3032</v>
      </c>
      <c r="K1477">
        <v>57</v>
      </c>
      <c r="L1477" t="s">
        <v>32</v>
      </c>
      <c r="M1477">
        <v>2</v>
      </c>
      <c r="N1477" t="s">
        <v>64</v>
      </c>
      <c r="O1477" t="s">
        <v>49</v>
      </c>
      <c r="P1477" t="s">
        <v>50</v>
      </c>
      <c r="Q1477" s="2">
        <v>8204</v>
      </c>
      <c r="R1477" s="2">
        <v>2829.45</v>
      </c>
      <c r="S1477" t="s">
        <v>36</v>
      </c>
      <c r="T1477" t="s">
        <v>52</v>
      </c>
      <c r="U1477" t="s">
        <v>53</v>
      </c>
      <c r="V1477">
        <v>3.2</v>
      </c>
      <c r="W1477" t="s">
        <v>39</v>
      </c>
      <c r="X1477" t="s">
        <v>84</v>
      </c>
      <c r="Y1477" t="s">
        <v>72</v>
      </c>
    </row>
    <row r="1478" spans="1:25" x14ac:dyDescent="0.3">
      <c r="A1478" t="s">
        <v>3033</v>
      </c>
      <c r="B1478" s="1">
        <v>46402</v>
      </c>
      <c r="C1478" t="s">
        <v>26</v>
      </c>
      <c r="D1478" t="s">
        <v>26</v>
      </c>
      <c r="E1478" t="s">
        <v>4084</v>
      </c>
      <c r="F1478" t="s">
        <v>60</v>
      </c>
      <c r="G1478" t="s">
        <v>29</v>
      </c>
      <c r="H1478" t="s">
        <v>27</v>
      </c>
      <c r="I1478">
        <v>3</v>
      </c>
      <c r="J1478" t="s">
        <v>3034</v>
      </c>
      <c r="K1478">
        <v>67</v>
      </c>
      <c r="L1478" t="s">
        <v>32</v>
      </c>
      <c r="M1478">
        <v>3</v>
      </c>
      <c r="N1478" t="s">
        <v>33</v>
      </c>
      <c r="O1478" t="s">
        <v>34</v>
      </c>
      <c r="P1478" t="s">
        <v>35</v>
      </c>
      <c r="Q1478" s="2">
        <v>44924.19</v>
      </c>
      <c r="R1478" s="2">
        <v>528.86</v>
      </c>
      <c r="S1478" t="s">
        <v>94</v>
      </c>
      <c r="T1478" t="s">
        <v>52</v>
      </c>
      <c r="U1478" t="s">
        <v>83</v>
      </c>
      <c r="V1478">
        <v>2.6</v>
      </c>
      <c r="W1478" t="s">
        <v>76</v>
      </c>
      <c r="X1478" t="s">
        <v>65</v>
      </c>
      <c r="Y1478" t="s">
        <v>72</v>
      </c>
    </row>
    <row r="1479" spans="1:25" x14ac:dyDescent="0.3">
      <c r="A1479" t="s">
        <v>3035</v>
      </c>
      <c r="B1479" s="1">
        <v>46403</v>
      </c>
      <c r="C1479" t="s">
        <v>78</v>
      </c>
      <c r="D1479" t="s">
        <v>58</v>
      </c>
      <c r="E1479" t="s">
        <v>4085</v>
      </c>
      <c r="F1479" t="s">
        <v>60</v>
      </c>
      <c r="G1479" t="s">
        <v>29</v>
      </c>
      <c r="H1479" t="s">
        <v>59</v>
      </c>
      <c r="I1479">
        <v>14</v>
      </c>
      <c r="J1479" t="s">
        <v>3036</v>
      </c>
      <c r="K1479">
        <v>52</v>
      </c>
      <c r="L1479" t="s">
        <v>32</v>
      </c>
      <c r="M1479">
        <v>1</v>
      </c>
      <c r="N1479" t="s">
        <v>91</v>
      </c>
      <c r="O1479" t="s">
        <v>49</v>
      </c>
      <c r="P1479" t="s">
        <v>35</v>
      </c>
      <c r="Q1479" s="2">
        <v>39462.15</v>
      </c>
      <c r="R1479" s="2">
        <v>2179.75</v>
      </c>
      <c r="S1479" t="s">
        <v>36</v>
      </c>
      <c r="T1479" t="s">
        <v>37</v>
      </c>
      <c r="U1479" t="s">
        <v>38</v>
      </c>
      <c r="V1479">
        <v>4.4000000000000004</v>
      </c>
      <c r="W1479" t="s">
        <v>39</v>
      </c>
      <c r="X1479" t="s">
        <v>55</v>
      </c>
      <c r="Y1479" t="s">
        <v>41</v>
      </c>
    </row>
    <row r="1480" spans="1:25" x14ac:dyDescent="0.3">
      <c r="A1480" t="s">
        <v>3037</v>
      </c>
      <c r="B1480" s="1">
        <v>46404</v>
      </c>
      <c r="C1480" t="s">
        <v>43</v>
      </c>
      <c r="D1480" t="s">
        <v>58</v>
      </c>
      <c r="E1480" t="s">
        <v>4084</v>
      </c>
      <c r="F1480" t="s">
        <v>60</v>
      </c>
      <c r="G1480" t="s">
        <v>29</v>
      </c>
      <c r="H1480" t="s">
        <v>27</v>
      </c>
      <c r="I1480">
        <v>8</v>
      </c>
      <c r="J1480" t="s">
        <v>3038</v>
      </c>
      <c r="K1480">
        <v>41</v>
      </c>
      <c r="L1480" t="s">
        <v>32</v>
      </c>
      <c r="M1480">
        <v>5</v>
      </c>
      <c r="N1480" t="s">
        <v>91</v>
      </c>
      <c r="O1480" t="s">
        <v>81</v>
      </c>
      <c r="P1480" t="s">
        <v>35</v>
      </c>
      <c r="Q1480" s="2">
        <v>13862.35</v>
      </c>
      <c r="R1480" s="2">
        <v>432.86</v>
      </c>
      <c r="S1480" t="s">
        <v>51</v>
      </c>
      <c r="T1480" t="s">
        <v>37</v>
      </c>
      <c r="U1480" t="s">
        <v>83</v>
      </c>
      <c r="V1480">
        <v>1.8</v>
      </c>
      <c r="W1480" t="s">
        <v>124</v>
      </c>
      <c r="X1480" t="s">
        <v>106</v>
      </c>
      <c r="Y1480" t="s">
        <v>41</v>
      </c>
    </row>
    <row r="1481" spans="1:25" x14ac:dyDescent="0.3">
      <c r="A1481" t="s">
        <v>3039</v>
      </c>
      <c r="B1481" s="1">
        <v>46405</v>
      </c>
      <c r="C1481" t="s">
        <v>43</v>
      </c>
      <c r="D1481" t="s">
        <v>58</v>
      </c>
      <c r="E1481" t="s">
        <v>4085</v>
      </c>
      <c r="F1481" t="s">
        <v>60</v>
      </c>
      <c r="G1481" t="s">
        <v>29</v>
      </c>
      <c r="H1481" t="s">
        <v>46</v>
      </c>
      <c r="I1481">
        <v>14</v>
      </c>
      <c r="J1481" t="s">
        <v>3040</v>
      </c>
      <c r="K1481">
        <v>41</v>
      </c>
      <c r="L1481" t="s">
        <v>32</v>
      </c>
      <c r="M1481">
        <v>2</v>
      </c>
      <c r="N1481" t="s">
        <v>91</v>
      </c>
      <c r="O1481" t="s">
        <v>81</v>
      </c>
      <c r="P1481" t="s">
        <v>82</v>
      </c>
      <c r="Q1481" s="2">
        <v>32921.06</v>
      </c>
      <c r="R1481" s="2">
        <v>1539.32</v>
      </c>
      <c r="S1481" t="s">
        <v>51</v>
      </c>
      <c r="T1481" t="s">
        <v>52</v>
      </c>
      <c r="U1481" t="s">
        <v>53</v>
      </c>
      <c r="V1481">
        <v>2.8</v>
      </c>
      <c r="W1481" t="s">
        <v>76</v>
      </c>
      <c r="X1481" t="s">
        <v>55</v>
      </c>
      <c r="Y1481" t="s">
        <v>41</v>
      </c>
    </row>
    <row r="1482" spans="1:25" x14ac:dyDescent="0.3">
      <c r="A1482" t="s">
        <v>3041</v>
      </c>
      <c r="B1482" s="1">
        <v>46406</v>
      </c>
      <c r="C1482" t="s">
        <v>26</v>
      </c>
      <c r="D1482" t="s">
        <v>26</v>
      </c>
      <c r="E1482" t="s">
        <v>45</v>
      </c>
      <c r="F1482" t="s">
        <v>28</v>
      </c>
      <c r="G1482" t="s">
        <v>29</v>
      </c>
      <c r="H1482" t="s">
        <v>67</v>
      </c>
      <c r="I1482">
        <v>14</v>
      </c>
      <c r="J1482" t="s">
        <v>3042</v>
      </c>
      <c r="K1482">
        <v>34</v>
      </c>
      <c r="L1482" t="s">
        <v>32</v>
      </c>
      <c r="M1482">
        <v>2</v>
      </c>
      <c r="N1482" t="s">
        <v>91</v>
      </c>
      <c r="O1482" t="s">
        <v>49</v>
      </c>
      <c r="P1482" t="s">
        <v>82</v>
      </c>
      <c r="Q1482" s="2">
        <v>40760.58</v>
      </c>
      <c r="R1482" s="2">
        <v>4501.5600000000004</v>
      </c>
      <c r="S1482" t="s">
        <v>36</v>
      </c>
      <c r="T1482" t="s">
        <v>71</v>
      </c>
      <c r="U1482" t="s">
        <v>83</v>
      </c>
      <c r="V1482">
        <v>1.1000000000000001</v>
      </c>
      <c r="W1482" t="s">
        <v>124</v>
      </c>
      <c r="X1482" t="s">
        <v>40</v>
      </c>
      <c r="Y1482" t="s">
        <v>41</v>
      </c>
    </row>
    <row r="1483" spans="1:25" x14ac:dyDescent="0.3">
      <c r="A1483" t="s">
        <v>3043</v>
      </c>
      <c r="B1483" s="1">
        <v>46407</v>
      </c>
      <c r="C1483" t="s">
        <v>78</v>
      </c>
      <c r="D1483" t="s">
        <v>58</v>
      </c>
      <c r="E1483" t="s">
        <v>4084</v>
      </c>
      <c r="F1483" t="s">
        <v>60</v>
      </c>
      <c r="G1483" t="s">
        <v>29</v>
      </c>
      <c r="H1483" t="s">
        <v>27</v>
      </c>
      <c r="I1483">
        <v>11</v>
      </c>
      <c r="J1483" t="s">
        <v>3044</v>
      </c>
      <c r="K1483">
        <v>57</v>
      </c>
      <c r="L1483" t="s">
        <v>63</v>
      </c>
      <c r="M1483">
        <v>4</v>
      </c>
      <c r="N1483" t="s">
        <v>64</v>
      </c>
      <c r="O1483" t="s">
        <v>81</v>
      </c>
      <c r="P1483" t="s">
        <v>35</v>
      </c>
      <c r="Q1483" s="2">
        <v>45031.58</v>
      </c>
      <c r="R1483" s="2">
        <v>2872.67</v>
      </c>
      <c r="S1483" t="s">
        <v>115</v>
      </c>
      <c r="T1483" t="s">
        <v>37</v>
      </c>
      <c r="U1483" t="s">
        <v>83</v>
      </c>
      <c r="V1483">
        <v>1.7</v>
      </c>
      <c r="W1483" t="s">
        <v>124</v>
      </c>
      <c r="X1483" t="s">
        <v>106</v>
      </c>
      <c r="Y1483" t="s">
        <v>41</v>
      </c>
    </row>
    <row r="1484" spans="1:25" x14ac:dyDescent="0.3">
      <c r="A1484" t="s">
        <v>3045</v>
      </c>
      <c r="B1484" s="1">
        <v>46408</v>
      </c>
      <c r="C1484" t="s">
        <v>43</v>
      </c>
      <c r="D1484" t="s">
        <v>58</v>
      </c>
      <c r="E1484" t="s">
        <v>4084</v>
      </c>
      <c r="F1484" t="s">
        <v>60</v>
      </c>
      <c r="G1484" t="s">
        <v>29</v>
      </c>
      <c r="H1484" t="s">
        <v>27</v>
      </c>
      <c r="I1484">
        <v>14</v>
      </c>
      <c r="J1484" t="s">
        <v>3046</v>
      </c>
      <c r="K1484">
        <v>27</v>
      </c>
      <c r="L1484" t="s">
        <v>80</v>
      </c>
      <c r="M1484">
        <v>2</v>
      </c>
      <c r="N1484" t="s">
        <v>64</v>
      </c>
      <c r="O1484" t="s">
        <v>69</v>
      </c>
      <c r="P1484" t="s">
        <v>50</v>
      </c>
      <c r="Q1484" s="2">
        <v>26073.81</v>
      </c>
      <c r="R1484" s="2">
        <v>3713.52</v>
      </c>
      <c r="S1484" t="s">
        <v>94</v>
      </c>
      <c r="T1484" t="s">
        <v>71</v>
      </c>
      <c r="U1484" t="s">
        <v>75</v>
      </c>
      <c r="V1484">
        <v>4.8</v>
      </c>
      <c r="W1484" t="s">
        <v>103</v>
      </c>
      <c r="X1484" t="s">
        <v>84</v>
      </c>
      <c r="Y1484" t="s">
        <v>41</v>
      </c>
    </row>
    <row r="1485" spans="1:25" x14ac:dyDescent="0.3">
      <c r="A1485" t="s">
        <v>3047</v>
      </c>
      <c r="B1485" s="1">
        <v>46409</v>
      </c>
      <c r="C1485" t="s">
        <v>57</v>
      </c>
      <c r="D1485" t="s">
        <v>44</v>
      </c>
      <c r="E1485" t="s">
        <v>4084</v>
      </c>
      <c r="F1485" t="s">
        <v>60</v>
      </c>
      <c r="G1485" t="s">
        <v>29</v>
      </c>
      <c r="H1485" t="s">
        <v>27</v>
      </c>
      <c r="I1485">
        <v>5</v>
      </c>
      <c r="J1485" t="s">
        <v>3048</v>
      </c>
      <c r="K1485">
        <v>19</v>
      </c>
      <c r="L1485" t="s">
        <v>63</v>
      </c>
      <c r="M1485">
        <v>2</v>
      </c>
      <c r="N1485" t="s">
        <v>33</v>
      </c>
      <c r="O1485" t="s">
        <v>34</v>
      </c>
      <c r="P1485" t="s">
        <v>50</v>
      </c>
      <c r="Q1485" s="2">
        <v>45387.49</v>
      </c>
      <c r="R1485" s="2">
        <v>2869.43</v>
      </c>
      <c r="S1485" t="s">
        <v>36</v>
      </c>
      <c r="T1485" t="s">
        <v>71</v>
      </c>
      <c r="U1485" t="s">
        <v>53</v>
      </c>
      <c r="V1485">
        <v>3.3</v>
      </c>
      <c r="W1485" t="s">
        <v>76</v>
      </c>
      <c r="X1485" t="s">
        <v>84</v>
      </c>
      <c r="Y1485" t="s">
        <v>41</v>
      </c>
    </row>
    <row r="1486" spans="1:25" x14ac:dyDescent="0.3">
      <c r="A1486" t="s">
        <v>3049</v>
      </c>
      <c r="B1486" s="1">
        <v>46410</v>
      </c>
      <c r="C1486" t="s">
        <v>117</v>
      </c>
      <c r="D1486" t="s">
        <v>4083</v>
      </c>
      <c r="E1486" t="s">
        <v>4085</v>
      </c>
      <c r="F1486" t="s">
        <v>60</v>
      </c>
      <c r="G1486" t="s">
        <v>29</v>
      </c>
      <c r="H1486" t="s">
        <v>46</v>
      </c>
      <c r="I1486">
        <v>9</v>
      </c>
      <c r="J1486" t="s">
        <v>3050</v>
      </c>
      <c r="K1486">
        <v>61</v>
      </c>
      <c r="L1486" t="s">
        <v>32</v>
      </c>
      <c r="M1486">
        <v>5</v>
      </c>
      <c r="N1486" t="s">
        <v>91</v>
      </c>
      <c r="O1486" t="s">
        <v>69</v>
      </c>
      <c r="P1486" t="s">
        <v>35</v>
      </c>
      <c r="Q1486" s="2">
        <v>27853.25</v>
      </c>
      <c r="R1486" s="2">
        <v>971.18</v>
      </c>
      <c r="S1486" t="s">
        <v>36</v>
      </c>
      <c r="T1486" t="s">
        <v>37</v>
      </c>
      <c r="U1486" t="s">
        <v>38</v>
      </c>
      <c r="V1486">
        <v>4.2</v>
      </c>
      <c r="W1486" t="s">
        <v>54</v>
      </c>
      <c r="X1486" t="s">
        <v>55</v>
      </c>
      <c r="Y1486" t="s">
        <v>41</v>
      </c>
    </row>
    <row r="1487" spans="1:25" x14ac:dyDescent="0.3">
      <c r="A1487" t="s">
        <v>3051</v>
      </c>
      <c r="B1487" s="1">
        <v>46411</v>
      </c>
      <c r="C1487" t="s">
        <v>117</v>
      </c>
      <c r="D1487" t="s">
        <v>4083</v>
      </c>
      <c r="E1487" t="s">
        <v>89</v>
      </c>
      <c r="F1487" t="s">
        <v>28</v>
      </c>
      <c r="G1487" t="s">
        <v>29</v>
      </c>
      <c r="H1487" t="s">
        <v>61</v>
      </c>
      <c r="I1487">
        <v>8</v>
      </c>
      <c r="J1487" t="s">
        <v>3052</v>
      </c>
      <c r="K1487">
        <v>40</v>
      </c>
      <c r="L1487" t="s">
        <v>80</v>
      </c>
      <c r="M1487">
        <v>5</v>
      </c>
      <c r="N1487" t="s">
        <v>64</v>
      </c>
      <c r="O1487" t="s">
        <v>69</v>
      </c>
      <c r="P1487" t="s">
        <v>70</v>
      </c>
      <c r="Q1487" s="2">
        <v>35970.26</v>
      </c>
      <c r="R1487" s="2">
        <v>2974.04</v>
      </c>
      <c r="S1487" t="s">
        <v>115</v>
      </c>
      <c r="T1487" t="s">
        <v>71</v>
      </c>
      <c r="U1487" t="s">
        <v>53</v>
      </c>
      <c r="V1487">
        <v>2.9</v>
      </c>
      <c r="W1487" t="s">
        <v>76</v>
      </c>
      <c r="X1487" t="s">
        <v>55</v>
      </c>
      <c r="Y1487" t="s">
        <v>41</v>
      </c>
    </row>
    <row r="1488" spans="1:25" x14ac:dyDescent="0.3">
      <c r="A1488" t="s">
        <v>3053</v>
      </c>
      <c r="B1488" s="1">
        <v>46412</v>
      </c>
      <c r="C1488" t="s">
        <v>117</v>
      </c>
      <c r="D1488" t="s">
        <v>4083</v>
      </c>
      <c r="E1488" t="s">
        <v>45</v>
      </c>
      <c r="F1488" t="s">
        <v>28</v>
      </c>
      <c r="G1488" t="s">
        <v>29</v>
      </c>
      <c r="H1488" t="s">
        <v>67</v>
      </c>
      <c r="I1488">
        <v>10</v>
      </c>
      <c r="J1488" t="s">
        <v>3054</v>
      </c>
      <c r="K1488">
        <v>23</v>
      </c>
      <c r="L1488" t="s">
        <v>80</v>
      </c>
      <c r="M1488">
        <v>1</v>
      </c>
      <c r="N1488" t="s">
        <v>64</v>
      </c>
      <c r="O1488" t="s">
        <v>69</v>
      </c>
      <c r="P1488" t="s">
        <v>82</v>
      </c>
      <c r="Q1488" s="2">
        <v>49056.32</v>
      </c>
      <c r="R1488" s="2">
        <v>3776.94</v>
      </c>
      <c r="S1488" t="s">
        <v>51</v>
      </c>
      <c r="T1488" t="s">
        <v>71</v>
      </c>
      <c r="U1488" t="s">
        <v>38</v>
      </c>
      <c r="V1488">
        <v>4.3</v>
      </c>
      <c r="W1488" t="s">
        <v>54</v>
      </c>
      <c r="X1488" t="s">
        <v>65</v>
      </c>
      <c r="Y1488" t="s">
        <v>72</v>
      </c>
    </row>
    <row r="1489" spans="1:25" x14ac:dyDescent="0.3">
      <c r="A1489" t="s">
        <v>3055</v>
      </c>
      <c r="B1489" s="1">
        <v>46413</v>
      </c>
      <c r="C1489" t="s">
        <v>78</v>
      </c>
      <c r="D1489" t="s">
        <v>58</v>
      </c>
      <c r="E1489" t="s">
        <v>4084</v>
      </c>
      <c r="F1489" t="s">
        <v>60</v>
      </c>
      <c r="G1489" t="s">
        <v>29</v>
      </c>
      <c r="H1489" t="s">
        <v>27</v>
      </c>
      <c r="I1489">
        <v>5</v>
      </c>
      <c r="J1489" t="s">
        <v>3056</v>
      </c>
      <c r="K1489">
        <v>19</v>
      </c>
      <c r="L1489" t="s">
        <v>32</v>
      </c>
      <c r="M1489">
        <v>3</v>
      </c>
      <c r="N1489" t="s">
        <v>64</v>
      </c>
      <c r="O1489" t="s">
        <v>49</v>
      </c>
      <c r="P1489" t="s">
        <v>82</v>
      </c>
      <c r="Q1489" s="2">
        <v>15617.83</v>
      </c>
      <c r="R1489" s="2">
        <v>692.03</v>
      </c>
      <c r="S1489" t="s">
        <v>36</v>
      </c>
      <c r="T1489" t="s">
        <v>37</v>
      </c>
      <c r="U1489" t="s">
        <v>38</v>
      </c>
      <c r="V1489">
        <v>3.2</v>
      </c>
      <c r="W1489" t="s">
        <v>76</v>
      </c>
      <c r="X1489" t="s">
        <v>65</v>
      </c>
      <c r="Y1489" t="s">
        <v>41</v>
      </c>
    </row>
    <row r="1490" spans="1:25" x14ac:dyDescent="0.3">
      <c r="A1490" t="s">
        <v>3057</v>
      </c>
      <c r="B1490" s="1">
        <v>46414</v>
      </c>
      <c r="C1490" t="s">
        <v>26</v>
      </c>
      <c r="D1490" t="s">
        <v>26</v>
      </c>
      <c r="E1490" t="s">
        <v>89</v>
      </c>
      <c r="F1490" t="s">
        <v>28</v>
      </c>
      <c r="G1490" t="s">
        <v>29</v>
      </c>
      <c r="H1490" t="s">
        <v>61</v>
      </c>
      <c r="I1490">
        <v>5</v>
      </c>
      <c r="J1490" t="s">
        <v>3058</v>
      </c>
      <c r="K1490">
        <v>38</v>
      </c>
      <c r="L1490" t="s">
        <v>32</v>
      </c>
      <c r="M1490">
        <v>5</v>
      </c>
      <c r="N1490" t="s">
        <v>64</v>
      </c>
      <c r="O1490" t="s">
        <v>49</v>
      </c>
      <c r="P1490" t="s">
        <v>70</v>
      </c>
      <c r="Q1490" s="2">
        <v>12583.46</v>
      </c>
      <c r="R1490" s="2">
        <v>4084.53</v>
      </c>
      <c r="S1490" t="s">
        <v>51</v>
      </c>
      <c r="T1490" t="s">
        <v>37</v>
      </c>
      <c r="U1490" t="s">
        <v>75</v>
      </c>
      <c r="V1490">
        <v>1</v>
      </c>
      <c r="W1490" t="s">
        <v>124</v>
      </c>
      <c r="X1490" t="s">
        <v>40</v>
      </c>
      <c r="Y1490" t="s">
        <v>41</v>
      </c>
    </row>
    <row r="1491" spans="1:25" x14ac:dyDescent="0.3">
      <c r="A1491" t="s">
        <v>3059</v>
      </c>
      <c r="B1491" s="1">
        <v>46415</v>
      </c>
      <c r="C1491" t="s">
        <v>43</v>
      </c>
      <c r="D1491" t="s">
        <v>58</v>
      </c>
      <c r="E1491" t="s">
        <v>45</v>
      </c>
      <c r="F1491" t="s">
        <v>28</v>
      </c>
      <c r="G1491" t="s">
        <v>29</v>
      </c>
      <c r="H1491" t="s">
        <v>67</v>
      </c>
      <c r="I1491">
        <v>6</v>
      </c>
      <c r="J1491" t="s">
        <v>3060</v>
      </c>
      <c r="K1491">
        <v>52</v>
      </c>
      <c r="L1491" t="s">
        <v>32</v>
      </c>
      <c r="M1491">
        <v>1</v>
      </c>
      <c r="N1491" t="s">
        <v>91</v>
      </c>
      <c r="O1491" t="s">
        <v>81</v>
      </c>
      <c r="P1491" t="s">
        <v>35</v>
      </c>
      <c r="Q1491" s="2">
        <v>20390.849999999999</v>
      </c>
      <c r="R1491" s="2">
        <v>2776.96</v>
      </c>
      <c r="S1491" t="s">
        <v>94</v>
      </c>
      <c r="T1491" t="s">
        <v>52</v>
      </c>
      <c r="U1491" t="s">
        <v>53</v>
      </c>
      <c r="V1491">
        <v>4.5999999999999996</v>
      </c>
      <c r="W1491" t="s">
        <v>103</v>
      </c>
      <c r="X1491" t="s">
        <v>65</v>
      </c>
      <c r="Y1491" t="s">
        <v>41</v>
      </c>
    </row>
    <row r="1492" spans="1:25" x14ac:dyDescent="0.3">
      <c r="A1492" t="s">
        <v>3061</v>
      </c>
      <c r="B1492" s="1">
        <v>46416</v>
      </c>
      <c r="C1492" t="s">
        <v>57</v>
      </c>
      <c r="D1492" t="s">
        <v>44</v>
      </c>
      <c r="E1492" t="s">
        <v>45</v>
      </c>
      <c r="F1492" t="s">
        <v>28</v>
      </c>
      <c r="G1492" t="s">
        <v>29</v>
      </c>
      <c r="H1492" t="s">
        <v>67</v>
      </c>
      <c r="I1492">
        <v>5</v>
      </c>
      <c r="J1492" t="s">
        <v>3062</v>
      </c>
      <c r="K1492">
        <v>66</v>
      </c>
      <c r="L1492" t="s">
        <v>32</v>
      </c>
      <c r="M1492">
        <v>2</v>
      </c>
      <c r="N1492" t="s">
        <v>91</v>
      </c>
      <c r="O1492" t="s">
        <v>49</v>
      </c>
      <c r="P1492" t="s">
        <v>50</v>
      </c>
      <c r="Q1492" s="2">
        <v>12397.96</v>
      </c>
      <c r="R1492" s="2">
        <v>21.38</v>
      </c>
      <c r="S1492" t="s">
        <v>115</v>
      </c>
      <c r="T1492" t="s">
        <v>37</v>
      </c>
      <c r="U1492" t="s">
        <v>75</v>
      </c>
      <c r="V1492">
        <v>1.6</v>
      </c>
      <c r="W1492" t="s">
        <v>124</v>
      </c>
      <c r="X1492" t="s">
        <v>55</v>
      </c>
      <c r="Y1492" t="s">
        <v>72</v>
      </c>
    </row>
    <row r="1493" spans="1:25" x14ac:dyDescent="0.3">
      <c r="A1493" t="s">
        <v>3063</v>
      </c>
      <c r="B1493" s="1">
        <v>46417</v>
      </c>
      <c r="C1493" t="s">
        <v>57</v>
      </c>
      <c r="D1493" t="s">
        <v>44</v>
      </c>
      <c r="E1493" t="s">
        <v>4084</v>
      </c>
      <c r="F1493" t="s">
        <v>60</v>
      </c>
      <c r="G1493" t="s">
        <v>29</v>
      </c>
      <c r="H1493" t="s">
        <v>27</v>
      </c>
      <c r="I1493">
        <v>11</v>
      </c>
      <c r="J1493" t="s">
        <v>3064</v>
      </c>
      <c r="K1493">
        <v>46</v>
      </c>
      <c r="L1493" t="s">
        <v>32</v>
      </c>
      <c r="M1493">
        <v>1</v>
      </c>
      <c r="N1493" t="s">
        <v>64</v>
      </c>
      <c r="O1493" t="s">
        <v>81</v>
      </c>
      <c r="P1493" t="s">
        <v>50</v>
      </c>
      <c r="Q1493" s="2">
        <v>17787.330000000002</v>
      </c>
      <c r="R1493" s="2">
        <v>2598.89</v>
      </c>
      <c r="S1493" t="s">
        <v>51</v>
      </c>
      <c r="T1493" t="s">
        <v>71</v>
      </c>
      <c r="U1493" t="s">
        <v>83</v>
      </c>
      <c r="V1493">
        <v>2.8</v>
      </c>
      <c r="W1493" t="s">
        <v>76</v>
      </c>
      <c r="X1493" t="s">
        <v>55</v>
      </c>
      <c r="Y1493" t="s">
        <v>72</v>
      </c>
    </row>
    <row r="1494" spans="1:25" x14ac:dyDescent="0.3">
      <c r="A1494" t="s">
        <v>3065</v>
      </c>
      <c r="B1494" s="1">
        <v>46418</v>
      </c>
      <c r="C1494" t="s">
        <v>78</v>
      </c>
      <c r="D1494" t="s">
        <v>58</v>
      </c>
      <c r="E1494" t="s">
        <v>4084</v>
      </c>
      <c r="F1494" t="s">
        <v>60</v>
      </c>
      <c r="G1494" t="s">
        <v>29</v>
      </c>
      <c r="H1494" t="s">
        <v>30</v>
      </c>
      <c r="I1494">
        <v>13</v>
      </c>
      <c r="J1494" t="s">
        <v>3066</v>
      </c>
      <c r="K1494">
        <v>24</v>
      </c>
      <c r="L1494" t="s">
        <v>32</v>
      </c>
      <c r="M1494">
        <v>1</v>
      </c>
      <c r="N1494" t="s">
        <v>48</v>
      </c>
      <c r="O1494" t="s">
        <v>49</v>
      </c>
      <c r="P1494" t="s">
        <v>82</v>
      </c>
      <c r="Q1494" s="2">
        <v>38434.339999999997</v>
      </c>
      <c r="R1494" s="2">
        <v>1978.36</v>
      </c>
      <c r="S1494" t="s">
        <v>36</v>
      </c>
      <c r="T1494" t="s">
        <v>37</v>
      </c>
      <c r="U1494" t="s">
        <v>53</v>
      </c>
      <c r="V1494">
        <v>2.9</v>
      </c>
      <c r="W1494" t="s">
        <v>76</v>
      </c>
      <c r="X1494" t="s">
        <v>65</v>
      </c>
      <c r="Y1494" t="s">
        <v>41</v>
      </c>
    </row>
    <row r="1495" spans="1:25" x14ac:dyDescent="0.3">
      <c r="A1495" t="s">
        <v>3067</v>
      </c>
      <c r="B1495" s="1">
        <v>46419</v>
      </c>
      <c r="C1495" t="s">
        <v>117</v>
      </c>
      <c r="D1495" t="s">
        <v>4083</v>
      </c>
      <c r="E1495" t="s">
        <v>4085</v>
      </c>
      <c r="F1495" t="s">
        <v>60</v>
      </c>
      <c r="G1495" t="s">
        <v>29</v>
      </c>
      <c r="H1495" t="s">
        <v>46</v>
      </c>
      <c r="I1495">
        <v>6</v>
      </c>
      <c r="J1495" t="s">
        <v>3068</v>
      </c>
      <c r="K1495">
        <v>46</v>
      </c>
      <c r="L1495" t="s">
        <v>80</v>
      </c>
      <c r="M1495">
        <v>1</v>
      </c>
      <c r="N1495" t="s">
        <v>33</v>
      </c>
      <c r="O1495" t="s">
        <v>81</v>
      </c>
      <c r="P1495" t="s">
        <v>70</v>
      </c>
      <c r="Q1495" s="2">
        <v>26488.58</v>
      </c>
      <c r="R1495" s="2">
        <v>1482.23</v>
      </c>
      <c r="S1495" t="s">
        <v>115</v>
      </c>
      <c r="T1495" t="s">
        <v>52</v>
      </c>
      <c r="U1495" t="s">
        <v>83</v>
      </c>
      <c r="V1495">
        <v>1.2</v>
      </c>
      <c r="W1495" t="s">
        <v>124</v>
      </c>
      <c r="X1495" t="s">
        <v>40</v>
      </c>
      <c r="Y1495" t="s">
        <v>41</v>
      </c>
    </row>
    <row r="1496" spans="1:25" x14ac:dyDescent="0.3">
      <c r="A1496" t="s">
        <v>3069</v>
      </c>
      <c r="B1496" s="1">
        <v>46420</v>
      </c>
      <c r="C1496" t="s">
        <v>78</v>
      </c>
      <c r="D1496" t="s">
        <v>58</v>
      </c>
      <c r="E1496" t="s">
        <v>89</v>
      </c>
      <c r="F1496" t="s">
        <v>28</v>
      </c>
      <c r="G1496" t="s">
        <v>29</v>
      </c>
      <c r="H1496" t="s">
        <v>61</v>
      </c>
      <c r="I1496">
        <v>8</v>
      </c>
      <c r="J1496" t="s">
        <v>3070</v>
      </c>
      <c r="K1496">
        <v>54</v>
      </c>
      <c r="L1496" t="s">
        <v>32</v>
      </c>
      <c r="M1496">
        <v>6</v>
      </c>
      <c r="N1496" t="s">
        <v>91</v>
      </c>
      <c r="O1496" t="s">
        <v>34</v>
      </c>
      <c r="P1496" t="s">
        <v>50</v>
      </c>
      <c r="Q1496" s="2">
        <v>21876.86</v>
      </c>
      <c r="R1496" s="2">
        <v>3856.29</v>
      </c>
      <c r="S1496" t="s">
        <v>115</v>
      </c>
      <c r="T1496" t="s">
        <v>37</v>
      </c>
      <c r="U1496" t="s">
        <v>53</v>
      </c>
      <c r="V1496">
        <v>1.2</v>
      </c>
      <c r="W1496" t="s">
        <v>124</v>
      </c>
      <c r="X1496" t="s">
        <v>55</v>
      </c>
      <c r="Y1496" t="s">
        <v>72</v>
      </c>
    </row>
    <row r="1497" spans="1:25" x14ac:dyDescent="0.3">
      <c r="A1497" t="s">
        <v>3071</v>
      </c>
      <c r="B1497" s="1">
        <v>46421</v>
      </c>
      <c r="C1497" t="s">
        <v>26</v>
      </c>
      <c r="D1497" t="s">
        <v>26</v>
      </c>
      <c r="E1497" t="s">
        <v>89</v>
      </c>
      <c r="F1497" t="s">
        <v>28</v>
      </c>
      <c r="G1497" t="s">
        <v>29</v>
      </c>
      <c r="H1497" t="s">
        <v>61</v>
      </c>
      <c r="I1497">
        <v>10</v>
      </c>
      <c r="J1497" t="s">
        <v>3072</v>
      </c>
      <c r="K1497">
        <v>40</v>
      </c>
      <c r="L1497" t="s">
        <v>32</v>
      </c>
      <c r="M1497">
        <v>1</v>
      </c>
      <c r="N1497" t="s">
        <v>91</v>
      </c>
      <c r="O1497" t="s">
        <v>81</v>
      </c>
      <c r="P1497" t="s">
        <v>82</v>
      </c>
      <c r="Q1497" s="2">
        <v>21592.58</v>
      </c>
      <c r="R1497" s="2">
        <v>4497.5</v>
      </c>
      <c r="S1497" t="s">
        <v>115</v>
      </c>
      <c r="T1497" t="s">
        <v>71</v>
      </c>
      <c r="U1497" t="s">
        <v>38</v>
      </c>
      <c r="V1497">
        <v>4.0999999999999996</v>
      </c>
      <c r="W1497" t="s">
        <v>54</v>
      </c>
      <c r="X1497" t="s">
        <v>40</v>
      </c>
      <c r="Y1497" t="s">
        <v>41</v>
      </c>
    </row>
    <row r="1498" spans="1:25" x14ac:dyDescent="0.3">
      <c r="A1498" t="s">
        <v>3073</v>
      </c>
      <c r="B1498" s="1">
        <v>46422</v>
      </c>
      <c r="C1498" t="s">
        <v>26</v>
      </c>
      <c r="D1498" t="s">
        <v>26</v>
      </c>
      <c r="E1498" t="s">
        <v>4084</v>
      </c>
      <c r="F1498" t="s">
        <v>60</v>
      </c>
      <c r="G1498" t="s">
        <v>29</v>
      </c>
      <c r="H1498" t="s">
        <v>27</v>
      </c>
      <c r="I1498">
        <v>13</v>
      </c>
      <c r="J1498" t="s">
        <v>3074</v>
      </c>
      <c r="K1498">
        <v>50</v>
      </c>
      <c r="L1498" t="s">
        <v>80</v>
      </c>
      <c r="M1498">
        <v>5</v>
      </c>
      <c r="N1498" t="s">
        <v>48</v>
      </c>
      <c r="O1498" t="s">
        <v>34</v>
      </c>
      <c r="P1498" t="s">
        <v>50</v>
      </c>
      <c r="Q1498" s="2">
        <v>13753.85</v>
      </c>
      <c r="R1498" s="2">
        <v>3813.27</v>
      </c>
      <c r="S1498" t="s">
        <v>115</v>
      </c>
      <c r="T1498" t="s">
        <v>37</v>
      </c>
      <c r="U1498" t="s">
        <v>83</v>
      </c>
      <c r="V1498">
        <v>2.2000000000000002</v>
      </c>
      <c r="W1498" t="s">
        <v>76</v>
      </c>
      <c r="X1498" t="s">
        <v>55</v>
      </c>
      <c r="Y1498" t="s">
        <v>72</v>
      </c>
    </row>
    <row r="1499" spans="1:25" x14ac:dyDescent="0.3">
      <c r="A1499" t="s">
        <v>3075</v>
      </c>
      <c r="B1499" s="1">
        <v>46423</v>
      </c>
      <c r="C1499" t="s">
        <v>43</v>
      </c>
      <c r="D1499" t="s">
        <v>58</v>
      </c>
      <c r="E1499" t="s">
        <v>45</v>
      </c>
      <c r="F1499" t="s">
        <v>28</v>
      </c>
      <c r="G1499" t="s">
        <v>29</v>
      </c>
      <c r="H1499" t="s">
        <v>67</v>
      </c>
      <c r="I1499">
        <v>10</v>
      </c>
      <c r="J1499" t="s">
        <v>3076</v>
      </c>
      <c r="K1499">
        <v>25</v>
      </c>
      <c r="L1499" t="s">
        <v>63</v>
      </c>
      <c r="M1499">
        <v>7</v>
      </c>
      <c r="N1499" t="s">
        <v>91</v>
      </c>
      <c r="O1499" t="s">
        <v>81</v>
      </c>
      <c r="P1499" t="s">
        <v>50</v>
      </c>
      <c r="Q1499" s="2">
        <v>25133.52</v>
      </c>
      <c r="R1499" s="2">
        <v>4233.8599999999997</v>
      </c>
      <c r="S1499" t="s">
        <v>115</v>
      </c>
      <c r="T1499" t="s">
        <v>71</v>
      </c>
      <c r="U1499" t="s">
        <v>53</v>
      </c>
      <c r="V1499">
        <v>2.6</v>
      </c>
      <c r="W1499" t="s">
        <v>76</v>
      </c>
      <c r="X1499" t="s">
        <v>40</v>
      </c>
      <c r="Y1499" t="s">
        <v>41</v>
      </c>
    </row>
    <row r="1500" spans="1:25" x14ac:dyDescent="0.3">
      <c r="A1500" t="s">
        <v>3077</v>
      </c>
      <c r="B1500" s="1">
        <v>46424</v>
      </c>
      <c r="C1500" t="s">
        <v>43</v>
      </c>
      <c r="D1500" t="s">
        <v>58</v>
      </c>
      <c r="E1500" t="s">
        <v>4084</v>
      </c>
      <c r="F1500" t="s">
        <v>60</v>
      </c>
      <c r="G1500" t="s">
        <v>29</v>
      </c>
      <c r="H1500" t="s">
        <v>27</v>
      </c>
      <c r="I1500">
        <v>7</v>
      </c>
      <c r="J1500" t="s">
        <v>3078</v>
      </c>
      <c r="K1500">
        <v>29</v>
      </c>
      <c r="L1500" t="s">
        <v>32</v>
      </c>
      <c r="M1500">
        <v>7</v>
      </c>
      <c r="N1500" t="s">
        <v>48</v>
      </c>
      <c r="O1500" t="s">
        <v>49</v>
      </c>
      <c r="P1500" t="s">
        <v>50</v>
      </c>
      <c r="Q1500" s="2">
        <v>33108.6</v>
      </c>
      <c r="R1500" s="2">
        <v>4543.8999999999996</v>
      </c>
      <c r="S1500" t="s">
        <v>94</v>
      </c>
      <c r="T1500" t="s">
        <v>37</v>
      </c>
      <c r="U1500" t="s">
        <v>53</v>
      </c>
      <c r="V1500">
        <v>3.3</v>
      </c>
      <c r="W1500" t="s">
        <v>76</v>
      </c>
      <c r="X1500" t="s">
        <v>40</v>
      </c>
      <c r="Y1500" t="s">
        <v>72</v>
      </c>
    </row>
    <row r="1501" spans="1:25" x14ac:dyDescent="0.3">
      <c r="A1501" t="s">
        <v>3079</v>
      </c>
      <c r="B1501" s="1">
        <v>46425</v>
      </c>
      <c r="C1501" t="s">
        <v>26</v>
      </c>
      <c r="D1501" t="s">
        <v>26</v>
      </c>
      <c r="E1501" t="s">
        <v>45</v>
      </c>
      <c r="F1501" t="s">
        <v>28</v>
      </c>
      <c r="G1501" t="s">
        <v>29</v>
      </c>
      <c r="H1501" t="s">
        <v>67</v>
      </c>
      <c r="I1501">
        <v>7</v>
      </c>
      <c r="J1501" t="s">
        <v>3080</v>
      </c>
      <c r="K1501">
        <v>63</v>
      </c>
      <c r="L1501" t="s">
        <v>80</v>
      </c>
      <c r="M1501">
        <v>7</v>
      </c>
      <c r="N1501" t="s">
        <v>48</v>
      </c>
      <c r="O1501" t="s">
        <v>49</v>
      </c>
      <c r="P1501" t="s">
        <v>82</v>
      </c>
      <c r="Q1501" s="2">
        <v>11261.97</v>
      </c>
      <c r="R1501" s="2">
        <v>4563.1499999999996</v>
      </c>
      <c r="S1501" t="s">
        <v>94</v>
      </c>
      <c r="T1501" t="s">
        <v>52</v>
      </c>
      <c r="U1501" t="s">
        <v>83</v>
      </c>
      <c r="V1501">
        <v>2.5</v>
      </c>
      <c r="W1501" t="s">
        <v>76</v>
      </c>
      <c r="X1501" t="s">
        <v>40</v>
      </c>
      <c r="Y1501" t="s">
        <v>72</v>
      </c>
    </row>
    <row r="1502" spans="1:25" x14ac:dyDescent="0.3">
      <c r="A1502" t="s">
        <v>3081</v>
      </c>
      <c r="B1502" s="1">
        <v>46426</v>
      </c>
      <c r="C1502" t="s">
        <v>26</v>
      </c>
      <c r="D1502" t="s">
        <v>26</v>
      </c>
      <c r="E1502" t="s">
        <v>45</v>
      </c>
      <c r="F1502" t="s">
        <v>28</v>
      </c>
      <c r="G1502" t="s">
        <v>29</v>
      </c>
      <c r="H1502" t="s">
        <v>67</v>
      </c>
      <c r="I1502">
        <v>8</v>
      </c>
      <c r="J1502" t="s">
        <v>3082</v>
      </c>
      <c r="K1502">
        <v>65</v>
      </c>
      <c r="L1502" t="s">
        <v>80</v>
      </c>
      <c r="M1502">
        <v>7</v>
      </c>
      <c r="N1502" t="s">
        <v>64</v>
      </c>
      <c r="O1502" t="s">
        <v>34</v>
      </c>
      <c r="P1502" t="s">
        <v>70</v>
      </c>
      <c r="Q1502" s="2">
        <v>48776.58</v>
      </c>
      <c r="R1502" s="2">
        <v>573.19000000000005</v>
      </c>
      <c r="S1502" t="s">
        <v>115</v>
      </c>
      <c r="T1502" t="s">
        <v>52</v>
      </c>
      <c r="U1502" t="s">
        <v>75</v>
      </c>
      <c r="V1502">
        <v>4.0999999999999996</v>
      </c>
      <c r="W1502" t="s">
        <v>54</v>
      </c>
      <c r="X1502" t="s">
        <v>65</v>
      </c>
      <c r="Y1502" t="s">
        <v>41</v>
      </c>
    </row>
    <row r="1503" spans="1:25" x14ac:dyDescent="0.3">
      <c r="A1503" t="s">
        <v>3083</v>
      </c>
      <c r="B1503" s="1">
        <v>46427</v>
      </c>
      <c r="C1503" t="s">
        <v>26</v>
      </c>
      <c r="D1503" t="s">
        <v>26</v>
      </c>
      <c r="E1503" t="s">
        <v>4084</v>
      </c>
      <c r="F1503" t="s">
        <v>60</v>
      </c>
      <c r="G1503" t="s">
        <v>29</v>
      </c>
      <c r="H1503" t="s">
        <v>30</v>
      </c>
      <c r="I1503">
        <v>12</v>
      </c>
      <c r="J1503" t="s">
        <v>3084</v>
      </c>
      <c r="K1503">
        <v>27</v>
      </c>
      <c r="L1503" t="s">
        <v>63</v>
      </c>
      <c r="M1503">
        <v>6</v>
      </c>
      <c r="N1503" t="s">
        <v>91</v>
      </c>
      <c r="O1503" t="s">
        <v>69</v>
      </c>
      <c r="P1503" t="s">
        <v>35</v>
      </c>
      <c r="Q1503" s="2">
        <v>24947.65</v>
      </c>
      <c r="R1503" s="2">
        <v>2281.9299999999998</v>
      </c>
      <c r="S1503" t="s">
        <v>36</v>
      </c>
      <c r="T1503" t="s">
        <v>37</v>
      </c>
      <c r="U1503" t="s">
        <v>53</v>
      </c>
      <c r="V1503">
        <v>4.5</v>
      </c>
      <c r="W1503" t="s">
        <v>103</v>
      </c>
      <c r="X1503" t="s">
        <v>84</v>
      </c>
      <c r="Y1503" t="s">
        <v>72</v>
      </c>
    </row>
    <row r="1504" spans="1:25" x14ac:dyDescent="0.3">
      <c r="A1504" t="s">
        <v>3085</v>
      </c>
      <c r="B1504" s="1">
        <v>46428</v>
      </c>
      <c r="C1504" t="s">
        <v>78</v>
      </c>
      <c r="D1504" t="s">
        <v>58</v>
      </c>
      <c r="E1504" t="s">
        <v>120</v>
      </c>
      <c r="F1504" t="s">
        <v>28</v>
      </c>
      <c r="G1504" t="s">
        <v>29</v>
      </c>
      <c r="H1504" t="s">
        <v>86</v>
      </c>
      <c r="I1504">
        <v>9</v>
      </c>
      <c r="J1504" t="s">
        <v>3086</v>
      </c>
      <c r="K1504">
        <v>32</v>
      </c>
      <c r="L1504" t="s">
        <v>32</v>
      </c>
      <c r="M1504">
        <v>3</v>
      </c>
      <c r="N1504" t="s">
        <v>33</v>
      </c>
      <c r="O1504" t="s">
        <v>69</v>
      </c>
      <c r="P1504" t="s">
        <v>70</v>
      </c>
      <c r="Q1504" s="2">
        <v>47658.239999999998</v>
      </c>
      <c r="R1504" s="2">
        <v>1.43</v>
      </c>
      <c r="S1504" t="s">
        <v>36</v>
      </c>
      <c r="T1504" t="s">
        <v>71</v>
      </c>
      <c r="U1504" t="s">
        <v>75</v>
      </c>
      <c r="V1504">
        <v>1.2</v>
      </c>
      <c r="W1504" t="s">
        <v>124</v>
      </c>
      <c r="X1504" t="s">
        <v>40</v>
      </c>
      <c r="Y1504" t="s">
        <v>72</v>
      </c>
    </row>
    <row r="1505" spans="1:25" x14ac:dyDescent="0.3">
      <c r="A1505" t="s">
        <v>3087</v>
      </c>
      <c r="B1505" s="1">
        <v>46429</v>
      </c>
      <c r="C1505" t="s">
        <v>26</v>
      </c>
      <c r="D1505" t="s">
        <v>26</v>
      </c>
      <c r="E1505" t="s">
        <v>89</v>
      </c>
      <c r="F1505" t="s">
        <v>28</v>
      </c>
      <c r="G1505" t="s">
        <v>29</v>
      </c>
      <c r="H1505" t="s">
        <v>61</v>
      </c>
      <c r="I1505">
        <v>12</v>
      </c>
      <c r="J1505" t="s">
        <v>3088</v>
      </c>
      <c r="K1505">
        <v>41</v>
      </c>
      <c r="L1505" t="s">
        <v>32</v>
      </c>
      <c r="M1505">
        <v>1</v>
      </c>
      <c r="N1505" t="s">
        <v>48</v>
      </c>
      <c r="O1505" t="s">
        <v>81</v>
      </c>
      <c r="P1505" t="s">
        <v>50</v>
      </c>
      <c r="Q1505" s="2">
        <v>11059.65</v>
      </c>
      <c r="R1505" s="2">
        <v>2532.31</v>
      </c>
      <c r="S1505" t="s">
        <v>94</v>
      </c>
      <c r="T1505" t="s">
        <v>52</v>
      </c>
      <c r="U1505" t="s">
        <v>75</v>
      </c>
      <c r="V1505">
        <v>3.5</v>
      </c>
      <c r="W1505" t="s">
        <v>54</v>
      </c>
      <c r="X1505" t="s">
        <v>40</v>
      </c>
      <c r="Y1505" t="s">
        <v>72</v>
      </c>
    </row>
    <row r="1506" spans="1:25" x14ac:dyDescent="0.3">
      <c r="A1506" t="s">
        <v>3089</v>
      </c>
      <c r="B1506" s="1">
        <v>46430</v>
      </c>
      <c r="C1506" t="s">
        <v>57</v>
      </c>
      <c r="D1506" t="s">
        <v>44</v>
      </c>
      <c r="E1506" t="s">
        <v>45</v>
      </c>
      <c r="F1506" t="s">
        <v>28</v>
      </c>
      <c r="G1506" t="s">
        <v>29</v>
      </c>
      <c r="H1506" t="s">
        <v>67</v>
      </c>
      <c r="I1506">
        <v>9</v>
      </c>
      <c r="J1506" t="s">
        <v>3090</v>
      </c>
      <c r="K1506">
        <v>43</v>
      </c>
      <c r="L1506" t="s">
        <v>32</v>
      </c>
      <c r="M1506">
        <v>4</v>
      </c>
      <c r="N1506" t="s">
        <v>33</v>
      </c>
      <c r="O1506" t="s">
        <v>49</v>
      </c>
      <c r="P1506" t="s">
        <v>70</v>
      </c>
      <c r="Q1506" s="2">
        <v>39524.720000000001</v>
      </c>
      <c r="R1506" s="2">
        <v>4621.22</v>
      </c>
      <c r="S1506" t="s">
        <v>51</v>
      </c>
      <c r="T1506" t="s">
        <v>71</v>
      </c>
      <c r="U1506" t="s">
        <v>75</v>
      </c>
      <c r="V1506">
        <v>2.2999999999999998</v>
      </c>
      <c r="W1506" t="s">
        <v>76</v>
      </c>
      <c r="X1506" t="s">
        <v>55</v>
      </c>
      <c r="Y1506" t="s">
        <v>41</v>
      </c>
    </row>
    <row r="1507" spans="1:25" x14ac:dyDescent="0.3">
      <c r="A1507" t="s">
        <v>3091</v>
      </c>
      <c r="B1507" s="1">
        <v>46431</v>
      </c>
      <c r="C1507" t="s">
        <v>117</v>
      </c>
      <c r="D1507" t="s">
        <v>4083</v>
      </c>
      <c r="E1507" t="s">
        <v>45</v>
      </c>
      <c r="F1507" t="s">
        <v>28</v>
      </c>
      <c r="G1507" t="s">
        <v>29</v>
      </c>
      <c r="H1507" t="s">
        <v>67</v>
      </c>
      <c r="I1507">
        <v>6</v>
      </c>
      <c r="J1507" t="s">
        <v>3092</v>
      </c>
      <c r="K1507">
        <v>64</v>
      </c>
      <c r="L1507" t="s">
        <v>80</v>
      </c>
      <c r="M1507">
        <v>7</v>
      </c>
      <c r="N1507" t="s">
        <v>64</v>
      </c>
      <c r="O1507" t="s">
        <v>69</v>
      </c>
      <c r="P1507" t="s">
        <v>50</v>
      </c>
      <c r="Q1507" s="2">
        <v>32793.71</v>
      </c>
      <c r="R1507" s="2">
        <v>995.51</v>
      </c>
      <c r="S1507" t="s">
        <v>115</v>
      </c>
      <c r="T1507" t="s">
        <v>37</v>
      </c>
      <c r="U1507" t="s">
        <v>75</v>
      </c>
      <c r="V1507">
        <v>3.3</v>
      </c>
      <c r="W1507" t="s">
        <v>76</v>
      </c>
      <c r="X1507" t="s">
        <v>84</v>
      </c>
      <c r="Y1507" t="s">
        <v>41</v>
      </c>
    </row>
    <row r="1508" spans="1:25" x14ac:dyDescent="0.3">
      <c r="A1508" t="s">
        <v>3093</v>
      </c>
      <c r="B1508" s="1">
        <v>46432</v>
      </c>
      <c r="C1508" t="s">
        <v>26</v>
      </c>
      <c r="D1508" t="s">
        <v>26</v>
      </c>
      <c r="E1508" t="s">
        <v>120</v>
      </c>
      <c r="F1508" t="s">
        <v>28</v>
      </c>
      <c r="G1508" t="s">
        <v>29</v>
      </c>
      <c r="H1508" t="s">
        <v>86</v>
      </c>
      <c r="I1508">
        <v>8</v>
      </c>
      <c r="J1508" t="s">
        <v>3094</v>
      </c>
      <c r="K1508">
        <v>59</v>
      </c>
      <c r="L1508" t="s">
        <v>32</v>
      </c>
      <c r="M1508">
        <v>2</v>
      </c>
      <c r="N1508" t="s">
        <v>91</v>
      </c>
      <c r="O1508" t="s">
        <v>49</v>
      </c>
      <c r="P1508" t="s">
        <v>82</v>
      </c>
      <c r="Q1508" s="2">
        <v>41902.89</v>
      </c>
      <c r="R1508" s="2">
        <v>3198.93</v>
      </c>
      <c r="S1508" t="s">
        <v>36</v>
      </c>
      <c r="T1508" t="s">
        <v>52</v>
      </c>
      <c r="U1508" t="s">
        <v>75</v>
      </c>
      <c r="V1508">
        <v>2.9</v>
      </c>
      <c r="W1508" t="s">
        <v>76</v>
      </c>
      <c r="X1508" t="s">
        <v>55</v>
      </c>
      <c r="Y1508" t="s">
        <v>72</v>
      </c>
    </row>
    <row r="1509" spans="1:25" x14ac:dyDescent="0.3">
      <c r="A1509" t="s">
        <v>3095</v>
      </c>
      <c r="B1509" s="1">
        <v>46433</v>
      </c>
      <c r="C1509" t="s">
        <v>117</v>
      </c>
      <c r="D1509" t="s">
        <v>4083</v>
      </c>
      <c r="E1509" t="s">
        <v>4085</v>
      </c>
      <c r="F1509" t="s">
        <v>60</v>
      </c>
      <c r="G1509" t="s">
        <v>29</v>
      </c>
      <c r="H1509" t="s">
        <v>59</v>
      </c>
      <c r="I1509">
        <v>9</v>
      </c>
      <c r="J1509" t="s">
        <v>3096</v>
      </c>
      <c r="K1509">
        <v>56</v>
      </c>
      <c r="L1509" t="s">
        <v>32</v>
      </c>
      <c r="M1509">
        <v>7</v>
      </c>
      <c r="N1509" t="s">
        <v>64</v>
      </c>
      <c r="O1509" t="s">
        <v>49</v>
      </c>
      <c r="P1509" t="s">
        <v>82</v>
      </c>
      <c r="Q1509" s="2">
        <v>32030.51</v>
      </c>
      <c r="R1509" s="2">
        <v>3221.9</v>
      </c>
      <c r="S1509" t="s">
        <v>94</v>
      </c>
      <c r="T1509" t="s">
        <v>52</v>
      </c>
      <c r="U1509" t="s">
        <v>38</v>
      </c>
      <c r="V1509">
        <v>2.2999999999999998</v>
      </c>
      <c r="W1509" t="s">
        <v>76</v>
      </c>
      <c r="X1509" t="s">
        <v>55</v>
      </c>
      <c r="Y1509" t="s">
        <v>72</v>
      </c>
    </row>
    <row r="1510" spans="1:25" x14ac:dyDescent="0.3">
      <c r="A1510" t="s">
        <v>3097</v>
      </c>
      <c r="B1510" s="1">
        <v>46434</v>
      </c>
      <c r="C1510" t="s">
        <v>78</v>
      </c>
      <c r="D1510" t="s">
        <v>58</v>
      </c>
      <c r="E1510" t="s">
        <v>120</v>
      </c>
      <c r="F1510" t="s">
        <v>28</v>
      </c>
      <c r="G1510" t="s">
        <v>29</v>
      </c>
      <c r="H1510" t="s">
        <v>86</v>
      </c>
      <c r="I1510">
        <v>7</v>
      </c>
      <c r="J1510" t="s">
        <v>3098</v>
      </c>
      <c r="K1510">
        <v>20</v>
      </c>
      <c r="L1510" t="s">
        <v>32</v>
      </c>
      <c r="M1510">
        <v>7</v>
      </c>
      <c r="N1510" t="s">
        <v>64</v>
      </c>
      <c r="O1510" t="s">
        <v>49</v>
      </c>
      <c r="P1510" t="s">
        <v>82</v>
      </c>
      <c r="Q1510" s="2">
        <v>48327.65</v>
      </c>
      <c r="R1510" s="2">
        <v>801.77</v>
      </c>
      <c r="S1510" t="s">
        <v>94</v>
      </c>
      <c r="T1510" t="s">
        <v>71</v>
      </c>
      <c r="U1510" t="s">
        <v>75</v>
      </c>
      <c r="V1510">
        <v>1.4</v>
      </c>
      <c r="W1510" t="s">
        <v>124</v>
      </c>
      <c r="X1510" t="s">
        <v>40</v>
      </c>
      <c r="Y1510" t="s">
        <v>41</v>
      </c>
    </row>
    <row r="1511" spans="1:25" x14ac:dyDescent="0.3">
      <c r="A1511" t="s">
        <v>3099</v>
      </c>
      <c r="B1511" s="1">
        <v>46435</v>
      </c>
      <c r="C1511" t="s">
        <v>117</v>
      </c>
      <c r="D1511" t="s">
        <v>4083</v>
      </c>
      <c r="E1511" t="s">
        <v>120</v>
      </c>
      <c r="F1511" t="s">
        <v>28</v>
      </c>
      <c r="G1511" t="s">
        <v>29</v>
      </c>
      <c r="H1511" t="s">
        <v>86</v>
      </c>
      <c r="I1511">
        <v>7</v>
      </c>
      <c r="J1511" t="s">
        <v>3100</v>
      </c>
      <c r="K1511">
        <v>19</v>
      </c>
      <c r="L1511" t="s">
        <v>32</v>
      </c>
      <c r="M1511">
        <v>2</v>
      </c>
      <c r="N1511" t="s">
        <v>33</v>
      </c>
      <c r="O1511" t="s">
        <v>81</v>
      </c>
      <c r="P1511" t="s">
        <v>50</v>
      </c>
      <c r="Q1511" s="2">
        <v>33211.93</v>
      </c>
      <c r="R1511" s="2">
        <v>1192.6400000000001</v>
      </c>
      <c r="S1511" t="s">
        <v>51</v>
      </c>
      <c r="T1511" t="s">
        <v>52</v>
      </c>
      <c r="U1511" t="s">
        <v>38</v>
      </c>
      <c r="V1511">
        <v>3.2</v>
      </c>
      <c r="W1511" t="s">
        <v>76</v>
      </c>
      <c r="X1511" t="s">
        <v>106</v>
      </c>
      <c r="Y1511" t="s">
        <v>41</v>
      </c>
    </row>
    <row r="1512" spans="1:25" x14ac:dyDescent="0.3">
      <c r="A1512" t="s">
        <v>3101</v>
      </c>
      <c r="B1512" s="1">
        <v>46436</v>
      </c>
      <c r="C1512" t="s">
        <v>78</v>
      </c>
      <c r="D1512" t="s">
        <v>58</v>
      </c>
      <c r="E1512" t="s">
        <v>45</v>
      </c>
      <c r="F1512" t="s">
        <v>28</v>
      </c>
      <c r="G1512" t="s">
        <v>29</v>
      </c>
      <c r="H1512" t="s">
        <v>67</v>
      </c>
      <c r="I1512">
        <v>4</v>
      </c>
      <c r="J1512" t="s">
        <v>3102</v>
      </c>
      <c r="K1512">
        <v>23</v>
      </c>
      <c r="L1512" t="s">
        <v>63</v>
      </c>
      <c r="M1512">
        <v>6</v>
      </c>
      <c r="N1512" t="s">
        <v>33</v>
      </c>
      <c r="O1512" t="s">
        <v>34</v>
      </c>
      <c r="P1512" t="s">
        <v>70</v>
      </c>
      <c r="Q1512" s="2">
        <v>40307.19</v>
      </c>
      <c r="R1512" s="2">
        <v>2310.11</v>
      </c>
      <c r="S1512" t="s">
        <v>51</v>
      </c>
      <c r="T1512" t="s">
        <v>71</v>
      </c>
      <c r="U1512" t="s">
        <v>53</v>
      </c>
      <c r="V1512">
        <v>1.5</v>
      </c>
      <c r="W1512" t="s">
        <v>124</v>
      </c>
      <c r="X1512" t="s">
        <v>84</v>
      </c>
      <c r="Y1512" t="s">
        <v>41</v>
      </c>
    </row>
    <row r="1513" spans="1:25" x14ac:dyDescent="0.3">
      <c r="A1513" t="s">
        <v>3103</v>
      </c>
      <c r="B1513" s="1">
        <v>46437</v>
      </c>
      <c r="C1513" t="s">
        <v>57</v>
      </c>
      <c r="D1513" t="s">
        <v>44</v>
      </c>
      <c r="E1513" t="s">
        <v>89</v>
      </c>
      <c r="F1513" t="s">
        <v>28</v>
      </c>
      <c r="G1513" t="s">
        <v>29</v>
      </c>
      <c r="H1513" t="s">
        <v>61</v>
      </c>
      <c r="I1513">
        <v>9</v>
      </c>
      <c r="J1513" t="s">
        <v>3104</v>
      </c>
      <c r="K1513">
        <v>38</v>
      </c>
      <c r="L1513" t="s">
        <v>63</v>
      </c>
      <c r="M1513">
        <v>2</v>
      </c>
      <c r="N1513" t="s">
        <v>48</v>
      </c>
      <c r="O1513" t="s">
        <v>81</v>
      </c>
      <c r="P1513" t="s">
        <v>35</v>
      </c>
      <c r="Q1513" s="2">
        <v>44491.18</v>
      </c>
      <c r="R1513" s="2">
        <v>941.05</v>
      </c>
      <c r="S1513" t="s">
        <v>36</v>
      </c>
      <c r="T1513" t="s">
        <v>71</v>
      </c>
      <c r="U1513" t="s">
        <v>38</v>
      </c>
      <c r="V1513">
        <v>1.6</v>
      </c>
      <c r="W1513" t="s">
        <v>124</v>
      </c>
      <c r="X1513" t="s">
        <v>55</v>
      </c>
      <c r="Y1513" t="s">
        <v>72</v>
      </c>
    </row>
    <row r="1514" spans="1:25" x14ac:dyDescent="0.3">
      <c r="A1514" t="s">
        <v>3105</v>
      </c>
      <c r="B1514" s="1">
        <v>46438</v>
      </c>
      <c r="C1514" t="s">
        <v>78</v>
      </c>
      <c r="D1514" t="s">
        <v>58</v>
      </c>
      <c r="E1514" t="s">
        <v>120</v>
      </c>
      <c r="F1514" t="s">
        <v>28</v>
      </c>
      <c r="G1514" t="s">
        <v>29</v>
      </c>
      <c r="H1514" t="s">
        <v>86</v>
      </c>
      <c r="I1514">
        <v>14</v>
      </c>
      <c r="J1514" t="s">
        <v>3106</v>
      </c>
      <c r="K1514">
        <v>26</v>
      </c>
      <c r="L1514" t="s">
        <v>63</v>
      </c>
      <c r="M1514">
        <v>2</v>
      </c>
      <c r="N1514" t="s">
        <v>91</v>
      </c>
      <c r="O1514" t="s">
        <v>69</v>
      </c>
      <c r="P1514" t="s">
        <v>35</v>
      </c>
      <c r="Q1514" s="2">
        <v>37156.26</v>
      </c>
      <c r="R1514" s="2">
        <v>2924.97</v>
      </c>
      <c r="S1514" t="s">
        <v>51</v>
      </c>
      <c r="T1514" t="s">
        <v>37</v>
      </c>
      <c r="U1514" t="s">
        <v>38</v>
      </c>
      <c r="V1514">
        <v>4.9000000000000004</v>
      </c>
      <c r="W1514" t="s">
        <v>103</v>
      </c>
      <c r="X1514" t="s">
        <v>106</v>
      </c>
      <c r="Y1514" t="s">
        <v>41</v>
      </c>
    </row>
    <row r="1515" spans="1:25" x14ac:dyDescent="0.3">
      <c r="A1515" t="s">
        <v>3107</v>
      </c>
      <c r="B1515" s="1">
        <v>46439</v>
      </c>
      <c r="C1515" t="s">
        <v>78</v>
      </c>
      <c r="D1515" t="s">
        <v>58</v>
      </c>
      <c r="E1515" t="s">
        <v>4085</v>
      </c>
      <c r="F1515" t="s">
        <v>60</v>
      </c>
      <c r="G1515" t="s">
        <v>29</v>
      </c>
      <c r="H1515" t="s">
        <v>46</v>
      </c>
      <c r="I1515">
        <v>8</v>
      </c>
      <c r="J1515" t="s">
        <v>3108</v>
      </c>
      <c r="K1515">
        <v>27</v>
      </c>
      <c r="L1515" t="s">
        <v>32</v>
      </c>
      <c r="M1515">
        <v>6</v>
      </c>
      <c r="N1515" t="s">
        <v>64</v>
      </c>
      <c r="O1515" t="s">
        <v>34</v>
      </c>
      <c r="P1515" t="s">
        <v>82</v>
      </c>
      <c r="Q1515" s="2">
        <v>28590.65</v>
      </c>
      <c r="R1515" s="2">
        <v>2422.71</v>
      </c>
      <c r="S1515" t="s">
        <v>51</v>
      </c>
      <c r="T1515" t="s">
        <v>71</v>
      </c>
      <c r="U1515" t="s">
        <v>75</v>
      </c>
      <c r="V1515">
        <v>2.2999999999999998</v>
      </c>
      <c r="W1515" t="s">
        <v>76</v>
      </c>
      <c r="X1515" t="s">
        <v>106</v>
      </c>
      <c r="Y1515" t="s">
        <v>41</v>
      </c>
    </row>
    <row r="1516" spans="1:25" x14ac:dyDescent="0.3">
      <c r="A1516" t="s">
        <v>3109</v>
      </c>
      <c r="B1516" s="1">
        <v>46440</v>
      </c>
      <c r="C1516" t="s">
        <v>43</v>
      </c>
      <c r="D1516" t="s">
        <v>58</v>
      </c>
      <c r="E1516" t="s">
        <v>4084</v>
      </c>
      <c r="F1516" t="s">
        <v>60</v>
      </c>
      <c r="G1516" t="s">
        <v>29</v>
      </c>
      <c r="H1516" t="s">
        <v>27</v>
      </c>
      <c r="I1516">
        <v>13</v>
      </c>
      <c r="J1516" t="s">
        <v>3110</v>
      </c>
      <c r="K1516">
        <v>53</v>
      </c>
      <c r="L1516" t="s">
        <v>32</v>
      </c>
      <c r="M1516">
        <v>2</v>
      </c>
      <c r="N1516" t="s">
        <v>48</v>
      </c>
      <c r="O1516" t="s">
        <v>69</v>
      </c>
      <c r="P1516" t="s">
        <v>35</v>
      </c>
      <c r="Q1516" s="2">
        <v>17276.77</v>
      </c>
      <c r="R1516" s="2">
        <v>2595.9899999999998</v>
      </c>
      <c r="S1516" t="s">
        <v>115</v>
      </c>
      <c r="T1516" t="s">
        <v>52</v>
      </c>
      <c r="U1516" t="s">
        <v>53</v>
      </c>
      <c r="V1516">
        <v>3.3</v>
      </c>
      <c r="W1516" t="s">
        <v>76</v>
      </c>
      <c r="X1516" t="s">
        <v>55</v>
      </c>
      <c r="Y1516" t="s">
        <v>41</v>
      </c>
    </row>
    <row r="1517" spans="1:25" x14ac:dyDescent="0.3">
      <c r="A1517" t="s">
        <v>3111</v>
      </c>
      <c r="B1517" s="1">
        <v>46441</v>
      </c>
      <c r="C1517" t="s">
        <v>26</v>
      </c>
      <c r="D1517" t="s">
        <v>26</v>
      </c>
      <c r="E1517" t="s">
        <v>120</v>
      </c>
      <c r="F1517" t="s">
        <v>28</v>
      </c>
      <c r="G1517" t="s">
        <v>29</v>
      </c>
      <c r="H1517" t="s">
        <v>86</v>
      </c>
      <c r="I1517">
        <v>3</v>
      </c>
      <c r="J1517" t="s">
        <v>3112</v>
      </c>
      <c r="K1517">
        <v>20</v>
      </c>
      <c r="L1517" t="s">
        <v>80</v>
      </c>
      <c r="M1517">
        <v>1</v>
      </c>
      <c r="N1517" t="s">
        <v>48</v>
      </c>
      <c r="O1517" t="s">
        <v>34</v>
      </c>
      <c r="P1517" t="s">
        <v>50</v>
      </c>
      <c r="Q1517" s="2">
        <v>43452.17</v>
      </c>
      <c r="R1517" s="2">
        <v>672.34</v>
      </c>
      <c r="S1517" t="s">
        <v>94</v>
      </c>
      <c r="T1517" t="s">
        <v>71</v>
      </c>
      <c r="U1517" t="s">
        <v>53</v>
      </c>
      <c r="V1517">
        <v>2.1</v>
      </c>
      <c r="W1517" t="s">
        <v>76</v>
      </c>
      <c r="X1517" t="s">
        <v>40</v>
      </c>
      <c r="Y1517" t="s">
        <v>41</v>
      </c>
    </row>
    <row r="1518" spans="1:25" x14ac:dyDescent="0.3">
      <c r="A1518" t="s">
        <v>3113</v>
      </c>
      <c r="B1518" s="1">
        <v>46442</v>
      </c>
      <c r="C1518" t="s">
        <v>26</v>
      </c>
      <c r="D1518" t="s">
        <v>26</v>
      </c>
      <c r="E1518" t="s">
        <v>120</v>
      </c>
      <c r="F1518" t="s">
        <v>28</v>
      </c>
      <c r="G1518" t="s">
        <v>29</v>
      </c>
      <c r="H1518" t="s">
        <v>86</v>
      </c>
      <c r="I1518">
        <v>6</v>
      </c>
      <c r="J1518" t="s">
        <v>3114</v>
      </c>
      <c r="K1518">
        <v>58</v>
      </c>
      <c r="L1518" t="s">
        <v>80</v>
      </c>
      <c r="M1518">
        <v>7</v>
      </c>
      <c r="N1518" t="s">
        <v>64</v>
      </c>
      <c r="O1518" t="s">
        <v>34</v>
      </c>
      <c r="P1518" t="s">
        <v>70</v>
      </c>
      <c r="Q1518" s="2">
        <v>26626.02</v>
      </c>
      <c r="R1518" s="2">
        <v>2586.2600000000002</v>
      </c>
      <c r="S1518" t="s">
        <v>94</v>
      </c>
      <c r="T1518" t="s">
        <v>52</v>
      </c>
      <c r="U1518" t="s">
        <v>53</v>
      </c>
      <c r="V1518">
        <v>4.5</v>
      </c>
      <c r="W1518" t="s">
        <v>103</v>
      </c>
      <c r="X1518" t="s">
        <v>65</v>
      </c>
      <c r="Y1518" t="s">
        <v>72</v>
      </c>
    </row>
    <row r="1519" spans="1:25" x14ac:dyDescent="0.3">
      <c r="A1519" t="s">
        <v>3115</v>
      </c>
      <c r="B1519" s="1">
        <v>46443</v>
      </c>
      <c r="C1519" t="s">
        <v>57</v>
      </c>
      <c r="D1519" t="s">
        <v>44</v>
      </c>
      <c r="E1519" t="s">
        <v>4085</v>
      </c>
      <c r="F1519" t="s">
        <v>60</v>
      </c>
      <c r="G1519" t="s">
        <v>29</v>
      </c>
      <c r="H1519" t="s">
        <v>46</v>
      </c>
      <c r="I1519">
        <v>5</v>
      </c>
      <c r="J1519" t="s">
        <v>3116</v>
      </c>
      <c r="K1519">
        <v>41</v>
      </c>
      <c r="L1519" t="s">
        <v>80</v>
      </c>
      <c r="M1519">
        <v>3</v>
      </c>
      <c r="N1519" t="s">
        <v>64</v>
      </c>
      <c r="O1519" t="s">
        <v>81</v>
      </c>
      <c r="P1519" t="s">
        <v>35</v>
      </c>
      <c r="Q1519" s="2">
        <v>32931.870000000003</v>
      </c>
      <c r="R1519" s="2">
        <v>247.39</v>
      </c>
      <c r="S1519" t="s">
        <v>51</v>
      </c>
      <c r="T1519" t="s">
        <v>71</v>
      </c>
      <c r="U1519" t="s">
        <v>83</v>
      </c>
      <c r="V1519">
        <v>2.1</v>
      </c>
      <c r="W1519" t="s">
        <v>76</v>
      </c>
      <c r="X1519" t="s">
        <v>55</v>
      </c>
      <c r="Y1519" t="s">
        <v>72</v>
      </c>
    </row>
    <row r="1520" spans="1:25" x14ac:dyDescent="0.3">
      <c r="A1520" t="s">
        <v>3117</v>
      </c>
      <c r="B1520" s="1">
        <v>46444</v>
      </c>
      <c r="C1520" t="s">
        <v>57</v>
      </c>
      <c r="D1520" t="s">
        <v>44</v>
      </c>
      <c r="E1520" t="s">
        <v>89</v>
      </c>
      <c r="F1520" t="s">
        <v>28</v>
      </c>
      <c r="G1520" t="s">
        <v>29</v>
      </c>
      <c r="H1520" t="s">
        <v>61</v>
      </c>
      <c r="I1520">
        <v>14</v>
      </c>
      <c r="J1520" t="s">
        <v>3118</v>
      </c>
      <c r="K1520">
        <v>39</v>
      </c>
      <c r="L1520" t="s">
        <v>32</v>
      </c>
      <c r="M1520">
        <v>6</v>
      </c>
      <c r="N1520" t="s">
        <v>48</v>
      </c>
      <c r="O1520" t="s">
        <v>49</v>
      </c>
      <c r="P1520" t="s">
        <v>35</v>
      </c>
      <c r="Q1520" s="2">
        <v>8565.19</v>
      </c>
      <c r="R1520" s="2">
        <v>4407.68</v>
      </c>
      <c r="S1520" t="s">
        <v>94</v>
      </c>
      <c r="T1520" t="s">
        <v>37</v>
      </c>
      <c r="U1520" t="s">
        <v>38</v>
      </c>
      <c r="V1520">
        <v>2.5</v>
      </c>
      <c r="W1520" t="s">
        <v>76</v>
      </c>
      <c r="X1520" t="s">
        <v>40</v>
      </c>
      <c r="Y1520" t="s">
        <v>41</v>
      </c>
    </row>
    <row r="1521" spans="1:25" x14ac:dyDescent="0.3">
      <c r="A1521" t="s">
        <v>3119</v>
      </c>
      <c r="B1521" s="1">
        <v>46445</v>
      </c>
      <c r="C1521" t="s">
        <v>26</v>
      </c>
      <c r="D1521" t="s">
        <v>26</v>
      </c>
      <c r="E1521" t="s">
        <v>120</v>
      </c>
      <c r="F1521" t="s">
        <v>28</v>
      </c>
      <c r="G1521" t="s">
        <v>29</v>
      </c>
      <c r="H1521" t="s">
        <v>86</v>
      </c>
      <c r="I1521">
        <v>5</v>
      </c>
      <c r="J1521" t="s">
        <v>3120</v>
      </c>
      <c r="K1521">
        <v>66</v>
      </c>
      <c r="L1521" t="s">
        <v>63</v>
      </c>
      <c r="M1521">
        <v>4</v>
      </c>
      <c r="N1521" t="s">
        <v>64</v>
      </c>
      <c r="O1521" t="s">
        <v>49</v>
      </c>
      <c r="P1521" t="s">
        <v>70</v>
      </c>
      <c r="Q1521" s="2">
        <v>27380.81</v>
      </c>
      <c r="R1521" s="2">
        <v>1716.25</v>
      </c>
      <c r="S1521" t="s">
        <v>94</v>
      </c>
      <c r="T1521" t="s">
        <v>37</v>
      </c>
      <c r="U1521" t="s">
        <v>75</v>
      </c>
      <c r="V1521">
        <v>3.4</v>
      </c>
      <c r="W1521" t="s">
        <v>76</v>
      </c>
      <c r="X1521" t="s">
        <v>84</v>
      </c>
      <c r="Y1521" t="s">
        <v>72</v>
      </c>
    </row>
    <row r="1522" spans="1:25" x14ac:dyDescent="0.3">
      <c r="A1522" t="s">
        <v>3121</v>
      </c>
      <c r="B1522" s="1">
        <v>46446</v>
      </c>
      <c r="C1522" t="s">
        <v>43</v>
      </c>
      <c r="D1522" t="s">
        <v>58</v>
      </c>
      <c r="E1522" t="s">
        <v>120</v>
      </c>
      <c r="F1522" t="s">
        <v>28</v>
      </c>
      <c r="G1522" t="s">
        <v>29</v>
      </c>
      <c r="H1522" t="s">
        <v>86</v>
      </c>
      <c r="I1522">
        <v>9</v>
      </c>
      <c r="J1522" t="s">
        <v>3122</v>
      </c>
      <c r="K1522">
        <v>31</v>
      </c>
      <c r="L1522" t="s">
        <v>63</v>
      </c>
      <c r="M1522">
        <v>6</v>
      </c>
      <c r="N1522" t="s">
        <v>64</v>
      </c>
      <c r="O1522" t="s">
        <v>34</v>
      </c>
      <c r="P1522" t="s">
        <v>35</v>
      </c>
      <c r="Q1522" s="2">
        <v>36417.089999999997</v>
      </c>
      <c r="R1522" s="2">
        <v>4281.6899999999996</v>
      </c>
      <c r="S1522" t="s">
        <v>36</v>
      </c>
      <c r="T1522" t="s">
        <v>71</v>
      </c>
      <c r="U1522" t="s">
        <v>83</v>
      </c>
      <c r="V1522">
        <v>4.5</v>
      </c>
      <c r="W1522" t="s">
        <v>103</v>
      </c>
      <c r="X1522" t="s">
        <v>40</v>
      </c>
      <c r="Y1522" t="s">
        <v>41</v>
      </c>
    </row>
    <row r="1523" spans="1:25" x14ac:dyDescent="0.3">
      <c r="A1523" t="s">
        <v>3123</v>
      </c>
      <c r="B1523" s="1">
        <v>46447</v>
      </c>
      <c r="C1523" t="s">
        <v>26</v>
      </c>
      <c r="D1523" t="s">
        <v>26</v>
      </c>
      <c r="E1523" t="s">
        <v>89</v>
      </c>
      <c r="F1523" t="s">
        <v>28</v>
      </c>
      <c r="G1523" t="s">
        <v>29</v>
      </c>
      <c r="H1523" t="s">
        <v>61</v>
      </c>
      <c r="I1523">
        <v>13</v>
      </c>
      <c r="J1523" t="s">
        <v>3124</v>
      </c>
      <c r="K1523">
        <v>59</v>
      </c>
      <c r="L1523" t="s">
        <v>63</v>
      </c>
      <c r="M1523">
        <v>5</v>
      </c>
      <c r="N1523" t="s">
        <v>33</v>
      </c>
      <c r="O1523" t="s">
        <v>81</v>
      </c>
      <c r="P1523" t="s">
        <v>70</v>
      </c>
      <c r="Q1523" s="2">
        <v>31283.24</v>
      </c>
      <c r="R1523" s="2">
        <v>3508.28</v>
      </c>
      <c r="S1523" t="s">
        <v>94</v>
      </c>
      <c r="T1523" t="s">
        <v>71</v>
      </c>
      <c r="U1523" t="s">
        <v>75</v>
      </c>
      <c r="V1523">
        <v>4.3</v>
      </c>
      <c r="W1523" t="s">
        <v>54</v>
      </c>
      <c r="X1523" t="s">
        <v>106</v>
      </c>
      <c r="Y1523" t="s">
        <v>72</v>
      </c>
    </row>
    <row r="1524" spans="1:25" x14ac:dyDescent="0.3">
      <c r="A1524" t="s">
        <v>3125</v>
      </c>
      <c r="B1524" s="1">
        <v>46448</v>
      </c>
      <c r="C1524" t="s">
        <v>43</v>
      </c>
      <c r="D1524" t="s">
        <v>58</v>
      </c>
      <c r="E1524" t="s">
        <v>4085</v>
      </c>
      <c r="F1524" t="s">
        <v>60</v>
      </c>
      <c r="G1524" t="s">
        <v>29</v>
      </c>
      <c r="H1524" t="s">
        <v>59</v>
      </c>
      <c r="I1524">
        <v>14</v>
      </c>
      <c r="J1524" t="s">
        <v>3126</v>
      </c>
      <c r="K1524">
        <v>62</v>
      </c>
      <c r="L1524" t="s">
        <v>32</v>
      </c>
      <c r="M1524">
        <v>4</v>
      </c>
      <c r="N1524" t="s">
        <v>91</v>
      </c>
      <c r="O1524" t="s">
        <v>69</v>
      </c>
      <c r="P1524" t="s">
        <v>50</v>
      </c>
      <c r="Q1524" s="2">
        <v>25184.97</v>
      </c>
      <c r="R1524" s="2">
        <v>3830.86</v>
      </c>
      <c r="S1524" t="s">
        <v>51</v>
      </c>
      <c r="T1524" t="s">
        <v>71</v>
      </c>
      <c r="U1524" t="s">
        <v>83</v>
      </c>
      <c r="V1524">
        <v>2.1</v>
      </c>
      <c r="W1524" t="s">
        <v>76</v>
      </c>
      <c r="X1524" t="s">
        <v>84</v>
      </c>
      <c r="Y1524" t="s">
        <v>41</v>
      </c>
    </row>
    <row r="1525" spans="1:25" x14ac:dyDescent="0.3">
      <c r="A1525" t="s">
        <v>3127</v>
      </c>
      <c r="B1525" s="1">
        <v>46449</v>
      </c>
      <c r="C1525" t="s">
        <v>57</v>
      </c>
      <c r="D1525" t="s">
        <v>44</v>
      </c>
      <c r="E1525" t="s">
        <v>120</v>
      </c>
      <c r="F1525" t="s">
        <v>28</v>
      </c>
      <c r="G1525" t="s">
        <v>29</v>
      </c>
      <c r="H1525" t="s">
        <v>86</v>
      </c>
      <c r="I1525">
        <v>12</v>
      </c>
      <c r="J1525" t="s">
        <v>3128</v>
      </c>
      <c r="K1525">
        <v>61</v>
      </c>
      <c r="L1525" t="s">
        <v>63</v>
      </c>
      <c r="M1525">
        <v>5</v>
      </c>
      <c r="N1525" t="s">
        <v>48</v>
      </c>
      <c r="O1525" t="s">
        <v>69</v>
      </c>
      <c r="P1525" t="s">
        <v>50</v>
      </c>
      <c r="Q1525" s="2">
        <v>15054.23</v>
      </c>
      <c r="R1525" s="2">
        <v>1572.72</v>
      </c>
      <c r="S1525" t="s">
        <v>36</v>
      </c>
      <c r="T1525" t="s">
        <v>37</v>
      </c>
      <c r="U1525" t="s">
        <v>53</v>
      </c>
      <c r="V1525">
        <v>4.3</v>
      </c>
      <c r="W1525" t="s">
        <v>54</v>
      </c>
      <c r="X1525" t="s">
        <v>84</v>
      </c>
      <c r="Y1525" t="s">
        <v>41</v>
      </c>
    </row>
    <row r="1526" spans="1:25" x14ac:dyDescent="0.3">
      <c r="A1526" t="s">
        <v>3129</v>
      </c>
      <c r="B1526" s="1">
        <v>46450</v>
      </c>
      <c r="C1526" t="s">
        <v>117</v>
      </c>
      <c r="D1526" t="s">
        <v>4083</v>
      </c>
      <c r="E1526" t="s">
        <v>89</v>
      </c>
      <c r="F1526" t="s">
        <v>28</v>
      </c>
      <c r="G1526" t="s">
        <v>29</v>
      </c>
      <c r="H1526" t="s">
        <v>61</v>
      </c>
      <c r="I1526">
        <v>6</v>
      </c>
      <c r="J1526" t="s">
        <v>3130</v>
      </c>
      <c r="K1526">
        <v>44</v>
      </c>
      <c r="L1526" t="s">
        <v>80</v>
      </c>
      <c r="M1526">
        <v>6</v>
      </c>
      <c r="N1526" t="s">
        <v>64</v>
      </c>
      <c r="O1526" t="s">
        <v>49</v>
      </c>
      <c r="P1526" t="s">
        <v>50</v>
      </c>
      <c r="Q1526" s="2">
        <v>18935.16</v>
      </c>
      <c r="R1526" s="2">
        <v>1138.72</v>
      </c>
      <c r="S1526" t="s">
        <v>94</v>
      </c>
      <c r="T1526" t="s">
        <v>71</v>
      </c>
      <c r="U1526" t="s">
        <v>83</v>
      </c>
      <c r="V1526">
        <v>3.8</v>
      </c>
      <c r="W1526" t="s">
        <v>54</v>
      </c>
      <c r="X1526" t="s">
        <v>65</v>
      </c>
      <c r="Y1526" t="s">
        <v>72</v>
      </c>
    </row>
    <row r="1527" spans="1:25" x14ac:dyDescent="0.3">
      <c r="A1527" t="s">
        <v>3131</v>
      </c>
      <c r="B1527" s="1">
        <v>46451</v>
      </c>
      <c r="C1527" t="s">
        <v>57</v>
      </c>
      <c r="D1527" t="s">
        <v>44</v>
      </c>
      <c r="E1527" t="s">
        <v>120</v>
      </c>
      <c r="F1527" t="s">
        <v>28</v>
      </c>
      <c r="G1527" t="s">
        <v>29</v>
      </c>
      <c r="H1527" t="s">
        <v>86</v>
      </c>
      <c r="I1527">
        <v>14</v>
      </c>
      <c r="J1527" t="s">
        <v>3132</v>
      </c>
      <c r="K1527">
        <v>50</v>
      </c>
      <c r="L1527" t="s">
        <v>80</v>
      </c>
      <c r="M1527">
        <v>5</v>
      </c>
      <c r="N1527" t="s">
        <v>48</v>
      </c>
      <c r="O1527" t="s">
        <v>49</v>
      </c>
      <c r="P1527" t="s">
        <v>82</v>
      </c>
      <c r="Q1527" s="2">
        <v>36528.1</v>
      </c>
      <c r="R1527" s="2">
        <v>2033.7</v>
      </c>
      <c r="S1527" t="s">
        <v>94</v>
      </c>
      <c r="T1527" t="s">
        <v>71</v>
      </c>
      <c r="U1527" t="s">
        <v>53</v>
      </c>
      <c r="V1527">
        <v>5</v>
      </c>
      <c r="W1527" t="s">
        <v>103</v>
      </c>
      <c r="X1527" t="s">
        <v>65</v>
      </c>
      <c r="Y1527" t="s">
        <v>41</v>
      </c>
    </row>
    <row r="1528" spans="1:25" x14ac:dyDescent="0.3">
      <c r="A1528" t="s">
        <v>3133</v>
      </c>
      <c r="B1528" s="1">
        <v>46452</v>
      </c>
      <c r="C1528" t="s">
        <v>57</v>
      </c>
      <c r="D1528" t="s">
        <v>44</v>
      </c>
      <c r="E1528" t="s">
        <v>4084</v>
      </c>
      <c r="F1528" t="s">
        <v>60</v>
      </c>
      <c r="G1528" t="s">
        <v>29</v>
      </c>
      <c r="H1528" t="s">
        <v>30</v>
      </c>
      <c r="I1528">
        <v>10</v>
      </c>
      <c r="J1528" t="s">
        <v>3134</v>
      </c>
      <c r="K1528">
        <v>39</v>
      </c>
      <c r="L1528" t="s">
        <v>63</v>
      </c>
      <c r="M1528">
        <v>4</v>
      </c>
      <c r="N1528" t="s">
        <v>91</v>
      </c>
      <c r="O1528" t="s">
        <v>69</v>
      </c>
      <c r="P1528" t="s">
        <v>50</v>
      </c>
      <c r="Q1528" s="2">
        <v>15088.58</v>
      </c>
      <c r="R1528" s="2">
        <v>121.13</v>
      </c>
      <c r="S1528" t="s">
        <v>36</v>
      </c>
      <c r="T1528" t="s">
        <v>52</v>
      </c>
      <c r="U1528" t="s">
        <v>83</v>
      </c>
      <c r="V1528">
        <v>4.7</v>
      </c>
      <c r="W1528" t="s">
        <v>103</v>
      </c>
      <c r="X1528" t="s">
        <v>55</v>
      </c>
      <c r="Y1528" t="s">
        <v>41</v>
      </c>
    </row>
    <row r="1529" spans="1:25" x14ac:dyDescent="0.3">
      <c r="A1529" t="s">
        <v>3135</v>
      </c>
      <c r="B1529" s="1">
        <v>46453</v>
      </c>
      <c r="C1529" t="s">
        <v>78</v>
      </c>
      <c r="D1529" t="s">
        <v>58</v>
      </c>
      <c r="E1529" t="s">
        <v>45</v>
      </c>
      <c r="F1529" t="s">
        <v>28</v>
      </c>
      <c r="G1529" t="s">
        <v>29</v>
      </c>
      <c r="H1529" t="s">
        <v>67</v>
      </c>
      <c r="I1529">
        <v>13</v>
      </c>
      <c r="J1529" t="s">
        <v>3136</v>
      </c>
      <c r="K1529">
        <v>46</v>
      </c>
      <c r="L1529" t="s">
        <v>80</v>
      </c>
      <c r="M1529">
        <v>1</v>
      </c>
      <c r="N1529" t="s">
        <v>48</v>
      </c>
      <c r="O1529" t="s">
        <v>69</v>
      </c>
      <c r="P1529" t="s">
        <v>35</v>
      </c>
      <c r="Q1529" s="2">
        <v>32977.699999999997</v>
      </c>
      <c r="R1529" s="2">
        <v>4593.78</v>
      </c>
      <c r="S1529" t="s">
        <v>36</v>
      </c>
      <c r="T1529" t="s">
        <v>37</v>
      </c>
      <c r="U1529" t="s">
        <v>75</v>
      </c>
      <c r="V1529">
        <v>3.1</v>
      </c>
      <c r="W1529" t="s">
        <v>39</v>
      </c>
      <c r="X1529" t="s">
        <v>40</v>
      </c>
      <c r="Y1529" t="s">
        <v>72</v>
      </c>
    </row>
    <row r="1530" spans="1:25" x14ac:dyDescent="0.3">
      <c r="A1530" t="s">
        <v>3137</v>
      </c>
      <c r="B1530" s="1">
        <v>46454</v>
      </c>
      <c r="C1530" t="s">
        <v>78</v>
      </c>
      <c r="D1530" t="s">
        <v>58</v>
      </c>
      <c r="E1530" t="s">
        <v>4084</v>
      </c>
      <c r="F1530" t="s">
        <v>60</v>
      </c>
      <c r="G1530" t="s">
        <v>29</v>
      </c>
      <c r="H1530" t="s">
        <v>30</v>
      </c>
      <c r="I1530">
        <v>11</v>
      </c>
      <c r="J1530" t="s">
        <v>3138</v>
      </c>
      <c r="K1530">
        <v>36</v>
      </c>
      <c r="L1530" t="s">
        <v>63</v>
      </c>
      <c r="M1530">
        <v>6</v>
      </c>
      <c r="N1530" t="s">
        <v>48</v>
      </c>
      <c r="O1530" t="s">
        <v>81</v>
      </c>
      <c r="P1530" t="s">
        <v>82</v>
      </c>
      <c r="Q1530" s="2">
        <v>31538.19</v>
      </c>
      <c r="R1530" s="2">
        <v>1935.07</v>
      </c>
      <c r="S1530" t="s">
        <v>94</v>
      </c>
      <c r="T1530" t="s">
        <v>37</v>
      </c>
      <c r="U1530" t="s">
        <v>75</v>
      </c>
      <c r="V1530">
        <v>4</v>
      </c>
      <c r="W1530" t="s">
        <v>39</v>
      </c>
      <c r="X1530" t="s">
        <v>55</v>
      </c>
      <c r="Y1530" t="s">
        <v>41</v>
      </c>
    </row>
    <row r="1531" spans="1:25" x14ac:dyDescent="0.3">
      <c r="A1531" t="s">
        <v>3139</v>
      </c>
      <c r="B1531" s="1">
        <v>46455</v>
      </c>
      <c r="C1531" t="s">
        <v>78</v>
      </c>
      <c r="D1531" t="s">
        <v>58</v>
      </c>
      <c r="E1531" t="s">
        <v>120</v>
      </c>
      <c r="F1531" t="s">
        <v>28</v>
      </c>
      <c r="G1531" t="s">
        <v>29</v>
      </c>
      <c r="H1531" t="s">
        <v>86</v>
      </c>
      <c r="I1531">
        <v>5</v>
      </c>
      <c r="J1531" t="s">
        <v>3140</v>
      </c>
      <c r="K1531">
        <v>36</v>
      </c>
      <c r="L1531" t="s">
        <v>63</v>
      </c>
      <c r="M1531">
        <v>6</v>
      </c>
      <c r="N1531" t="s">
        <v>48</v>
      </c>
      <c r="O1531" t="s">
        <v>69</v>
      </c>
      <c r="P1531" t="s">
        <v>82</v>
      </c>
      <c r="Q1531" s="2">
        <v>48668.79</v>
      </c>
      <c r="R1531" s="2">
        <v>4942.78</v>
      </c>
      <c r="S1531" t="s">
        <v>115</v>
      </c>
      <c r="T1531" t="s">
        <v>71</v>
      </c>
      <c r="U1531" t="s">
        <v>83</v>
      </c>
      <c r="V1531">
        <v>3.3</v>
      </c>
      <c r="W1531" t="s">
        <v>39</v>
      </c>
      <c r="X1531" t="s">
        <v>65</v>
      </c>
      <c r="Y1531" t="s">
        <v>72</v>
      </c>
    </row>
    <row r="1532" spans="1:25" x14ac:dyDescent="0.3">
      <c r="A1532" t="s">
        <v>3141</v>
      </c>
      <c r="B1532" s="1">
        <v>46456</v>
      </c>
      <c r="C1532" t="s">
        <v>78</v>
      </c>
      <c r="D1532" t="s">
        <v>58</v>
      </c>
      <c r="E1532" t="s">
        <v>4085</v>
      </c>
      <c r="F1532" t="s">
        <v>60</v>
      </c>
      <c r="G1532" t="s">
        <v>29</v>
      </c>
      <c r="H1532" t="s">
        <v>46</v>
      </c>
      <c r="I1532">
        <v>7</v>
      </c>
      <c r="J1532" t="s">
        <v>3142</v>
      </c>
      <c r="K1532">
        <v>23</v>
      </c>
      <c r="L1532" t="s">
        <v>80</v>
      </c>
      <c r="M1532">
        <v>2</v>
      </c>
      <c r="N1532" t="s">
        <v>33</v>
      </c>
      <c r="O1532" t="s">
        <v>81</v>
      </c>
      <c r="P1532" t="s">
        <v>82</v>
      </c>
      <c r="Q1532" s="2">
        <v>7735.18</v>
      </c>
      <c r="R1532" s="2">
        <v>3807.25</v>
      </c>
      <c r="S1532" t="s">
        <v>115</v>
      </c>
      <c r="T1532" t="s">
        <v>71</v>
      </c>
      <c r="U1532" t="s">
        <v>38</v>
      </c>
      <c r="V1532">
        <v>3.4</v>
      </c>
      <c r="W1532" t="s">
        <v>76</v>
      </c>
      <c r="X1532" t="s">
        <v>106</v>
      </c>
      <c r="Y1532" t="s">
        <v>41</v>
      </c>
    </row>
    <row r="1533" spans="1:25" x14ac:dyDescent="0.3">
      <c r="A1533" t="s">
        <v>3143</v>
      </c>
      <c r="B1533" s="1">
        <v>46457</v>
      </c>
      <c r="C1533" t="s">
        <v>43</v>
      </c>
      <c r="D1533" t="s">
        <v>58</v>
      </c>
      <c r="E1533" t="s">
        <v>45</v>
      </c>
      <c r="F1533" t="s">
        <v>28</v>
      </c>
      <c r="G1533" t="s">
        <v>29</v>
      </c>
      <c r="H1533" t="s">
        <v>67</v>
      </c>
      <c r="I1533">
        <v>6</v>
      </c>
      <c r="J1533" t="s">
        <v>3144</v>
      </c>
      <c r="K1533">
        <v>62</v>
      </c>
      <c r="L1533" t="s">
        <v>80</v>
      </c>
      <c r="M1533">
        <v>6</v>
      </c>
      <c r="N1533" t="s">
        <v>91</v>
      </c>
      <c r="O1533" t="s">
        <v>49</v>
      </c>
      <c r="P1533" t="s">
        <v>50</v>
      </c>
      <c r="Q1533" s="2">
        <v>9865.52</v>
      </c>
      <c r="R1533" s="2">
        <v>402.58</v>
      </c>
      <c r="S1533" t="s">
        <v>94</v>
      </c>
      <c r="T1533" t="s">
        <v>52</v>
      </c>
      <c r="U1533" t="s">
        <v>38</v>
      </c>
      <c r="V1533">
        <v>1.4</v>
      </c>
      <c r="W1533" t="s">
        <v>124</v>
      </c>
      <c r="X1533" t="s">
        <v>65</v>
      </c>
      <c r="Y1533" t="s">
        <v>41</v>
      </c>
    </row>
    <row r="1534" spans="1:25" x14ac:dyDescent="0.3">
      <c r="A1534" t="s">
        <v>3145</v>
      </c>
      <c r="B1534" s="1">
        <v>46458</v>
      </c>
      <c r="C1534" t="s">
        <v>26</v>
      </c>
      <c r="D1534" t="s">
        <v>26</v>
      </c>
      <c r="E1534" t="s">
        <v>4084</v>
      </c>
      <c r="F1534" t="s">
        <v>60</v>
      </c>
      <c r="G1534" t="s">
        <v>29</v>
      </c>
      <c r="H1534" t="s">
        <v>27</v>
      </c>
      <c r="I1534">
        <v>14</v>
      </c>
      <c r="J1534" t="s">
        <v>3146</v>
      </c>
      <c r="K1534">
        <v>36</v>
      </c>
      <c r="L1534" t="s">
        <v>80</v>
      </c>
      <c r="M1534">
        <v>7</v>
      </c>
      <c r="N1534" t="s">
        <v>91</v>
      </c>
      <c r="O1534" t="s">
        <v>69</v>
      </c>
      <c r="P1534" t="s">
        <v>82</v>
      </c>
      <c r="Q1534" s="2">
        <v>27773.759999999998</v>
      </c>
      <c r="R1534" s="2">
        <v>3300.94</v>
      </c>
      <c r="S1534" t="s">
        <v>94</v>
      </c>
      <c r="T1534" t="s">
        <v>71</v>
      </c>
      <c r="U1534" t="s">
        <v>83</v>
      </c>
      <c r="V1534">
        <v>1</v>
      </c>
      <c r="W1534" t="s">
        <v>124</v>
      </c>
      <c r="X1534" t="s">
        <v>40</v>
      </c>
      <c r="Y1534" t="s">
        <v>72</v>
      </c>
    </row>
    <row r="1535" spans="1:25" x14ac:dyDescent="0.3">
      <c r="A1535" t="s">
        <v>3147</v>
      </c>
      <c r="B1535" s="1">
        <v>46459</v>
      </c>
      <c r="C1535" t="s">
        <v>117</v>
      </c>
      <c r="D1535" t="s">
        <v>4083</v>
      </c>
      <c r="E1535" t="s">
        <v>89</v>
      </c>
      <c r="F1535" t="s">
        <v>28</v>
      </c>
      <c r="G1535" t="s">
        <v>29</v>
      </c>
      <c r="H1535" t="s">
        <v>61</v>
      </c>
      <c r="I1535">
        <v>12</v>
      </c>
      <c r="J1535" t="s">
        <v>3148</v>
      </c>
      <c r="K1535">
        <v>30</v>
      </c>
      <c r="L1535" t="s">
        <v>80</v>
      </c>
      <c r="M1535">
        <v>7</v>
      </c>
      <c r="N1535" t="s">
        <v>48</v>
      </c>
      <c r="O1535" t="s">
        <v>49</v>
      </c>
      <c r="P1535" t="s">
        <v>50</v>
      </c>
      <c r="Q1535" s="2">
        <v>28719.94</v>
      </c>
      <c r="R1535" s="2">
        <v>1354.2</v>
      </c>
      <c r="S1535" t="s">
        <v>36</v>
      </c>
      <c r="T1535" t="s">
        <v>37</v>
      </c>
      <c r="U1535" t="s">
        <v>38</v>
      </c>
      <c r="V1535">
        <v>1.2</v>
      </c>
      <c r="W1535" t="s">
        <v>124</v>
      </c>
      <c r="X1535" t="s">
        <v>106</v>
      </c>
      <c r="Y1535" t="s">
        <v>72</v>
      </c>
    </row>
    <row r="1536" spans="1:25" x14ac:dyDescent="0.3">
      <c r="A1536" t="s">
        <v>3149</v>
      </c>
      <c r="B1536" s="1">
        <v>46460</v>
      </c>
      <c r="C1536" t="s">
        <v>57</v>
      </c>
      <c r="D1536" t="s">
        <v>44</v>
      </c>
      <c r="E1536" t="s">
        <v>4085</v>
      </c>
      <c r="F1536" t="s">
        <v>60</v>
      </c>
      <c r="G1536" t="s">
        <v>29</v>
      </c>
      <c r="H1536" t="s">
        <v>46</v>
      </c>
      <c r="I1536">
        <v>8</v>
      </c>
      <c r="J1536" t="s">
        <v>3150</v>
      </c>
      <c r="K1536">
        <v>43</v>
      </c>
      <c r="L1536" t="s">
        <v>63</v>
      </c>
      <c r="M1536">
        <v>6</v>
      </c>
      <c r="N1536" t="s">
        <v>48</v>
      </c>
      <c r="O1536" t="s">
        <v>34</v>
      </c>
      <c r="P1536" t="s">
        <v>50</v>
      </c>
      <c r="Q1536" s="2">
        <v>6796.74</v>
      </c>
      <c r="R1536" s="2">
        <v>1218.5899999999999</v>
      </c>
      <c r="S1536" t="s">
        <v>36</v>
      </c>
      <c r="T1536" t="s">
        <v>52</v>
      </c>
      <c r="U1536" t="s">
        <v>75</v>
      </c>
      <c r="V1536">
        <v>4.9000000000000004</v>
      </c>
      <c r="W1536" t="s">
        <v>103</v>
      </c>
      <c r="X1536" t="s">
        <v>55</v>
      </c>
      <c r="Y1536" t="s">
        <v>41</v>
      </c>
    </row>
    <row r="1537" spans="1:25" x14ac:dyDescent="0.3">
      <c r="A1537" t="s">
        <v>3151</v>
      </c>
      <c r="B1537" s="1">
        <v>46461</v>
      </c>
      <c r="C1537" t="s">
        <v>43</v>
      </c>
      <c r="D1537" t="s">
        <v>58</v>
      </c>
      <c r="E1537" t="s">
        <v>4084</v>
      </c>
      <c r="F1537" t="s">
        <v>60</v>
      </c>
      <c r="G1537" t="s">
        <v>29</v>
      </c>
      <c r="H1537" t="s">
        <v>27</v>
      </c>
      <c r="I1537">
        <v>13</v>
      </c>
      <c r="J1537" t="s">
        <v>3152</v>
      </c>
      <c r="K1537">
        <v>39</v>
      </c>
      <c r="L1537" t="s">
        <v>80</v>
      </c>
      <c r="M1537">
        <v>1</v>
      </c>
      <c r="N1537" t="s">
        <v>91</v>
      </c>
      <c r="O1537" t="s">
        <v>34</v>
      </c>
      <c r="P1537" t="s">
        <v>82</v>
      </c>
      <c r="Q1537" s="2">
        <v>42163.49</v>
      </c>
      <c r="R1537" s="2">
        <v>1282.81</v>
      </c>
      <c r="S1537" t="s">
        <v>94</v>
      </c>
      <c r="T1537" t="s">
        <v>37</v>
      </c>
      <c r="U1537" t="s">
        <v>38</v>
      </c>
      <c r="V1537">
        <v>1.5</v>
      </c>
      <c r="W1537" t="s">
        <v>124</v>
      </c>
      <c r="X1537" t="s">
        <v>55</v>
      </c>
      <c r="Y1537" t="s">
        <v>41</v>
      </c>
    </row>
    <row r="1538" spans="1:25" x14ac:dyDescent="0.3">
      <c r="A1538" t="s">
        <v>3153</v>
      </c>
      <c r="B1538" s="1">
        <v>46462</v>
      </c>
      <c r="C1538" t="s">
        <v>117</v>
      </c>
      <c r="D1538" t="s">
        <v>4083</v>
      </c>
      <c r="E1538" t="s">
        <v>89</v>
      </c>
      <c r="F1538" t="s">
        <v>28</v>
      </c>
      <c r="G1538" t="s">
        <v>29</v>
      </c>
      <c r="H1538" t="s">
        <v>61</v>
      </c>
      <c r="I1538">
        <v>12</v>
      </c>
      <c r="J1538" t="s">
        <v>3154</v>
      </c>
      <c r="K1538">
        <v>38</v>
      </c>
      <c r="L1538" t="s">
        <v>80</v>
      </c>
      <c r="M1538">
        <v>2</v>
      </c>
      <c r="N1538" t="s">
        <v>64</v>
      </c>
      <c r="O1538" t="s">
        <v>34</v>
      </c>
      <c r="P1538" t="s">
        <v>82</v>
      </c>
      <c r="Q1538" s="2">
        <v>27262.560000000001</v>
      </c>
      <c r="R1538" s="2">
        <v>4580.38</v>
      </c>
      <c r="S1538" t="s">
        <v>94</v>
      </c>
      <c r="T1538" t="s">
        <v>71</v>
      </c>
      <c r="U1538" t="s">
        <v>83</v>
      </c>
      <c r="V1538">
        <v>1.2</v>
      </c>
      <c r="W1538" t="s">
        <v>124</v>
      </c>
      <c r="X1538" t="s">
        <v>65</v>
      </c>
      <c r="Y1538" t="s">
        <v>72</v>
      </c>
    </row>
    <row r="1539" spans="1:25" x14ac:dyDescent="0.3">
      <c r="A1539" t="s">
        <v>3155</v>
      </c>
      <c r="B1539" s="1">
        <v>46463</v>
      </c>
      <c r="C1539" t="s">
        <v>43</v>
      </c>
      <c r="D1539" t="s">
        <v>58</v>
      </c>
      <c r="E1539" t="s">
        <v>120</v>
      </c>
      <c r="F1539" t="s">
        <v>28</v>
      </c>
      <c r="G1539" t="s">
        <v>29</v>
      </c>
      <c r="H1539" t="s">
        <v>86</v>
      </c>
      <c r="I1539">
        <v>6</v>
      </c>
      <c r="J1539" t="s">
        <v>3156</v>
      </c>
      <c r="K1539">
        <v>53</v>
      </c>
      <c r="L1539" t="s">
        <v>32</v>
      </c>
      <c r="M1539">
        <v>3</v>
      </c>
      <c r="N1539" t="s">
        <v>33</v>
      </c>
      <c r="O1539" t="s">
        <v>69</v>
      </c>
      <c r="P1539" t="s">
        <v>35</v>
      </c>
      <c r="Q1539" s="2">
        <v>20598.97</v>
      </c>
      <c r="R1539" s="2">
        <v>2499.9</v>
      </c>
      <c r="S1539" t="s">
        <v>94</v>
      </c>
      <c r="T1539" t="s">
        <v>52</v>
      </c>
      <c r="U1539" t="s">
        <v>38</v>
      </c>
      <c r="V1539">
        <v>2.2000000000000002</v>
      </c>
      <c r="W1539" t="s">
        <v>76</v>
      </c>
      <c r="X1539" t="s">
        <v>65</v>
      </c>
      <c r="Y1539" t="s">
        <v>72</v>
      </c>
    </row>
    <row r="1540" spans="1:25" x14ac:dyDescent="0.3">
      <c r="A1540" t="s">
        <v>3157</v>
      </c>
      <c r="B1540" s="1">
        <v>46464</v>
      </c>
      <c r="C1540" t="s">
        <v>43</v>
      </c>
      <c r="D1540" t="s">
        <v>58</v>
      </c>
      <c r="E1540" t="s">
        <v>89</v>
      </c>
      <c r="F1540" t="s">
        <v>28</v>
      </c>
      <c r="G1540" t="s">
        <v>29</v>
      </c>
      <c r="H1540" t="s">
        <v>61</v>
      </c>
      <c r="I1540">
        <v>10</v>
      </c>
      <c r="J1540" t="s">
        <v>3158</v>
      </c>
      <c r="K1540">
        <v>19</v>
      </c>
      <c r="L1540" t="s">
        <v>80</v>
      </c>
      <c r="M1540">
        <v>5</v>
      </c>
      <c r="N1540" t="s">
        <v>91</v>
      </c>
      <c r="O1540" t="s">
        <v>49</v>
      </c>
      <c r="P1540" t="s">
        <v>82</v>
      </c>
      <c r="Q1540" s="2">
        <v>19348.419999999998</v>
      </c>
      <c r="R1540" s="2">
        <v>3347.35</v>
      </c>
      <c r="S1540" t="s">
        <v>94</v>
      </c>
      <c r="T1540" t="s">
        <v>37</v>
      </c>
      <c r="U1540" t="s">
        <v>83</v>
      </c>
      <c r="V1540">
        <v>3.4</v>
      </c>
      <c r="W1540" t="s">
        <v>76</v>
      </c>
      <c r="X1540" t="s">
        <v>55</v>
      </c>
      <c r="Y1540" t="s">
        <v>41</v>
      </c>
    </row>
    <row r="1541" spans="1:25" x14ac:dyDescent="0.3">
      <c r="A1541" t="s">
        <v>3159</v>
      </c>
      <c r="B1541" s="1">
        <v>46465</v>
      </c>
      <c r="C1541" t="s">
        <v>57</v>
      </c>
      <c r="D1541" t="s">
        <v>44</v>
      </c>
      <c r="E1541" t="s">
        <v>4084</v>
      </c>
      <c r="F1541" t="s">
        <v>60</v>
      </c>
      <c r="G1541" t="s">
        <v>29</v>
      </c>
      <c r="H1541" t="s">
        <v>30</v>
      </c>
      <c r="I1541">
        <v>5</v>
      </c>
      <c r="J1541" t="s">
        <v>3160</v>
      </c>
      <c r="K1541">
        <v>64</v>
      </c>
      <c r="L1541" t="s">
        <v>80</v>
      </c>
      <c r="M1541">
        <v>4</v>
      </c>
      <c r="N1541" t="s">
        <v>48</v>
      </c>
      <c r="O1541" t="s">
        <v>69</v>
      </c>
      <c r="P1541" t="s">
        <v>50</v>
      </c>
      <c r="Q1541" s="2">
        <v>43763.32</v>
      </c>
      <c r="R1541" s="2">
        <v>1404.74</v>
      </c>
      <c r="S1541" t="s">
        <v>115</v>
      </c>
      <c r="T1541" t="s">
        <v>37</v>
      </c>
      <c r="U1541" t="s">
        <v>75</v>
      </c>
      <c r="V1541">
        <v>4.8</v>
      </c>
      <c r="W1541" t="s">
        <v>103</v>
      </c>
      <c r="X1541" t="s">
        <v>55</v>
      </c>
      <c r="Y1541" t="s">
        <v>41</v>
      </c>
    </row>
    <row r="1542" spans="1:25" x14ac:dyDescent="0.3">
      <c r="A1542" t="s">
        <v>3161</v>
      </c>
      <c r="B1542" s="1">
        <v>46466</v>
      </c>
      <c r="C1542" t="s">
        <v>26</v>
      </c>
      <c r="D1542" t="s">
        <v>26</v>
      </c>
      <c r="E1542" t="s">
        <v>4084</v>
      </c>
      <c r="F1542" t="s">
        <v>60</v>
      </c>
      <c r="G1542" t="s">
        <v>29</v>
      </c>
      <c r="H1542" t="s">
        <v>27</v>
      </c>
      <c r="I1542">
        <v>13</v>
      </c>
      <c r="J1542" t="s">
        <v>3162</v>
      </c>
      <c r="K1542">
        <v>61</v>
      </c>
      <c r="L1542" t="s">
        <v>63</v>
      </c>
      <c r="M1542">
        <v>3</v>
      </c>
      <c r="N1542" t="s">
        <v>64</v>
      </c>
      <c r="O1542" t="s">
        <v>49</v>
      </c>
      <c r="P1542" t="s">
        <v>35</v>
      </c>
      <c r="Q1542" s="2">
        <v>13852.98</v>
      </c>
      <c r="R1542" s="2">
        <v>2614.77</v>
      </c>
      <c r="S1542" t="s">
        <v>36</v>
      </c>
      <c r="T1542" t="s">
        <v>37</v>
      </c>
      <c r="U1542" t="s">
        <v>53</v>
      </c>
      <c r="V1542">
        <v>3.8</v>
      </c>
      <c r="W1542" t="s">
        <v>54</v>
      </c>
      <c r="X1542" t="s">
        <v>84</v>
      </c>
      <c r="Y1542" t="s">
        <v>41</v>
      </c>
    </row>
    <row r="1543" spans="1:25" x14ac:dyDescent="0.3">
      <c r="A1543" t="s">
        <v>3163</v>
      </c>
      <c r="B1543" s="1">
        <v>46467</v>
      </c>
      <c r="C1543" t="s">
        <v>78</v>
      </c>
      <c r="D1543" t="s">
        <v>58</v>
      </c>
      <c r="E1543" t="s">
        <v>120</v>
      </c>
      <c r="F1543" t="s">
        <v>28</v>
      </c>
      <c r="G1543" t="s">
        <v>29</v>
      </c>
      <c r="H1543" t="s">
        <v>86</v>
      </c>
      <c r="I1543">
        <v>7</v>
      </c>
      <c r="J1543" t="s">
        <v>3164</v>
      </c>
      <c r="K1543">
        <v>47</v>
      </c>
      <c r="L1543" t="s">
        <v>63</v>
      </c>
      <c r="M1543">
        <v>2</v>
      </c>
      <c r="N1543" t="s">
        <v>64</v>
      </c>
      <c r="O1543" t="s">
        <v>81</v>
      </c>
      <c r="P1543" t="s">
        <v>35</v>
      </c>
      <c r="Q1543" s="2">
        <v>12218.8</v>
      </c>
      <c r="R1543" s="2">
        <v>1750.5</v>
      </c>
      <c r="S1543" t="s">
        <v>51</v>
      </c>
      <c r="T1543" t="s">
        <v>71</v>
      </c>
      <c r="U1543" t="s">
        <v>75</v>
      </c>
      <c r="V1543">
        <v>2.1</v>
      </c>
      <c r="W1543" t="s">
        <v>76</v>
      </c>
      <c r="X1543" t="s">
        <v>40</v>
      </c>
      <c r="Y1543" t="s">
        <v>72</v>
      </c>
    </row>
    <row r="1544" spans="1:25" x14ac:dyDescent="0.3">
      <c r="A1544" t="s">
        <v>3165</v>
      </c>
      <c r="B1544" s="1">
        <v>46468</v>
      </c>
      <c r="C1544" t="s">
        <v>26</v>
      </c>
      <c r="D1544" t="s">
        <v>26</v>
      </c>
      <c r="E1544" t="s">
        <v>89</v>
      </c>
      <c r="F1544" t="s">
        <v>28</v>
      </c>
      <c r="G1544" t="s">
        <v>29</v>
      </c>
      <c r="H1544" t="s">
        <v>61</v>
      </c>
      <c r="I1544">
        <v>3</v>
      </c>
      <c r="J1544" t="s">
        <v>3166</v>
      </c>
      <c r="K1544">
        <v>44</v>
      </c>
      <c r="L1544" t="s">
        <v>32</v>
      </c>
      <c r="M1544">
        <v>7</v>
      </c>
      <c r="N1544" t="s">
        <v>64</v>
      </c>
      <c r="O1544" t="s">
        <v>69</v>
      </c>
      <c r="P1544" t="s">
        <v>50</v>
      </c>
      <c r="Q1544" s="2">
        <v>14593.03</v>
      </c>
      <c r="R1544" s="2">
        <v>1605.7</v>
      </c>
      <c r="S1544" t="s">
        <v>94</v>
      </c>
      <c r="T1544" t="s">
        <v>71</v>
      </c>
      <c r="U1544" t="s">
        <v>75</v>
      </c>
      <c r="V1544">
        <v>4.8</v>
      </c>
      <c r="W1544" t="s">
        <v>103</v>
      </c>
      <c r="X1544" t="s">
        <v>84</v>
      </c>
      <c r="Y1544" t="s">
        <v>41</v>
      </c>
    </row>
    <row r="1545" spans="1:25" x14ac:dyDescent="0.3">
      <c r="A1545" t="s">
        <v>3167</v>
      </c>
      <c r="B1545" s="1">
        <v>46469</v>
      </c>
      <c r="C1545" t="s">
        <v>57</v>
      </c>
      <c r="D1545" t="s">
        <v>44</v>
      </c>
      <c r="E1545" t="s">
        <v>89</v>
      </c>
      <c r="F1545" t="s">
        <v>28</v>
      </c>
      <c r="G1545" t="s">
        <v>29</v>
      </c>
      <c r="H1545" t="s">
        <v>61</v>
      </c>
      <c r="I1545">
        <v>8</v>
      </c>
      <c r="J1545" t="s">
        <v>3168</v>
      </c>
      <c r="K1545">
        <v>24</v>
      </c>
      <c r="L1545" t="s">
        <v>80</v>
      </c>
      <c r="M1545">
        <v>7</v>
      </c>
      <c r="N1545" t="s">
        <v>33</v>
      </c>
      <c r="O1545" t="s">
        <v>34</v>
      </c>
      <c r="P1545" t="s">
        <v>82</v>
      </c>
      <c r="Q1545" s="2">
        <v>33126.01</v>
      </c>
      <c r="R1545" s="2">
        <v>1234.8399999999999</v>
      </c>
      <c r="S1545" t="s">
        <v>94</v>
      </c>
      <c r="T1545" t="s">
        <v>71</v>
      </c>
      <c r="U1545" t="s">
        <v>83</v>
      </c>
      <c r="V1545">
        <v>1.1000000000000001</v>
      </c>
      <c r="W1545" t="s">
        <v>124</v>
      </c>
      <c r="X1545" t="s">
        <v>84</v>
      </c>
      <c r="Y1545" t="s">
        <v>72</v>
      </c>
    </row>
    <row r="1546" spans="1:25" x14ac:dyDescent="0.3">
      <c r="A1546" t="s">
        <v>3169</v>
      </c>
      <c r="B1546" s="1">
        <v>46470</v>
      </c>
      <c r="C1546" t="s">
        <v>57</v>
      </c>
      <c r="D1546" t="s">
        <v>44</v>
      </c>
      <c r="E1546" t="s">
        <v>120</v>
      </c>
      <c r="F1546" t="s">
        <v>28</v>
      </c>
      <c r="G1546" t="s">
        <v>29</v>
      </c>
      <c r="H1546" t="s">
        <v>86</v>
      </c>
      <c r="I1546">
        <v>13</v>
      </c>
      <c r="J1546" t="s">
        <v>3170</v>
      </c>
      <c r="K1546">
        <v>37</v>
      </c>
      <c r="L1546" t="s">
        <v>80</v>
      </c>
      <c r="M1546">
        <v>7</v>
      </c>
      <c r="N1546" t="s">
        <v>33</v>
      </c>
      <c r="O1546" t="s">
        <v>81</v>
      </c>
      <c r="P1546" t="s">
        <v>82</v>
      </c>
      <c r="Q1546" s="2">
        <v>41491.89</v>
      </c>
      <c r="R1546" s="2">
        <v>2045.03</v>
      </c>
      <c r="S1546" t="s">
        <v>94</v>
      </c>
      <c r="T1546" t="s">
        <v>71</v>
      </c>
      <c r="U1546" t="s">
        <v>75</v>
      </c>
      <c r="V1546">
        <v>4.9000000000000004</v>
      </c>
      <c r="W1546" t="s">
        <v>103</v>
      </c>
      <c r="X1546" t="s">
        <v>55</v>
      </c>
      <c r="Y1546" t="s">
        <v>41</v>
      </c>
    </row>
    <row r="1547" spans="1:25" x14ac:dyDescent="0.3">
      <c r="A1547" t="s">
        <v>3171</v>
      </c>
      <c r="B1547" s="1">
        <v>46471</v>
      </c>
      <c r="C1547" t="s">
        <v>57</v>
      </c>
      <c r="D1547" t="s">
        <v>44</v>
      </c>
      <c r="E1547" t="s">
        <v>89</v>
      </c>
      <c r="F1547" t="s">
        <v>28</v>
      </c>
      <c r="G1547" t="s">
        <v>29</v>
      </c>
      <c r="H1547" t="s">
        <v>61</v>
      </c>
      <c r="I1547">
        <v>7</v>
      </c>
      <c r="J1547" t="s">
        <v>3172</v>
      </c>
      <c r="K1547">
        <v>67</v>
      </c>
      <c r="L1547" t="s">
        <v>80</v>
      </c>
      <c r="M1547">
        <v>1</v>
      </c>
      <c r="N1547" t="s">
        <v>91</v>
      </c>
      <c r="O1547" t="s">
        <v>49</v>
      </c>
      <c r="P1547" t="s">
        <v>70</v>
      </c>
      <c r="Q1547" s="2">
        <v>19894.04</v>
      </c>
      <c r="R1547" s="2">
        <v>3300.15</v>
      </c>
      <c r="S1547" t="s">
        <v>51</v>
      </c>
      <c r="T1547" t="s">
        <v>37</v>
      </c>
      <c r="U1547" t="s">
        <v>75</v>
      </c>
      <c r="V1547">
        <v>1.2</v>
      </c>
      <c r="W1547" t="s">
        <v>124</v>
      </c>
      <c r="X1547" t="s">
        <v>40</v>
      </c>
      <c r="Y1547" t="s">
        <v>72</v>
      </c>
    </row>
    <row r="1548" spans="1:25" x14ac:dyDescent="0.3">
      <c r="A1548" t="s">
        <v>3173</v>
      </c>
      <c r="B1548" s="1">
        <v>46472</v>
      </c>
      <c r="C1548" t="s">
        <v>117</v>
      </c>
      <c r="D1548" t="s">
        <v>4083</v>
      </c>
      <c r="E1548" t="s">
        <v>120</v>
      </c>
      <c r="F1548" t="s">
        <v>28</v>
      </c>
      <c r="G1548" t="s">
        <v>29</v>
      </c>
      <c r="H1548" t="s">
        <v>86</v>
      </c>
      <c r="I1548">
        <v>10</v>
      </c>
      <c r="J1548" t="s">
        <v>3174</v>
      </c>
      <c r="K1548">
        <v>48</v>
      </c>
      <c r="L1548" t="s">
        <v>80</v>
      </c>
      <c r="M1548">
        <v>7</v>
      </c>
      <c r="N1548" t="s">
        <v>91</v>
      </c>
      <c r="O1548" t="s">
        <v>69</v>
      </c>
      <c r="P1548" t="s">
        <v>82</v>
      </c>
      <c r="Q1548" s="2">
        <v>12805.79</v>
      </c>
      <c r="R1548" s="2">
        <v>1110.22</v>
      </c>
      <c r="S1548" t="s">
        <v>36</v>
      </c>
      <c r="T1548" t="s">
        <v>52</v>
      </c>
      <c r="U1548" t="s">
        <v>38</v>
      </c>
      <c r="V1548">
        <v>4</v>
      </c>
      <c r="W1548" t="s">
        <v>54</v>
      </c>
      <c r="X1548" t="s">
        <v>55</v>
      </c>
      <c r="Y1548" t="s">
        <v>41</v>
      </c>
    </row>
    <row r="1549" spans="1:25" x14ac:dyDescent="0.3">
      <c r="A1549" t="s">
        <v>3175</v>
      </c>
      <c r="B1549" s="1">
        <v>46473</v>
      </c>
      <c r="C1549" t="s">
        <v>26</v>
      </c>
      <c r="D1549" t="s">
        <v>26</v>
      </c>
      <c r="E1549" t="s">
        <v>4085</v>
      </c>
      <c r="F1549" t="s">
        <v>60</v>
      </c>
      <c r="G1549" t="s">
        <v>29</v>
      </c>
      <c r="H1549" t="s">
        <v>46</v>
      </c>
      <c r="I1549">
        <v>11</v>
      </c>
      <c r="J1549" t="s">
        <v>3176</v>
      </c>
      <c r="K1549">
        <v>40</v>
      </c>
      <c r="L1549" t="s">
        <v>80</v>
      </c>
      <c r="M1549">
        <v>4</v>
      </c>
      <c r="N1549" t="s">
        <v>91</v>
      </c>
      <c r="O1549" t="s">
        <v>49</v>
      </c>
      <c r="P1549" t="s">
        <v>70</v>
      </c>
      <c r="Q1549" s="2">
        <v>14413.74</v>
      </c>
      <c r="R1549" s="2">
        <v>4827.22</v>
      </c>
      <c r="S1549" t="s">
        <v>36</v>
      </c>
      <c r="T1549" t="s">
        <v>71</v>
      </c>
      <c r="U1549" t="s">
        <v>83</v>
      </c>
      <c r="V1549">
        <v>1.2</v>
      </c>
      <c r="W1549" t="s">
        <v>124</v>
      </c>
      <c r="X1549" t="s">
        <v>84</v>
      </c>
      <c r="Y1549" t="s">
        <v>72</v>
      </c>
    </row>
    <row r="1550" spans="1:25" x14ac:dyDescent="0.3">
      <c r="A1550" t="s">
        <v>3177</v>
      </c>
      <c r="B1550" s="1">
        <v>46474</v>
      </c>
      <c r="C1550" t="s">
        <v>26</v>
      </c>
      <c r="D1550" t="s">
        <v>26</v>
      </c>
      <c r="E1550" t="s">
        <v>4084</v>
      </c>
      <c r="F1550" t="s">
        <v>60</v>
      </c>
      <c r="G1550" t="s">
        <v>29</v>
      </c>
      <c r="H1550" t="s">
        <v>27</v>
      </c>
      <c r="I1550">
        <v>10</v>
      </c>
      <c r="J1550" t="s">
        <v>3178</v>
      </c>
      <c r="K1550">
        <v>30</v>
      </c>
      <c r="L1550" t="s">
        <v>80</v>
      </c>
      <c r="M1550">
        <v>5</v>
      </c>
      <c r="N1550" t="s">
        <v>91</v>
      </c>
      <c r="O1550" t="s">
        <v>49</v>
      </c>
      <c r="P1550" t="s">
        <v>35</v>
      </c>
      <c r="Q1550" s="2">
        <v>32863.269999999997</v>
      </c>
      <c r="R1550" s="2">
        <v>623.05999999999995</v>
      </c>
      <c r="S1550" t="s">
        <v>94</v>
      </c>
      <c r="T1550" t="s">
        <v>52</v>
      </c>
      <c r="U1550" t="s">
        <v>38</v>
      </c>
      <c r="V1550">
        <v>4.7</v>
      </c>
      <c r="W1550" t="s">
        <v>103</v>
      </c>
      <c r="X1550" t="s">
        <v>84</v>
      </c>
      <c r="Y1550" t="s">
        <v>72</v>
      </c>
    </row>
    <row r="1551" spans="1:25" x14ac:dyDescent="0.3">
      <c r="A1551" t="s">
        <v>3179</v>
      </c>
      <c r="B1551" s="1">
        <v>46475</v>
      </c>
      <c r="C1551" t="s">
        <v>43</v>
      </c>
      <c r="D1551" t="s">
        <v>58</v>
      </c>
      <c r="E1551" t="s">
        <v>4085</v>
      </c>
      <c r="F1551" t="s">
        <v>60</v>
      </c>
      <c r="G1551" t="s">
        <v>29</v>
      </c>
      <c r="H1551" t="s">
        <v>46</v>
      </c>
      <c r="I1551">
        <v>10</v>
      </c>
      <c r="J1551" t="s">
        <v>3180</v>
      </c>
      <c r="K1551">
        <v>34</v>
      </c>
      <c r="L1551" t="s">
        <v>32</v>
      </c>
      <c r="M1551">
        <v>6</v>
      </c>
      <c r="N1551" t="s">
        <v>48</v>
      </c>
      <c r="O1551" t="s">
        <v>69</v>
      </c>
      <c r="P1551" t="s">
        <v>35</v>
      </c>
      <c r="Q1551" s="2">
        <v>16071.59</v>
      </c>
      <c r="R1551" s="2">
        <v>2401.04</v>
      </c>
      <c r="S1551" t="s">
        <v>94</v>
      </c>
      <c r="T1551" t="s">
        <v>37</v>
      </c>
      <c r="U1551" t="s">
        <v>83</v>
      </c>
      <c r="V1551">
        <v>1.4</v>
      </c>
      <c r="W1551" t="s">
        <v>124</v>
      </c>
      <c r="X1551" t="s">
        <v>55</v>
      </c>
      <c r="Y1551" t="s">
        <v>41</v>
      </c>
    </row>
    <row r="1552" spans="1:25" x14ac:dyDescent="0.3">
      <c r="A1552" t="s">
        <v>3181</v>
      </c>
      <c r="B1552" s="1">
        <v>46476</v>
      </c>
      <c r="C1552" t="s">
        <v>43</v>
      </c>
      <c r="D1552" t="s">
        <v>58</v>
      </c>
      <c r="E1552" t="s">
        <v>45</v>
      </c>
      <c r="F1552" t="s">
        <v>28</v>
      </c>
      <c r="G1552" t="s">
        <v>29</v>
      </c>
      <c r="H1552" t="s">
        <v>67</v>
      </c>
      <c r="I1552">
        <v>14</v>
      </c>
      <c r="J1552" t="s">
        <v>3182</v>
      </c>
      <c r="K1552">
        <v>21</v>
      </c>
      <c r="L1552" t="s">
        <v>80</v>
      </c>
      <c r="M1552">
        <v>6</v>
      </c>
      <c r="N1552" t="s">
        <v>33</v>
      </c>
      <c r="O1552" t="s">
        <v>69</v>
      </c>
      <c r="P1552" t="s">
        <v>35</v>
      </c>
      <c r="Q1552" s="2">
        <v>44477.61</v>
      </c>
      <c r="R1552" s="2">
        <v>425.14</v>
      </c>
      <c r="S1552" t="s">
        <v>36</v>
      </c>
      <c r="T1552" t="s">
        <v>71</v>
      </c>
      <c r="U1552" t="s">
        <v>38</v>
      </c>
      <c r="V1552">
        <v>1.2</v>
      </c>
      <c r="W1552" t="s">
        <v>124</v>
      </c>
      <c r="X1552" t="s">
        <v>65</v>
      </c>
      <c r="Y1552" t="s">
        <v>72</v>
      </c>
    </row>
    <row r="1553" spans="1:25" x14ac:dyDescent="0.3">
      <c r="A1553" t="s">
        <v>3183</v>
      </c>
      <c r="B1553" s="1">
        <v>46477</v>
      </c>
      <c r="C1553" t="s">
        <v>43</v>
      </c>
      <c r="D1553" t="s">
        <v>58</v>
      </c>
      <c r="E1553" t="s">
        <v>45</v>
      </c>
      <c r="F1553" t="s">
        <v>28</v>
      </c>
      <c r="G1553" t="s">
        <v>29</v>
      </c>
      <c r="H1553" t="s">
        <v>67</v>
      </c>
      <c r="I1553">
        <v>5</v>
      </c>
      <c r="J1553" t="s">
        <v>3184</v>
      </c>
      <c r="K1553">
        <v>31</v>
      </c>
      <c r="L1553" t="s">
        <v>80</v>
      </c>
      <c r="M1553">
        <v>3</v>
      </c>
      <c r="N1553" t="s">
        <v>64</v>
      </c>
      <c r="O1553" t="s">
        <v>49</v>
      </c>
      <c r="P1553" t="s">
        <v>70</v>
      </c>
      <c r="Q1553" s="2">
        <v>9675.11</v>
      </c>
      <c r="R1553" s="2">
        <v>113.33</v>
      </c>
      <c r="S1553" t="s">
        <v>51</v>
      </c>
      <c r="T1553" t="s">
        <v>37</v>
      </c>
      <c r="U1553" t="s">
        <v>38</v>
      </c>
      <c r="V1553">
        <v>4.5999999999999996</v>
      </c>
      <c r="W1553" t="s">
        <v>103</v>
      </c>
      <c r="X1553" t="s">
        <v>65</v>
      </c>
      <c r="Y1553" t="s">
        <v>72</v>
      </c>
    </row>
    <row r="1554" spans="1:25" x14ac:dyDescent="0.3">
      <c r="A1554" t="s">
        <v>3185</v>
      </c>
      <c r="B1554" s="1">
        <v>46478</v>
      </c>
      <c r="C1554" t="s">
        <v>57</v>
      </c>
      <c r="D1554" t="s">
        <v>44</v>
      </c>
      <c r="E1554" t="s">
        <v>45</v>
      </c>
      <c r="F1554" t="s">
        <v>28</v>
      </c>
      <c r="G1554" t="s">
        <v>29</v>
      </c>
      <c r="H1554" t="s">
        <v>67</v>
      </c>
      <c r="I1554">
        <v>6</v>
      </c>
      <c r="J1554" t="s">
        <v>3186</v>
      </c>
      <c r="K1554">
        <v>37</v>
      </c>
      <c r="L1554" t="s">
        <v>80</v>
      </c>
      <c r="M1554">
        <v>5</v>
      </c>
      <c r="N1554" t="s">
        <v>48</v>
      </c>
      <c r="O1554" t="s">
        <v>49</v>
      </c>
      <c r="P1554" t="s">
        <v>50</v>
      </c>
      <c r="Q1554" s="2">
        <v>6456.58</v>
      </c>
      <c r="R1554" s="2">
        <v>4613.3900000000003</v>
      </c>
      <c r="S1554" t="s">
        <v>94</v>
      </c>
      <c r="T1554" t="s">
        <v>71</v>
      </c>
      <c r="U1554" t="s">
        <v>53</v>
      </c>
      <c r="V1554">
        <v>1.4</v>
      </c>
      <c r="W1554" t="s">
        <v>124</v>
      </c>
      <c r="X1554" t="s">
        <v>55</v>
      </c>
      <c r="Y1554" t="s">
        <v>72</v>
      </c>
    </row>
    <row r="1555" spans="1:25" x14ac:dyDescent="0.3">
      <c r="A1555" t="s">
        <v>3187</v>
      </c>
      <c r="B1555" s="1">
        <v>46479</v>
      </c>
      <c r="C1555" t="s">
        <v>26</v>
      </c>
      <c r="D1555" t="s">
        <v>26</v>
      </c>
      <c r="E1555" t="s">
        <v>120</v>
      </c>
      <c r="F1555" t="s">
        <v>28</v>
      </c>
      <c r="G1555" t="s">
        <v>29</v>
      </c>
      <c r="H1555" t="s">
        <v>86</v>
      </c>
      <c r="I1555">
        <v>13</v>
      </c>
      <c r="J1555" t="s">
        <v>3188</v>
      </c>
      <c r="K1555">
        <v>30</v>
      </c>
      <c r="L1555" t="s">
        <v>32</v>
      </c>
      <c r="M1555">
        <v>2</v>
      </c>
      <c r="N1555" t="s">
        <v>91</v>
      </c>
      <c r="O1555" t="s">
        <v>81</v>
      </c>
      <c r="P1555" t="s">
        <v>50</v>
      </c>
      <c r="Q1555" s="2">
        <v>8977.02</v>
      </c>
      <c r="R1555" s="2">
        <v>4051.92</v>
      </c>
      <c r="S1555" t="s">
        <v>51</v>
      </c>
      <c r="T1555" t="s">
        <v>71</v>
      </c>
      <c r="U1555" t="s">
        <v>75</v>
      </c>
      <c r="V1555">
        <v>4.2</v>
      </c>
      <c r="W1555" t="s">
        <v>54</v>
      </c>
      <c r="X1555" t="s">
        <v>106</v>
      </c>
      <c r="Y1555" t="s">
        <v>41</v>
      </c>
    </row>
    <row r="1556" spans="1:25" x14ac:dyDescent="0.3">
      <c r="A1556" t="s">
        <v>3189</v>
      </c>
      <c r="B1556" s="1">
        <v>46480</v>
      </c>
      <c r="C1556" t="s">
        <v>57</v>
      </c>
      <c r="D1556" t="s">
        <v>44</v>
      </c>
      <c r="E1556" t="s">
        <v>89</v>
      </c>
      <c r="F1556" t="s">
        <v>28</v>
      </c>
      <c r="G1556" t="s">
        <v>29</v>
      </c>
      <c r="H1556" t="s">
        <v>61</v>
      </c>
      <c r="I1556">
        <v>6</v>
      </c>
      <c r="J1556" t="s">
        <v>3190</v>
      </c>
      <c r="K1556">
        <v>20</v>
      </c>
      <c r="L1556" t="s">
        <v>80</v>
      </c>
      <c r="M1556">
        <v>5</v>
      </c>
      <c r="N1556" t="s">
        <v>91</v>
      </c>
      <c r="O1556" t="s">
        <v>34</v>
      </c>
      <c r="P1556" t="s">
        <v>35</v>
      </c>
      <c r="Q1556" s="2">
        <v>43053.94</v>
      </c>
      <c r="R1556" s="2">
        <v>3470.78</v>
      </c>
      <c r="S1556" t="s">
        <v>51</v>
      </c>
      <c r="T1556" t="s">
        <v>52</v>
      </c>
      <c r="U1556" t="s">
        <v>38</v>
      </c>
      <c r="V1556">
        <v>4</v>
      </c>
      <c r="W1556" t="s">
        <v>54</v>
      </c>
      <c r="X1556" t="s">
        <v>106</v>
      </c>
      <c r="Y1556" t="s">
        <v>41</v>
      </c>
    </row>
    <row r="1557" spans="1:25" x14ac:dyDescent="0.3">
      <c r="A1557" t="s">
        <v>3191</v>
      </c>
      <c r="B1557" s="1">
        <v>46481</v>
      </c>
      <c r="C1557" t="s">
        <v>117</v>
      </c>
      <c r="D1557" t="s">
        <v>4083</v>
      </c>
      <c r="E1557" t="s">
        <v>4085</v>
      </c>
      <c r="F1557" t="s">
        <v>60</v>
      </c>
      <c r="G1557" t="s">
        <v>29</v>
      </c>
      <c r="H1557" t="s">
        <v>46</v>
      </c>
      <c r="I1557">
        <v>13</v>
      </c>
      <c r="J1557" t="s">
        <v>3192</v>
      </c>
      <c r="K1557">
        <v>43</v>
      </c>
      <c r="L1557" t="s">
        <v>32</v>
      </c>
      <c r="M1557">
        <v>1</v>
      </c>
      <c r="N1557" t="s">
        <v>48</v>
      </c>
      <c r="O1557" t="s">
        <v>49</v>
      </c>
      <c r="P1557" t="s">
        <v>70</v>
      </c>
      <c r="Q1557" s="2">
        <v>34305.33</v>
      </c>
      <c r="R1557" s="2">
        <v>4325.95</v>
      </c>
      <c r="S1557" t="s">
        <v>36</v>
      </c>
      <c r="T1557" t="s">
        <v>37</v>
      </c>
      <c r="U1557" t="s">
        <v>53</v>
      </c>
      <c r="V1557">
        <v>3.4</v>
      </c>
      <c r="W1557" t="s">
        <v>76</v>
      </c>
      <c r="X1557" t="s">
        <v>65</v>
      </c>
      <c r="Y1557" t="s">
        <v>41</v>
      </c>
    </row>
    <row r="1558" spans="1:25" x14ac:dyDescent="0.3">
      <c r="A1558" t="s">
        <v>3193</v>
      </c>
      <c r="B1558" s="1">
        <v>46482</v>
      </c>
      <c r="C1558" t="s">
        <v>43</v>
      </c>
      <c r="D1558" t="s">
        <v>58</v>
      </c>
      <c r="E1558" t="s">
        <v>4085</v>
      </c>
      <c r="F1558" t="s">
        <v>60</v>
      </c>
      <c r="G1558" t="s">
        <v>29</v>
      </c>
      <c r="H1558" t="s">
        <v>46</v>
      </c>
      <c r="I1558">
        <v>7</v>
      </c>
      <c r="J1558" t="s">
        <v>3194</v>
      </c>
      <c r="K1558">
        <v>43</v>
      </c>
      <c r="L1558" t="s">
        <v>63</v>
      </c>
      <c r="M1558">
        <v>3</v>
      </c>
      <c r="N1558" t="s">
        <v>64</v>
      </c>
      <c r="O1558" t="s">
        <v>34</v>
      </c>
      <c r="P1558" t="s">
        <v>70</v>
      </c>
      <c r="Q1558" s="2">
        <v>48098.51</v>
      </c>
      <c r="R1558" s="2">
        <v>4014.24</v>
      </c>
      <c r="S1558" t="s">
        <v>94</v>
      </c>
      <c r="T1558" t="s">
        <v>37</v>
      </c>
      <c r="U1558" t="s">
        <v>38</v>
      </c>
      <c r="V1558">
        <v>2.5</v>
      </c>
      <c r="W1558" t="s">
        <v>76</v>
      </c>
      <c r="X1558" t="s">
        <v>40</v>
      </c>
      <c r="Y1558" t="s">
        <v>41</v>
      </c>
    </row>
    <row r="1559" spans="1:25" x14ac:dyDescent="0.3">
      <c r="A1559" t="s">
        <v>3195</v>
      </c>
      <c r="B1559" s="1">
        <v>46483</v>
      </c>
      <c r="C1559" t="s">
        <v>57</v>
      </c>
      <c r="D1559" t="s">
        <v>44</v>
      </c>
      <c r="E1559" t="s">
        <v>4085</v>
      </c>
      <c r="F1559" t="s">
        <v>60</v>
      </c>
      <c r="G1559" t="s">
        <v>29</v>
      </c>
      <c r="H1559" t="s">
        <v>46</v>
      </c>
      <c r="I1559">
        <v>11</v>
      </c>
      <c r="J1559" t="s">
        <v>3196</v>
      </c>
      <c r="K1559">
        <v>35</v>
      </c>
      <c r="L1559" t="s">
        <v>80</v>
      </c>
      <c r="M1559">
        <v>3</v>
      </c>
      <c r="N1559" t="s">
        <v>33</v>
      </c>
      <c r="O1559" t="s">
        <v>81</v>
      </c>
      <c r="P1559" t="s">
        <v>35</v>
      </c>
      <c r="Q1559" s="2">
        <v>20133.34</v>
      </c>
      <c r="R1559" s="2">
        <v>3236.19</v>
      </c>
      <c r="S1559" t="s">
        <v>115</v>
      </c>
      <c r="T1559" t="s">
        <v>37</v>
      </c>
      <c r="U1559" t="s">
        <v>38</v>
      </c>
      <c r="V1559">
        <v>4.7</v>
      </c>
      <c r="W1559" t="s">
        <v>103</v>
      </c>
      <c r="X1559" t="s">
        <v>84</v>
      </c>
      <c r="Y1559" t="s">
        <v>72</v>
      </c>
    </row>
    <row r="1560" spans="1:25" x14ac:dyDescent="0.3">
      <c r="A1560" t="s">
        <v>3197</v>
      </c>
      <c r="B1560" s="1">
        <v>46484</v>
      </c>
      <c r="C1560" t="s">
        <v>57</v>
      </c>
      <c r="D1560" t="s">
        <v>44</v>
      </c>
      <c r="E1560" t="s">
        <v>4085</v>
      </c>
      <c r="F1560" t="s">
        <v>60</v>
      </c>
      <c r="G1560" t="s">
        <v>29</v>
      </c>
      <c r="H1560" t="s">
        <v>59</v>
      </c>
      <c r="I1560">
        <v>14</v>
      </c>
      <c r="J1560" t="s">
        <v>3198</v>
      </c>
      <c r="K1560">
        <v>49</v>
      </c>
      <c r="L1560" t="s">
        <v>32</v>
      </c>
      <c r="M1560">
        <v>1</v>
      </c>
      <c r="N1560" t="s">
        <v>33</v>
      </c>
      <c r="O1560" t="s">
        <v>34</v>
      </c>
      <c r="P1560" t="s">
        <v>82</v>
      </c>
      <c r="Q1560" s="2">
        <v>14570.52</v>
      </c>
      <c r="R1560" s="2">
        <v>4236.71</v>
      </c>
      <c r="S1560" t="s">
        <v>36</v>
      </c>
      <c r="T1560" t="s">
        <v>52</v>
      </c>
      <c r="U1560" t="s">
        <v>53</v>
      </c>
      <c r="V1560">
        <v>4.5</v>
      </c>
      <c r="W1560" t="s">
        <v>103</v>
      </c>
      <c r="X1560" t="s">
        <v>40</v>
      </c>
      <c r="Y1560" t="s">
        <v>72</v>
      </c>
    </row>
    <row r="1561" spans="1:25" x14ac:dyDescent="0.3">
      <c r="A1561" t="s">
        <v>3199</v>
      </c>
      <c r="B1561" s="1">
        <v>46485</v>
      </c>
      <c r="C1561" t="s">
        <v>117</v>
      </c>
      <c r="D1561" t="s">
        <v>4083</v>
      </c>
      <c r="E1561" t="s">
        <v>45</v>
      </c>
      <c r="F1561" t="s">
        <v>28</v>
      </c>
      <c r="G1561" t="s">
        <v>29</v>
      </c>
      <c r="H1561" t="s">
        <v>67</v>
      </c>
      <c r="I1561">
        <v>11</v>
      </c>
      <c r="J1561" t="s">
        <v>3200</v>
      </c>
      <c r="K1561">
        <v>31</v>
      </c>
      <c r="L1561" t="s">
        <v>63</v>
      </c>
      <c r="M1561">
        <v>5</v>
      </c>
      <c r="N1561" t="s">
        <v>64</v>
      </c>
      <c r="O1561" t="s">
        <v>34</v>
      </c>
      <c r="P1561" t="s">
        <v>35</v>
      </c>
      <c r="Q1561" s="2">
        <v>30288.89</v>
      </c>
      <c r="R1561" s="2">
        <v>1954</v>
      </c>
      <c r="S1561" t="s">
        <v>36</v>
      </c>
      <c r="T1561" t="s">
        <v>52</v>
      </c>
      <c r="U1561" t="s">
        <v>53</v>
      </c>
      <c r="V1561">
        <v>2.7</v>
      </c>
      <c r="W1561" t="s">
        <v>76</v>
      </c>
      <c r="X1561" t="s">
        <v>65</v>
      </c>
      <c r="Y1561" t="s">
        <v>41</v>
      </c>
    </row>
    <row r="1562" spans="1:25" x14ac:dyDescent="0.3">
      <c r="A1562" t="s">
        <v>3201</v>
      </c>
      <c r="B1562" s="1">
        <v>46486</v>
      </c>
      <c r="C1562" t="s">
        <v>78</v>
      </c>
      <c r="D1562" t="s">
        <v>58</v>
      </c>
      <c r="E1562" t="s">
        <v>4085</v>
      </c>
      <c r="F1562" t="s">
        <v>60</v>
      </c>
      <c r="G1562" t="s">
        <v>29</v>
      </c>
      <c r="H1562" t="s">
        <v>59</v>
      </c>
      <c r="I1562">
        <v>12</v>
      </c>
      <c r="J1562" t="s">
        <v>3202</v>
      </c>
      <c r="K1562">
        <v>64</v>
      </c>
      <c r="L1562" t="s">
        <v>32</v>
      </c>
      <c r="M1562">
        <v>7</v>
      </c>
      <c r="N1562" t="s">
        <v>33</v>
      </c>
      <c r="O1562" t="s">
        <v>81</v>
      </c>
      <c r="P1562" t="s">
        <v>70</v>
      </c>
      <c r="Q1562" s="2">
        <v>29202.27</v>
      </c>
      <c r="R1562" s="2">
        <v>2763.76</v>
      </c>
      <c r="S1562" t="s">
        <v>115</v>
      </c>
      <c r="T1562" t="s">
        <v>37</v>
      </c>
      <c r="U1562" t="s">
        <v>53</v>
      </c>
      <c r="V1562">
        <v>1.9</v>
      </c>
      <c r="W1562" t="s">
        <v>124</v>
      </c>
      <c r="X1562" t="s">
        <v>55</v>
      </c>
      <c r="Y1562" t="s">
        <v>72</v>
      </c>
    </row>
    <row r="1563" spans="1:25" x14ac:dyDescent="0.3">
      <c r="A1563" t="s">
        <v>3203</v>
      </c>
      <c r="B1563" s="1">
        <v>46487</v>
      </c>
      <c r="C1563" t="s">
        <v>26</v>
      </c>
      <c r="D1563" t="s">
        <v>26</v>
      </c>
      <c r="E1563" t="s">
        <v>89</v>
      </c>
      <c r="F1563" t="s">
        <v>28</v>
      </c>
      <c r="G1563" t="s">
        <v>29</v>
      </c>
      <c r="H1563" t="s">
        <v>61</v>
      </c>
      <c r="I1563">
        <v>14</v>
      </c>
      <c r="J1563" t="s">
        <v>3204</v>
      </c>
      <c r="K1563">
        <v>20</v>
      </c>
      <c r="L1563" t="s">
        <v>32</v>
      </c>
      <c r="M1563">
        <v>1</v>
      </c>
      <c r="N1563" t="s">
        <v>91</v>
      </c>
      <c r="O1563" t="s">
        <v>49</v>
      </c>
      <c r="P1563" t="s">
        <v>82</v>
      </c>
      <c r="Q1563" s="2">
        <v>31596.080000000002</v>
      </c>
      <c r="R1563" s="2">
        <v>3881.55</v>
      </c>
      <c r="S1563" t="s">
        <v>94</v>
      </c>
      <c r="T1563" t="s">
        <v>37</v>
      </c>
      <c r="U1563" t="s">
        <v>75</v>
      </c>
      <c r="V1563">
        <v>2.1</v>
      </c>
      <c r="W1563" t="s">
        <v>76</v>
      </c>
      <c r="X1563" t="s">
        <v>106</v>
      </c>
      <c r="Y1563" t="s">
        <v>72</v>
      </c>
    </row>
    <row r="1564" spans="1:25" x14ac:dyDescent="0.3">
      <c r="A1564" t="s">
        <v>3205</v>
      </c>
      <c r="B1564" s="1">
        <v>46488</v>
      </c>
      <c r="C1564" t="s">
        <v>78</v>
      </c>
      <c r="D1564" t="s">
        <v>58</v>
      </c>
      <c r="E1564" t="s">
        <v>45</v>
      </c>
      <c r="F1564" t="s">
        <v>28</v>
      </c>
      <c r="G1564" t="s">
        <v>29</v>
      </c>
      <c r="H1564" t="s">
        <v>67</v>
      </c>
      <c r="I1564">
        <v>3</v>
      </c>
      <c r="J1564" t="s">
        <v>3206</v>
      </c>
      <c r="K1564">
        <v>18</v>
      </c>
      <c r="L1564" t="s">
        <v>63</v>
      </c>
      <c r="M1564">
        <v>7</v>
      </c>
      <c r="N1564" t="s">
        <v>91</v>
      </c>
      <c r="O1564" t="s">
        <v>34</v>
      </c>
      <c r="P1564" t="s">
        <v>50</v>
      </c>
      <c r="Q1564" s="2">
        <v>20639.02</v>
      </c>
      <c r="R1564" s="2">
        <v>423.99</v>
      </c>
      <c r="S1564" t="s">
        <v>51</v>
      </c>
      <c r="T1564" t="s">
        <v>71</v>
      </c>
      <c r="U1564" t="s">
        <v>75</v>
      </c>
      <c r="V1564">
        <v>1.9</v>
      </c>
      <c r="W1564" t="s">
        <v>124</v>
      </c>
      <c r="X1564" t="s">
        <v>65</v>
      </c>
      <c r="Y1564" t="s">
        <v>41</v>
      </c>
    </row>
    <row r="1565" spans="1:25" x14ac:dyDescent="0.3">
      <c r="A1565" t="s">
        <v>3207</v>
      </c>
      <c r="B1565" s="1">
        <v>46489</v>
      </c>
      <c r="C1565" t="s">
        <v>43</v>
      </c>
      <c r="D1565" t="s">
        <v>58</v>
      </c>
      <c r="E1565" t="s">
        <v>4085</v>
      </c>
      <c r="F1565" t="s">
        <v>60</v>
      </c>
      <c r="G1565" t="s">
        <v>29</v>
      </c>
      <c r="H1565" t="s">
        <v>46</v>
      </c>
      <c r="I1565">
        <v>10</v>
      </c>
      <c r="J1565" t="s">
        <v>3208</v>
      </c>
      <c r="K1565">
        <v>43</v>
      </c>
      <c r="L1565" t="s">
        <v>80</v>
      </c>
      <c r="M1565">
        <v>4</v>
      </c>
      <c r="N1565" t="s">
        <v>91</v>
      </c>
      <c r="O1565" t="s">
        <v>49</v>
      </c>
      <c r="P1565" t="s">
        <v>82</v>
      </c>
      <c r="Q1565" s="2">
        <v>5265.36</v>
      </c>
      <c r="R1565" s="2">
        <v>4293.2299999999996</v>
      </c>
      <c r="S1565" t="s">
        <v>51</v>
      </c>
      <c r="T1565" t="s">
        <v>71</v>
      </c>
      <c r="U1565" t="s">
        <v>38</v>
      </c>
      <c r="V1565">
        <v>3.2</v>
      </c>
      <c r="W1565" t="s">
        <v>76</v>
      </c>
      <c r="X1565" t="s">
        <v>40</v>
      </c>
      <c r="Y1565" t="s">
        <v>41</v>
      </c>
    </row>
    <row r="1566" spans="1:25" x14ac:dyDescent="0.3">
      <c r="A1566" t="s">
        <v>3209</v>
      </c>
      <c r="B1566" s="1">
        <v>46490</v>
      </c>
      <c r="C1566" t="s">
        <v>57</v>
      </c>
      <c r="D1566" t="s">
        <v>44</v>
      </c>
      <c r="E1566" t="s">
        <v>120</v>
      </c>
      <c r="F1566" t="s">
        <v>28</v>
      </c>
      <c r="G1566" t="s">
        <v>29</v>
      </c>
      <c r="H1566" t="s">
        <v>86</v>
      </c>
      <c r="I1566">
        <v>3</v>
      </c>
      <c r="J1566" t="s">
        <v>3210</v>
      </c>
      <c r="K1566">
        <v>41</v>
      </c>
      <c r="L1566" t="s">
        <v>80</v>
      </c>
      <c r="M1566">
        <v>1</v>
      </c>
      <c r="N1566" t="s">
        <v>91</v>
      </c>
      <c r="O1566" t="s">
        <v>49</v>
      </c>
      <c r="P1566" t="s">
        <v>50</v>
      </c>
      <c r="Q1566" s="2">
        <v>6576.42</v>
      </c>
      <c r="R1566" s="2">
        <v>784.15</v>
      </c>
      <c r="S1566" t="s">
        <v>51</v>
      </c>
      <c r="T1566" t="s">
        <v>52</v>
      </c>
      <c r="U1566" t="s">
        <v>75</v>
      </c>
      <c r="V1566">
        <v>4.5</v>
      </c>
      <c r="W1566" t="s">
        <v>103</v>
      </c>
      <c r="X1566" t="s">
        <v>40</v>
      </c>
      <c r="Y1566" t="s">
        <v>72</v>
      </c>
    </row>
    <row r="1567" spans="1:25" x14ac:dyDescent="0.3">
      <c r="A1567" t="s">
        <v>3211</v>
      </c>
      <c r="B1567" s="1">
        <v>46491</v>
      </c>
      <c r="C1567" t="s">
        <v>117</v>
      </c>
      <c r="D1567" t="s">
        <v>4083</v>
      </c>
      <c r="E1567" t="s">
        <v>4084</v>
      </c>
      <c r="F1567" t="s">
        <v>60</v>
      </c>
      <c r="G1567" t="s">
        <v>29</v>
      </c>
      <c r="H1567" t="s">
        <v>30</v>
      </c>
      <c r="I1567">
        <v>4</v>
      </c>
      <c r="J1567" t="s">
        <v>3212</v>
      </c>
      <c r="K1567">
        <v>66</v>
      </c>
      <c r="L1567" t="s">
        <v>32</v>
      </c>
      <c r="M1567">
        <v>7</v>
      </c>
      <c r="N1567" t="s">
        <v>64</v>
      </c>
      <c r="O1567" t="s">
        <v>69</v>
      </c>
      <c r="P1567" t="s">
        <v>70</v>
      </c>
      <c r="Q1567" s="2">
        <v>34872.19</v>
      </c>
      <c r="R1567" s="2">
        <v>4322.71</v>
      </c>
      <c r="S1567" t="s">
        <v>94</v>
      </c>
      <c r="T1567" t="s">
        <v>71</v>
      </c>
      <c r="U1567" t="s">
        <v>53</v>
      </c>
      <c r="V1567">
        <v>4.0999999999999996</v>
      </c>
      <c r="W1567" t="s">
        <v>54</v>
      </c>
      <c r="X1567" t="s">
        <v>65</v>
      </c>
      <c r="Y1567" t="s">
        <v>41</v>
      </c>
    </row>
    <row r="1568" spans="1:25" x14ac:dyDescent="0.3">
      <c r="A1568" t="s">
        <v>3213</v>
      </c>
      <c r="B1568" s="1">
        <v>46492</v>
      </c>
      <c r="C1568" t="s">
        <v>117</v>
      </c>
      <c r="D1568" t="s">
        <v>4083</v>
      </c>
      <c r="E1568" t="s">
        <v>4084</v>
      </c>
      <c r="F1568" t="s">
        <v>60</v>
      </c>
      <c r="G1568" t="s">
        <v>29</v>
      </c>
      <c r="H1568" t="s">
        <v>27</v>
      </c>
      <c r="I1568">
        <v>9</v>
      </c>
      <c r="J1568" t="s">
        <v>3214</v>
      </c>
      <c r="K1568">
        <v>52</v>
      </c>
      <c r="L1568" t="s">
        <v>63</v>
      </c>
      <c r="M1568">
        <v>5</v>
      </c>
      <c r="N1568" t="s">
        <v>33</v>
      </c>
      <c r="O1568" t="s">
        <v>49</v>
      </c>
      <c r="P1568" t="s">
        <v>35</v>
      </c>
      <c r="Q1568" s="2">
        <v>28546.61</v>
      </c>
      <c r="R1568" s="2">
        <v>1556.66</v>
      </c>
      <c r="S1568" t="s">
        <v>36</v>
      </c>
      <c r="T1568" t="s">
        <v>37</v>
      </c>
      <c r="U1568" t="s">
        <v>83</v>
      </c>
      <c r="V1568">
        <v>4.2</v>
      </c>
      <c r="W1568" t="s">
        <v>54</v>
      </c>
      <c r="X1568" t="s">
        <v>84</v>
      </c>
      <c r="Y1568" t="s">
        <v>72</v>
      </c>
    </row>
    <row r="1569" spans="1:25" x14ac:dyDescent="0.3">
      <c r="A1569" t="s">
        <v>3215</v>
      </c>
      <c r="B1569" s="1">
        <v>46493</v>
      </c>
      <c r="C1569" t="s">
        <v>26</v>
      </c>
      <c r="D1569" t="s">
        <v>26</v>
      </c>
      <c r="E1569" t="s">
        <v>4084</v>
      </c>
      <c r="F1569" t="s">
        <v>60</v>
      </c>
      <c r="G1569" t="s">
        <v>29</v>
      </c>
      <c r="H1569" t="s">
        <v>27</v>
      </c>
      <c r="I1569">
        <v>10</v>
      </c>
      <c r="J1569" t="s">
        <v>3216</v>
      </c>
      <c r="K1569">
        <v>31</v>
      </c>
      <c r="L1569" t="s">
        <v>80</v>
      </c>
      <c r="M1569">
        <v>7</v>
      </c>
      <c r="N1569" t="s">
        <v>33</v>
      </c>
      <c r="O1569" t="s">
        <v>49</v>
      </c>
      <c r="P1569" t="s">
        <v>35</v>
      </c>
      <c r="Q1569" s="2">
        <v>41945.51</v>
      </c>
      <c r="R1569" s="2">
        <v>1633.91</v>
      </c>
      <c r="S1569" t="s">
        <v>36</v>
      </c>
      <c r="T1569" t="s">
        <v>37</v>
      </c>
      <c r="U1569" t="s">
        <v>75</v>
      </c>
      <c r="V1569">
        <v>2.8</v>
      </c>
      <c r="W1569" t="s">
        <v>76</v>
      </c>
      <c r="X1569" t="s">
        <v>40</v>
      </c>
      <c r="Y1569" t="s">
        <v>72</v>
      </c>
    </row>
    <row r="1570" spans="1:25" x14ac:dyDescent="0.3">
      <c r="A1570" t="s">
        <v>3217</v>
      </c>
      <c r="B1570" s="1">
        <v>46494</v>
      </c>
      <c r="C1570" t="s">
        <v>78</v>
      </c>
      <c r="D1570" t="s">
        <v>58</v>
      </c>
      <c r="E1570" t="s">
        <v>45</v>
      </c>
      <c r="F1570" t="s">
        <v>28</v>
      </c>
      <c r="G1570" t="s">
        <v>29</v>
      </c>
      <c r="H1570" t="s">
        <v>67</v>
      </c>
      <c r="I1570">
        <v>3</v>
      </c>
      <c r="J1570" t="s">
        <v>3218</v>
      </c>
      <c r="K1570">
        <v>20</v>
      </c>
      <c r="L1570" t="s">
        <v>32</v>
      </c>
      <c r="M1570">
        <v>1</v>
      </c>
      <c r="N1570" t="s">
        <v>48</v>
      </c>
      <c r="O1570" t="s">
        <v>34</v>
      </c>
      <c r="P1570" t="s">
        <v>35</v>
      </c>
      <c r="Q1570" s="2">
        <v>18518.439999999999</v>
      </c>
      <c r="R1570" s="2">
        <v>369.74</v>
      </c>
      <c r="S1570" t="s">
        <v>36</v>
      </c>
      <c r="T1570" t="s">
        <v>71</v>
      </c>
      <c r="U1570" t="s">
        <v>53</v>
      </c>
      <c r="V1570">
        <v>2.2999999999999998</v>
      </c>
      <c r="W1570" t="s">
        <v>76</v>
      </c>
      <c r="X1570" t="s">
        <v>84</v>
      </c>
      <c r="Y1570" t="s">
        <v>41</v>
      </c>
    </row>
    <row r="1571" spans="1:25" x14ac:dyDescent="0.3">
      <c r="A1571" t="s">
        <v>3219</v>
      </c>
      <c r="B1571" s="1">
        <v>46495</v>
      </c>
      <c r="C1571" t="s">
        <v>26</v>
      </c>
      <c r="D1571" t="s">
        <v>26</v>
      </c>
      <c r="E1571" t="s">
        <v>4085</v>
      </c>
      <c r="F1571" t="s">
        <v>60</v>
      </c>
      <c r="G1571" t="s">
        <v>29</v>
      </c>
      <c r="H1571" t="s">
        <v>46</v>
      </c>
      <c r="I1571">
        <v>5</v>
      </c>
      <c r="J1571" t="s">
        <v>3220</v>
      </c>
      <c r="K1571">
        <v>30</v>
      </c>
      <c r="L1571" t="s">
        <v>63</v>
      </c>
      <c r="M1571">
        <v>2</v>
      </c>
      <c r="N1571" t="s">
        <v>64</v>
      </c>
      <c r="O1571" t="s">
        <v>49</v>
      </c>
      <c r="P1571" t="s">
        <v>35</v>
      </c>
      <c r="Q1571" s="2">
        <v>41696.25</v>
      </c>
      <c r="R1571" s="2">
        <v>4429.5</v>
      </c>
      <c r="S1571" t="s">
        <v>36</v>
      </c>
      <c r="T1571" t="s">
        <v>71</v>
      </c>
      <c r="U1571" t="s">
        <v>53</v>
      </c>
      <c r="V1571">
        <v>4</v>
      </c>
      <c r="W1571" t="s">
        <v>54</v>
      </c>
      <c r="X1571" t="s">
        <v>84</v>
      </c>
      <c r="Y1571" t="s">
        <v>41</v>
      </c>
    </row>
    <row r="1572" spans="1:25" x14ac:dyDescent="0.3">
      <c r="A1572" t="s">
        <v>3221</v>
      </c>
      <c r="B1572" s="1">
        <v>46496</v>
      </c>
      <c r="C1572" t="s">
        <v>57</v>
      </c>
      <c r="D1572" t="s">
        <v>44</v>
      </c>
      <c r="E1572" t="s">
        <v>45</v>
      </c>
      <c r="F1572" t="s">
        <v>28</v>
      </c>
      <c r="G1572" t="s">
        <v>29</v>
      </c>
      <c r="H1572" t="s">
        <v>67</v>
      </c>
      <c r="I1572">
        <v>9</v>
      </c>
      <c r="J1572" t="s">
        <v>3222</v>
      </c>
      <c r="K1572">
        <v>64</v>
      </c>
      <c r="L1572" t="s">
        <v>32</v>
      </c>
      <c r="M1572">
        <v>6</v>
      </c>
      <c r="N1572" t="s">
        <v>33</v>
      </c>
      <c r="O1572" t="s">
        <v>49</v>
      </c>
      <c r="P1572" t="s">
        <v>35</v>
      </c>
      <c r="Q1572" s="2">
        <v>24147.11</v>
      </c>
      <c r="R1572" s="2">
        <v>872.55</v>
      </c>
      <c r="S1572" t="s">
        <v>36</v>
      </c>
      <c r="T1572" t="s">
        <v>52</v>
      </c>
      <c r="U1572" t="s">
        <v>53</v>
      </c>
      <c r="V1572">
        <v>4.2</v>
      </c>
      <c r="W1572" t="s">
        <v>39</v>
      </c>
      <c r="X1572" t="s">
        <v>55</v>
      </c>
      <c r="Y1572" t="s">
        <v>72</v>
      </c>
    </row>
    <row r="1573" spans="1:25" x14ac:dyDescent="0.3">
      <c r="A1573" t="s">
        <v>3223</v>
      </c>
      <c r="B1573" s="1">
        <v>46497</v>
      </c>
      <c r="C1573" t="s">
        <v>26</v>
      </c>
      <c r="D1573" t="s">
        <v>26</v>
      </c>
      <c r="E1573" t="s">
        <v>89</v>
      </c>
      <c r="F1573" t="s">
        <v>28</v>
      </c>
      <c r="G1573" t="s">
        <v>29</v>
      </c>
      <c r="H1573" t="s">
        <v>61</v>
      </c>
      <c r="I1573">
        <v>11</v>
      </c>
      <c r="J1573" t="s">
        <v>3224</v>
      </c>
      <c r="K1573">
        <v>67</v>
      </c>
      <c r="L1573" t="s">
        <v>63</v>
      </c>
      <c r="M1573">
        <v>1</v>
      </c>
      <c r="N1573" t="s">
        <v>33</v>
      </c>
      <c r="O1573" t="s">
        <v>69</v>
      </c>
      <c r="P1573" t="s">
        <v>70</v>
      </c>
      <c r="Q1573" s="2">
        <v>9351.43</v>
      </c>
      <c r="R1573" s="2">
        <v>3150.25</v>
      </c>
      <c r="S1573" t="s">
        <v>115</v>
      </c>
      <c r="T1573" t="s">
        <v>71</v>
      </c>
      <c r="U1573" t="s">
        <v>53</v>
      </c>
      <c r="V1573">
        <v>3.8</v>
      </c>
      <c r="W1573" t="s">
        <v>39</v>
      </c>
      <c r="X1573" t="s">
        <v>65</v>
      </c>
      <c r="Y1573" t="s">
        <v>41</v>
      </c>
    </row>
    <row r="1574" spans="1:25" x14ac:dyDescent="0.3">
      <c r="A1574" t="s">
        <v>3225</v>
      </c>
      <c r="B1574" s="1">
        <v>46498</v>
      </c>
      <c r="C1574" t="s">
        <v>117</v>
      </c>
      <c r="D1574" t="s">
        <v>4083</v>
      </c>
      <c r="E1574" t="s">
        <v>120</v>
      </c>
      <c r="F1574" t="s">
        <v>28</v>
      </c>
      <c r="G1574" t="s">
        <v>29</v>
      </c>
      <c r="H1574" t="s">
        <v>86</v>
      </c>
      <c r="I1574">
        <v>10</v>
      </c>
      <c r="J1574" t="s">
        <v>3226</v>
      </c>
      <c r="K1574">
        <v>31</v>
      </c>
      <c r="L1574" t="s">
        <v>80</v>
      </c>
      <c r="M1574">
        <v>6</v>
      </c>
      <c r="N1574" t="s">
        <v>48</v>
      </c>
      <c r="O1574" t="s">
        <v>69</v>
      </c>
      <c r="P1574" t="s">
        <v>70</v>
      </c>
      <c r="Q1574" s="2">
        <v>49006.02</v>
      </c>
      <c r="R1574" s="2">
        <v>3219.84</v>
      </c>
      <c r="S1574" t="s">
        <v>51</v>
      </c>
      <c r="T1574" t="s">
        <v>52</v>
      </c>
      <c r="U1574" t="s">
        <v>38</v>
      </c>
      <c r="V1574">
        <v>1.1000000000000001</v>
      </c>
      <c r="W1574" t="s">
        <v>124</v>
      </c>
      <c r="X1574" t="s">
        <v>65</v>
      </c>
      <c r="Y1574" t="s">
        <v>72</v>
      </c>
    </row>
    <row r="1575" spans="1:25" x14ac:dyDescent="0.3">
      <c r="A1575" t="s">
        <v>3227</v>
      </c>
      <c r="B1575" s="1">
        <v>46499</v>
      </c>
      <c r="C1575" t="s">
        <v>117</v>
      </c>
      <c r="D1575" t="s">
        <v>4083</v>
      </c>
      <c r="E1575" t="s">
        <v>120</v>
      </c>
      <c r="F1575" t="s">
        <v>28</v>
      </c>
      <c r="G1575" t="s">
        <v>29</v>
      </c>
      <c r="H1575" t="s">
        <v>86</v>
      </c>
      <c r="I1575">
        <v>10</v>
      </c>
      <c r="J1575" t="s">
        <v>3228</v>
      </c>
      <c r="K1575">
        <v>38</v>
      </c>
      <c r="L1575" t="s">
        <v>80</v>
      </c>
      <c r="M1575">
        <v>1</v>
      </c>
      <c r="N1575" t="s">
        <v>91</v>
      </c>
      <c r="O1575" t="s">
        <v>34</v>
      </c>
      <c r="P1575" t="s">
        <v>35</v>
      </c>
      <c r="Q1575" s="2">
        <v>28037.119999999999</v>
      </c>
      <c r="R1575" s="2">
        <v>1405.76</v>
      </c>
      <c r="S1575" t="s">
        <v>51</v>
      </c>
      <c r="T1575" t="s">
        <v>71</v>
      </c>
      <c r="U1575" t="s">
        <v>53</v>
      </c>
      <c r="V1575">
        <v>3.4</v>
      </c>
      <c r="W1575" t="s">
        <v>39</v>
      </c>
      <c r="X1575" t="s">
        <v>84</v>
      </c>
      <c r="Y1575" t="s">
        <v>72</v>
      </c>
    </row>
    <row r="1576" spans="1:25" x14ac:dyDescent="0.3">
      <c r="A1576" t="s">
        <v>3229</v>
      </c>
      <c r="B1576" s="1">
        <v>46500</v>
      </c>
      <c r="C1576" t="s">
        <v>43</v>
      </c>
      <c r="D1576" t="s">
        <v>58</v>
      </c>
      <c r="E1576" t="s">
        <v>4084</v>
      </c>
      <c r="F1576" t="s">
        <v>60</v>
      </c>
      <c r="G1576" t="s">
        <v>29</v>
      </c>
      <c r="H1576" t="s">
        <v>30</v>
      </c>
      <c r="I1576">
        <v>11</v>
      </c>
      <c r="J1576" t="s">
        <v>3230</v>
      </c>
      <c r="K1576">
        <v>43</v>
      </c>
      <c r="L1576" t="s">
        <v>32</v>
      </c>
      <c r="M1576">
        <v>5</v>
      </c>
      <c r="N1576" t="s">
        <v>33</v>
      </c>
      <c r="O1576" t="s">
        <v>34</v>
      </c>
      <c r="P1576" t="s">
        <v>82</v>
      </c>
      <c r="Q1576" s="2">
        <v>33326.53</v>
      </c>
      <c r="R1576" s="2">
        <v>4928.3</v>
      </c>
      <c r="S1576" t="s">
        <v>94</v>
      </c>
      <c r="T1576" t="s">
        <v>71</v>
      </c>
      <c r="U1576" t="s">
        <v>53</v>
      </c>
      <c r="V1576">
        <v>2.4</v>
      </c>
      <c r="W1576" t="s">
        <v>76</v>
      </c>
      <c r="X1576" t="s">
        <v>55</v>
      </c>
      <c r="Y1576" t="s">
        <v>41</v>
      </c>
    </row>
    <row r="1577" spans="1:25" x14ac:dyDescent="0.3">
      <c r="A1577" t="s">
        <v>3231</v>
      </c>
      <c r="B1577" s="1">
        <v>46501</v>
      </c>
      <c r="C1577" t="s">
        <v>43</v>
      </c>
      <c r="D1577" t="s">
        <v>58</v>
      </c>
      <c r="E1577" t="s">
        <v>4084</v>
      </c>
      <c r="F1577" t="s">
        <v>60</v>
      </c>
      <c r="G1577" t="s">
        <v>29</v>
      </c>
      <c r="H1577" t="s">
        <v>30</v>
      </c>
      <c r="I1577">
        <v>12</v>
      </c>
      <c r="J1577" t="s">
        <v>3232</v>
      </c>
      <c r="K1577">
        <v>20</v>
      </c>
      <c r="L1577" t="s">
        <v>80</v>
      </c>
      <c r="M1577">
        <v>4</v>
      </c>
      <c r="N1577" t="s">
        <v>91</v>
      </c>
      <c r="O1577" t="s">
        <v>69</v>
      </c>
      <c r="P1577" t="s">
        <v>35</v>
      </c>
      <c r="Q1577" s="2">
        <v>35185.870000000003</v>
      </c>
      <c r="R1577" s="2">
        <v>320.83</v>
      </c>
      <c r="S1577" t="s">
        <v>115</v>
      </c>
      <c r="T1577" t="s">
        <v>71</v>
      </c>
      <c r="U1577" t="s">
        <v>38</v>
      </c>
      <c r="V1577">
        <v>1.8</v>
      </c>
      <c r="W1577" t="s">
        <v>124</v>
      </c>
      <c r="X1577" t="s">
        <v>40</v>
      </c>
      <c r="Y1577" t="s">
        <v>41</v>
      </c>
    </row>
    <row r="1578" spans="1:25" x14ac:dyDescent="0.3">
      <c r="A1578" t="s">
        <v>3233</v>
      </c>
      <c r="B1578" s="1">
        <v>46502</v>
      </c>
      <c r="C1578" t="s">
        <v>57</v>
      </c>
      <c r="D1578" t="s">
        <v>44</v>
      </c>
      <c r="E1578" t="s">
        <v>4084</v>
      </c>
      <c r="F1578" t="s">
        <v>60</v>
      </c>
      <c r="G1578" t="s">
        <v>29</v>
      </c>
      <c r="H1578" t="s">
        <v>27</v>
      </c>
      <c r="I1578">
        <v>5</v>
      </c>
      <c r="J1578" t="s">
        <v>3234</v>
      </c>
      <c r="K1578">
        <v>68</v>
      </c>
      <c r="L1578" t="s">
        <v>80</v>
      </c>
      <c r="M1578">
        <v>4</v>
      </c>
      <c r="N1578" t="s">
        <v>48</v>
      </c>
      <c r="O1578" t="s">
        <v>69</v>
      </c>
      <c r="P1578" t="s">
        <v>50</v>
      </c>
      <c r="Q1578" s="2">
        <v>21308.55</v>
      </c>
      <c r="R1578" s="2">
        <v>3039.36</v>
      </c>
      <c r="S1578" t="s">
        <v>36</v>
      </c>
      <c r="T1578" t="s">
        <v>71</v>
      </c>
      <c r="U1578" t="s">
        <v>75</v>
      </c>
      <c r="V1578">
        <v>3.8</v>
      </c>
      <c r="W1578" t="s">
        <v>39</v>
      </c>
      <c r="X1578" t="s">
        <v>40</v>
      </c>
      <c r="Y1578" t="s">
        <v>41</v>
      </c>
    </row>
    <row r="1579" spans="1:25" x14ac:dyDescent="0.3">
      <c r="A1579" t="s">
        <v>3235</v>
      </c>
      <c r="B1579" s="1">
        <v>46503</v>
      </c>
      <c r="C1579" t="s">
        <v>78</v>
      </c>
      <c r="D1579" t="s">
        <v>58</v>
      </c>
      <c r="E1579" t="s">
        <v>4085</v>
      </c>
      <c r="F1579" t="s">
        <v>60</v>
      </c>
      <c r="G1579" t="s">
        <v>29</v>
      </c>
      <c r="H1579" t="s">
        <v>46</v>
      </c>
      <c r="I1579">
        <v>10</v>
      </c>
      <c r="J1579" t="s">
        <v>3236</v>
      </c>
      <c r="K1579">
        <v>57</v>
      </c>
      <c r="L1579" t="s">
        <v>63</v>
      </c>
      <c r="M1579">
        <v>6</v>
      </c>
      <c r="N1579" t="s">
        <v>33</v>
      </c>
      <c r="O1579" t="s">
        <v>81</v>
      </c>
      <c r="P1579" t="s">
        <v>50</v>
      </c>
      <c r="Q1579" s="2">
        <v>38638.769999999997</v>
      </c>
      <c r="R1579" s="2">
        <v>2397.7199999999998</v>
      </c>
      <c r="S1579" t="s">
        <v>36</v>
      </c>
      <c r="T1579" t="s">
        <v>37</v>
      </c>
      <c r="U1579" t="s">
        <v>83</v>
      </c>
      <c r="V1579">
        <v>2.1</v>
      </c>
      <c r="W1579" t="s">
        <v>76</v>
      </c>
      <c r="X1579" t="s">
        <v>65</v>
      </c>
      <c r="Y1579" t="s">
        <v>41</v>
      </c>
    </row>
    <row r="1580" spans="1:25" x14ac:dyDescent="0.3">
      <c r="A1580" t="s">
        <v>3237</v>
      </c>
      <c r="B1580" s="1">
        <v>46504</v>
      </c>
      <c r="C1580" t="s">
        <v>26</v>
      </c>
      <c r="D1580" t="s">
        <v>26</v>
      </c>
      <c r="E1580" t="s">
        <v>89</v>
      </c>
      <c r="F1580" t="s">
        <v>28</v>
      </c>
      <c r="G1580" t="s">
        <v>29</v>
      </c>
      <c r="H1580" t="s">
        <v>61</v>
      </c>
      <c r="I1580">
        <v>3</v>
      </c>
      <c r="J1580" t="s">
        <v>3238</v>
      </c>
      <c r="K1580">
        <v>21</v>
      </c>
      <c r="L1580" t="s">
        <v>80</v>
      </c>
      <c r="M1580">
        <v>5</v>
      </c>
      <c r="N1580" t="s">
        <v>91</v>
      </c>
      <c r="O1580" t="s">
        <v>49</v>
      </c>
      <c r="P1580" t="s">
        <v>50</v>
      </c>
      <c r="Q1580" s="2">
        <v>44161.99</v>
      </c>
      <c r="R1580" s="2">
        <v>1227.42</v>
      </c>
      <c r="S1580" t="s">
        <v>36</v>
      </c>
      <c r="T1580" t="s">
        <v>37</v>
      </c>
      <c r="U1580" t="s">
        <v>38</v>
      </c>
      <c r="V1580">
        <v>4.7</v>
      </c>
      <c r="W1580" t="s">
        <v>103</v>
      </c>
      <c r="X1580" t="s">
        <v>84</v>
      </c>
      <c r="Y1580" t="s">
        <v>72</v>
      </c>
    </row>
    <row r="1581" spans="1:25" x14ac:dyDescent="0.3">
      <c r="A1581" t="s">
        <v>3239</v>
      </c>
      <c r="B1581" s="1">
        <v>46505</v>
      </c>
      <c r="C1581" t="s">
        <v>57</v>
      </c>
      <c r="D1581" t="s">
        <v>44</v>
      </c>
      <c r="E1581" t="s">
        <v>89</v>
      </c>
      <c r="F1581" t="s">
        <v>28</v>
      </c>
      <c r="G1581" t="s">
        <v>29</v>
      </c>
      <c r="H1581" t="s">
        <v>61</v>
      </c>
      <c r="I1581">
        <v>10</v>
      </c>
      <c r="J1581" t="s">
        <v>3240</v>
      </c>
      <c r="K1581">
        <v>53</v>
      </c>
      <c r="L1581" t="s">
        <v>63</v>
      </c>
      <c r="M1581">
        <v>7</v>
      </c>
      <c r="N1581" t="s">
        <v>64</v>
      </c>
      <c r="O1581" t="s">
        <v>34</v>
      </c>
      <c r="P1581" t="s">
        <v>50</v>
      </c>
      <c r="Q1581" s="2">
        <v>22423.41</v>
      </c>
      <c r="R1581" s="2">
        <v>817.76</v>
      </c>
      <c r="S1581" t="s">
        <v>115</v>
      </c>
      <c r="T1581" t="s">
        <v>37</v>
      </c>
      <c r="U1581" t="s">
        <v>38</v>
      </c>
      <c r="V1581">
        <v>2.2000000000000002</v>
      </c>
      <c r="W1581" t="s">
        <v>76</v>
      </c>
      <c r="X1581" t="s">
        <v>55</v>
      </c>
      <c r="Y1581" t="s">
        <v>41</v>
      </c>
    </row>
    <row r="1582" spans="1:25" x14ac:dyDescent="0.3">
      <c r="A1582" t="s">
        <v>3241</v>
      </c>
      <c r="B1582" s="1">
        <v>46506</v>
      </c>
      <c r="C1582" t="s">
        <v>43</v>
      </c>
      <c r="D1582" t="s">
        <v>58</v>
      </c>
      <c r="E1582" t="s">
        <v>89</v>
      </c>
      <c r="F1582" t="s">
        <v>28</v>
      </c>
      <c r="G1582" t="s">
        <v>29</v>
      </c>
      <c r="H1582" t="s">
        <v>61</v>
      </c>
      <c r="I1582">
        <v>9</v>
      </c>
      <c r="J1582" t="s">
        <v>3242</v>
      </c>
      <c r="K1582">
        <v>68</v>
      </c>
      <c r="L1582" t="s">
        <v>63</v>
      </c>
      <c r="M1582">
        <v>5</v>
      </c>
      <c r="N1582" t="s">
        <v>91</v>
      </c>
      <c r="O1582" t="s">
        <v>34</v>
      </c>
      <c r="P1582" t="s">
        <v>35</v>
      </c>
      <c r="Q1582" s="2">
        <v>34565.040000000001</v>
      </c>
      <c r="R1582" s="2">
        <v>3685.42</v>
      </c>
      <c r="S1582" t="s">
        <v>94</v>
      </c>
      <c r="T1582" t="s">
        <v>71</v>
      </c>
      <c r="U1582" t="s">
        <v>75</v>
      </c>
      <c r="V1582">
        <v>3.2</v>
      </c>
      <c r="W1582" t="s">
        <v>76</v>
      </c>
      <c r="X1582" t="s">
        <v>55</v>
      </c>
      <c r="Y1582" t="s">
        <v>41</v>
      </c>
    </row>
    <row r="1583" spans="1:25" x14ac:dyDescent="0.3">
      <c r="A1583" t="s">
        <v>3243</v>
      </c>
      <c r="B1583" s="1">
        <v>46507</v>
      </c>
      <c r="C1583" t="s">
        <v>26</v>
      </c>
      <c r="D1583" t="s">
        <v>26</v>
      </c>
      <c r="E1583" t="s">
        <v>89</v>
      </c>
      <c r="F1583" t="s">
        <v>28</v>
      </c>
      <c r="G1583" t="s">
        <v>29</v>
      </c>
      <c r="H1583" t="s">
        <v>61</v>
      </c>
      <c r="I1583">
        <v>10</v>
      </c>
      <c r="J1583" t="s">
        <v>3244</v>
      </c>
      <c r="K1583">
        <v>60</v>
      </c>
      <c r="L1583" t="s">
        <v>32</v>
      </c>
      <c r="M1583">
        <v>5</v>
      </c>
      <c r="N1583" t="s">
        <v>91</v>
      </c>
      <c r="O1583" t="s">
        <v>49</v>
      </c>
      <c r="P1583" t="s">
        <v>50</v>
      </c>
      <c r="Q1583" s="2">
        <v>39070.57</v>
      </c>
      <c r="R1583" s="2">
        <v>4581.57</v>
      </c>
      <c r="S1583" t="s">
        <v>115</v>
      </c>
      <c r="T1583" t="s">
        <v>52</v>
      </c>
      <c r="U1583" t="s">
        <v>75</v>
      </c>
      <c r="V1583">
        <v>4.3</v>
      </c>
      <c r="W1583" t="s">
        <v>39</v>
      </c>
      <c r="X1583" t="s">
        <v>40</v>
      </c>
      <c r="Y1583" t="s">
        <v>41</v>
      </c>
    </row>
    <row r="1584" spans="1:25" x14ac:dyDescent="0.3">
      <c r="A1584" t="s">
        <v>3245</v>
      </c>
      <c r="B1584" s="1">
        <v>46508</v>
      </c>
      <c r="C1584" t="s">
        <v>43</v>
      </c>
      <c r="D1584" t="s">
        <v>58</v>
      </c>
      <c r="E1584" t="s">
        <v>4084</v>
      </c>
      <c r="F1584" t="s">
        <v>60</v>
      </c>
      <c r="G1584" t="s">
        <v>29</v>
      </c>
      <c r="H1584" t="s">
        <v>27</v>
      </c>
      <c r="I1584">
        <v>3</v>
      </c>
      <c r="J1584" t="s">
        <v>3246</v>
      </c>
      <c r="K1584">
        <v>18</v>
      </c>
      <c r="L1584" t="s">
        <v>63</v>
      </c>
      <c r="M1584">
        <v>2</v>
      </c>
      <c r="N1584" t="s">
        <v>91</v>
      </c>
      <c r="O1584" t="s">
        <v>49</v>
      </c>
      <c r="P1584" t="s">
        <v>82</v>
      </c>
      <c r="Q1584" s="2">
        <v>13555.67</v>
      </c>
      <c r="R1584" s="2">
        <v>537.73</v>
      </c>
      <c r="S1584" t="s">
        <v>94</v>
      </c>
      <c r="T1584" t="s">
        <v>71</v>
      </c>
      <c r="U1584" t="s">
        <v>53</v>
      </c>
      <c r="V1584">
        <v>2.6</v>
      </c>
      <c r="W1584" t="s">
        <v>76</v>
      </c>
      <c r="X1584" t="s">
        <v>40</v>
      </c>
      <c r="Y1584" t="s">
        <v>72</v>
      </c>
    </row>
    <row r="1585" spans="1:25" x14ac:dyDescent="0.3">
      <c r="A1585" t="s">
        <v>3247</v>
      </c>
      <c r="B1585" s="1">
        <v>46509</v>
      </c>
      <c r="C1585" t="s">
        <v>26</v>
      </c>
      <c r="D1585" t="s">
        <v>26</v>
      </c>
      <c r="E1585" t="s">
        <v>120</v>
      </c>
      <c r="F1585" t="s">
        <v>28</v>
      </c>
      <c r="G1585" t="s">
        <v>29</v>
      </c>
      <c r="H1585" t="s">
        <v>86</v>
      </c>
      <c r="I1585">
        <v>8</v>
      </c>
      <c r="J1585" t="s">
        <v>3248</v>
      </c>
      <c r="K1585">
        <v>57</v>
      </c>
      <c r="L1585" t="s">
        <v>80</v>
      </c>
      <c r="M1585">
        <v>3</v>
      </c>
      <c r="N1585" t="s">
        <v>91</v>
      </c>
      <c r="O1585" t="s">
        <v>34</v>
      </c>
      <c r="P1585" t="s">
        <v>35</v>
      </c>
      <c r="Q1585" s="2">
        <v>19966.82</v>
      </c>
      <c r="R1585" s="2">
        <v>969.9</v>
      </c>
      <c r="S1585" t="s">
        <v>51</v>
      </c>
      <c r="T1585" t="s">
        <v>37</v>
      </c>
      <c r="U1585" t="s">
        <v>75</v>
      </c>
      <c r="V1585">
        <v>4.3</v>
      </c>
      <c r="W1585" t="s">
        <v>54</v>
      </c>
      <c r="X1585" t="s">
        <v>106</v>
      </c>
      <c r="Y1585" t="s">
        <v>41</v>
      </c>
    </row>
    <row r="1586" spans="1:25" x14ac:dyDescent="0.3">
      <c r="A1586" t="s">
        <v>3249</v>
      </c>
      <c r="B1586" s="1">
        <v>46510</v>
      </c>
      <c r="C1586" t="s">
        <v>78</v>
      </c>
      <c r="D1586" t="s">
        <v>58</v>
      </c>
      <c r="E1586" t="s">
        <v>4084</v>
      </c>
      <c r="F1586" t="s">
        <v>60</v>
      </c>
      <c r="G1586" t="s">
        <v>29</v>
      </c>
      <c r="H1586" t="s">
        <v>27</v>
      </c>
      <c r="I1586">
        <v>9</v>
      </c>
      <c r="J1586" t="s">
        <v>3250</v>
      </c>
      <c r="K1586">
        <v>64</v>
      </c>
      <c r="L1586" t="s">
        <v>63</v>
      </c>
      <c r="M1586">
        <v>1</v>
      </c>
      <c r="N1586" t="s">
        <v>64</v>
      </c>
      <c r="O1586" t="s">
        <v>69</v>
      </c>
      <c r="P1586" t="s">
        <v>50</v>
      </c>
      <c r="Q1586" s="2">
        <v>9895.81</v>
      </c>
      <c r="R1586" s="2">
        <v>4931.3500000000004</v>
      </c>
      <c r="S1586" t="s">
        <v>94</v>
      </c>
      <c r="T1586" t="s">
        <v>52</v>
      </c>
      <c r="U1586" t="s">
        <v>83</v>
      </c>
      <c r="V1586">
        <v>3.9</v>
      </c>
      <c r="W1586" t="s">
        <v>54</v>
      </c>
      <c r="X1586" t="s">
        <v>106</v>
      </c>
      <c r="Y1586" t="s">
        <v>41</v>
      </c>
    </row>
    <row r="1587" spans="1:25" x14ac:dyDescent="0.3">
      <c r="A1587" t="s">
        <v>3251</v>
      </c>
      <c r="B1587" s="1">
        <v>46511</v>
      </c>
      <c r="C1587" t="s">
        <v>57</v>
      </c>
      <c r="D1587" t="s">
        <v>44</v>
      </c>
      <c r="E1587" t="s">
        <v>89</v>
      </c>
      <c r="F1587" t="s">
        <v>28</v>
      </c>
      <c r="G1587" t="s">
        <v>29</v>
      </c>
      <c r="H1587" t="s">
        <v>61</v>
      </c>
      <c r="I1587">
        <v>13</v>
      </c>
      <c r="J1587" t="s">
        <v>3252</v>
      </c>
      <c r="K1587">
        <v>50</v>
      </c>
      <c r="L1587" t="s">
        <v>63</v>
      </c>
      <c r="M1587">
        <v>5</v>
      </c>
      <c r="N1587" t="s">
        <v>48</v>
      </c>
      <c r="O1587" t="s">
        <v>69</v>
      </c>
      <c r="P1587" t="s">
        <v>35</v>
      </c>
      <c r="Q1587" s="2">
        <v>32099.38</v>
      </c>
      <c r="R1587" s="2">
        <v>75.11</v>
      </c>
      <c r="S1587" t="s">
        <v>51</v>
      </c>
      <c r="T1587" t="s">
        <v>52</v>
      </c>
      <c r="U1587" t="s">
        <v>38</v>
      </c>
      <c r="V1587">
        <v>4.7</v>
      </c>
      <c r="W1587" t="s">
        <v>103</v>
      </c>
      <c r="X1587" t="s">
        <v>84</v>
      </c>
      <c r="Y1587" t="s">
        <v>41</v>
      </c>
    </row>
    <row r="1588" spans="1:25" x14ac:dyDescent="0.3">
      <c r="A1588" t="s">
        <v>3253</v>
      </c>
      <c r="B1588" s="1">
        <v>46512</v>
      </c>
      <c r="C1588" t="s">
        <v>26</v>
      </c>
      <c r="D1588" t="s">
        <v>26</v>
      </c>
      <c r="E1588" t="s">
        <v>4084</v>
      </c>
      <c r="F1588" t="s">
        <v>60</v>
      </c>
      <c r="G1588" t="s">
        <v>29</v>
      </c>
      <c r="H1588" t="s">
        <v>27</v>
      </c>
      <c r="I1588">
        <v>7</v>
      </c>
      <c r="J1588" t="s">
        <v>3254</v>
      </c>
      <c r="K1588">
        <v>24</v>
      </c>
      <c r="L1588" t="s">
        <v>32</v>
      </c>
      <c r="M1588">
        <v>5</v>
      </c>
      <c r="N1588" t="s">
        <v>91</v>
      </c>
      <c r="O1588" t="s">
        <v>49</v>
      </c>
      <c r="P1588" t="s">
        <v>35</v>
      </c>
      <c r="Q1588" s="2">
        <v>41042.199999999997</v>
      </c>
      <c r="R1588" s="2">
        <v>2541.2600000000002</v>
      </c>
      <c r="S1588" t="s">
        <v>94</v>
      </c>
      <c r="T1588" t="s">
        <v>37</v>
      </c>
      <c r="U1588" t="s">
        <v>83</v>
      </c>
      <c r="V1588">
        <v>2.2999999999999998</v>
      </c>
      <c r="W1588" t="s">
        <v>76</v>
      </c>
      <c r="X1588" t="s">
        <v>106</v>
      </c>
      <c r="Y1588" t="s">
        <v>41</v>
      </c>
    </row>
    <row r="1589" spans="1:25" x14ac:dyDescent="0.3">
      <c r="A1589" t="s">
        <v>3255</v>
      </c>
      <c r="B1589" s="1">
        <v>46513</v>
      </c>
      <c r="C1589" t="s">
        <v>117</v>
      </c>
      <c r="D1589" t="s">
        <v>4083</v>
      </c>
      <c r="E1589" t="s">
        <v>89</v>
      </c>
      <c r="F1589" t="s">
        <v>28</v>
      </c>
      <c r="G1589" t="s">
        <v>29</v>
      </c>
      <c r="H1589" t="s">
        <v>61</v>
      </c>
      <c r="I1589">
        <v>7</v>
      </c>
      <c r="J1589" t="s">
        <v>3256</v>
      </c>
      <c r="K1589">
        <v>69</v>
      </c>
      <c r="L1589" t="s">
        <v>80</v>
      </c>
      <c r="M1589">
        <v>5</v>
      </c>
      <c r="N1589" t="s">
        <v>91</v>
      </c>
      <c r="O1589" t="s">
        <v>34</v>
      </c>
      <c r="P1589" t="s">
        <v>35</v>
      </c>
      <c r="Q1589" s="2">
        <v>32487.74</v>
      </c>
      <c r="R1589" s="2">
        <v>2580.56</v>
      </c>
      <c r="S1589" t="s">
        <v>51</v>
      </c>
      <c r="T1589" t="s">
        <v>71</v>
      </c>
      <c r="U1589" t="s">
        <v>53</v>
      </c>
      <c r="V1589">
        <v>1.4</v>
      </c>
      <c r="W1589" t="s">
        <v>124</v>
      </c>
      <c r="X1589" t="s">
        <v>55</v>
      </c>
      <c r="Y1589" t="s">
        <v>41</v>
      </c>
    </row>
    <row r="1590" spans="1:25" x14ac:dyDescent="0.3">
      <c r="A1590" t="s">
        <v>3257</v>
      </c>
      <c r="B1590" s="1">
        <v>46514</v>
      </c>
      <c r="C1590" t="s">
        <v>117</v>
      </c>
      <c r="D1590" t="s">
        <v>4083</v>
      </c>
      <c r="E1590" t="s">
        <v>45</v>
      </c>
      <c r="F1590" t="s">
        <v>28</v>
      </c>
      <c r="G1590" t="s">
        <v>29</v>
      </c>
      <c r="H1590" t="s">
        <v>67</v>
      </c>
      <c r="I1590">
        <v>9</v>
      </c>
      <c r="J1590" t="s">
        <v>3258</v>
      </c>
      <c r="K1590">
        <v>69</v>
      </c>
      <c r="L1590" t="s">
        <v>80</v>
      </c>
      <c r="M1590">
        <v>4</v>
      </c>
      <c r="N1590" t="s">
        <v>33</v>
      </c>
      <c r="O1590" t="s">
        <v>49</v>
      </c>
      <c r="P1590" t="s">
        <v>70</v>
      </c>
      <c r="Q1590" s="2">
        <v>13090.27</v>
      </c>
      <c r="R1590" s="2">
        <v>1315.81</v>
      </c>
      <c r="S1590" t="s">
        <v>51</v>
      </c>
      <c r="T1590" t="s">
        <v>52</v>
      </c>
      <c r="U1590" t="s">
        <v>83</v>
      </c>
      <c r="V1590">
        <v>2.7</v>
      </c>
      <c r="W1590" t="s">
        <v>76</v>
      </c>
      <c r="X1590" t="s">
        <v>106</v>
      </c>
      <c r="Y1590" t="s">
        <v>72</v>
      </c>
    </row>
    <row r="1591" spans="1:25" x14ac:dyDescent="0.3">
      <c r="A1591" t="s">
        <v>3259</v>
      </c>
      <c r="B1591" s="1">
        <v>46515</v>
      </c>
      <c r="C1591" t="s">
        <v>26</v>
      </c>
      <c r="D1591" t="s">
        <v>26</v>
      </c>
      <c r="E1591" t="s">
        <v>120</v>
      </c>
      <c r="F1591" t="s">
        <v>28</v>
      </c>
      <c r="G1591" t="s">
        <v>29</v>
      </c>
      <c r="H1591" t="s">
        <v>86</v>
      </c>
      <c r="I1591">
        <v>13</v>
      </c>
      <c r="J1591" t="s">
        <v>3260</v>
      </c>
      <c r="K1591">
        <v>28</v>
      </c>
      <c r="L1591" t="s">
        <v>80</v>
      </c>
      <c r="M1591">
        <v>5</v>
      </c>
      <c r="N1591" t="s">
        <v>33</v>
      </c>
      <c r="O1591" t="s">
        <v>69</v>
      </c>
      <c r="P1591" t="s">
        <v>50</v>
      </c>
      <c r="Q1591" s="2">
        <v>29586.58</v>
      </c>
      <c r="R1591" s="2">
        <v>3315.14</v>
      </c>
      <c r="S1591" t="s">
        <v>36</v>
      </c>
      <c r="T1591" t="s">
        <v>52</v>
      </c>
      <c r="U1591" t="s">
        <v>53</v>
      </c>
      <c r="V1591">
        <v>4.0999999999999996</v>
      </c>
      <c r="W1591" t="s">
        <v>54</v>
      </c>
      <c r="X1591" t="s">
        <v>65</v>
      </c>
      <c r="Y1591" t="s">
        <v>72</v>
      </c>
    </row>
    <row r="1592" spans="1:25" x14ac:dyDescent="0.3">
      <c r="A1592" t="s">
        <v>3261</v>
      </c>
      <c r="B1592" s="1">
        <v>46516</v>
      </c>
      <c r="C1592" t="s">
        <v>26</v>
      </c>
      <c r="D1592" t="s">
        <v>26</v>
      </c>
      <c r="E1592" t="s">
        <v>45</v>
      </c>
      <c r="F1592" t="s">
        <v>28</v>
      </c>
      <c r="G1592" t="s">
        <v>29</v>
      </c>
      <c r="H1592" t="s">
        <v>67</v>
      </c>
      <c r="I1592">
        <v>5</v>
      </c>
      <c r="J1592" t="s">
        <v>3262</v>
      </c>
      <c r="K1592">
        <v>44</v>
      </c>
      <c r="L1592" t="s">
        <v>63</v>
      </c>
      <c r="M1592">
        <v>1</v>
      </c>
      <c r="N1592" t="s">
        <v>64</v>
      </c>
      <c r="O1592" t="s">
        <v>81</v>
      </c>
      <c r="P1592" t="s">
        <v>70</v>
      </c>
      <c r="Q1592" s="2">
        <v>42572.04</v>
      </c>
      <c r="R1592" s="2">
        <v>4724.7</v>
      </c>
      <c r="S1592" t="s">
        <v>94</v>
      </c>
      <c r="T1592" t="s">
        <v>37</v>
      </c>
      <c r="U1592" t="s">
        <v>83</v>
      </c>
      <c r="V1592">
        <v>2.8</v>
      </c>
      <c r="W1592" t="s">
        <v>76</v>
      </c>
      <c r="X1592" t="s">
        <v>65</v>
      </c>
      <c r="Y1592" t="s">
        <v>72</v>
      </c>
    </row>
    <row r="1593" spans="1:25" x14ac:dyDescent="0.3">
      <c r="A1593" t="s">
        <v>3263</v>
      </c>
      <c r="B1593" s="1">
        <v>46517</v>
      </c>
      <c r="C1593" t="s">
        <v>26</v>
      </c>
      <c r="D1593" t="s">
        <v>26</v>
      </c>
      <c r="E1593" t="s">
        <v>4085</v>
      </c>
      <c r="F1593" t="s">
        <v>60</v>
      </c>
      <c r="G1593" t="s">
        <v>29</v>
      </c>
      <c r="H1593" t="s">
        <v>46</v>
      </c>
      <c r="I1593">
        <v>8</v>
      </c>
      <c r="J1593" t="s">
        <v>3264</v>
      </c>
      <c r="K1593">
        <v>31</v>
      </c>
      <c r="L1593" t="s">
        <v>80</v>
      </c>
      <c r="M1593">
        <v>7</v>
      </c>
      <c r="N1593" t="s">
        <v>64</v>
      </c>
      <c r="O1593" t="s">
        <v>81</v>
      </c>
      <c r="P1593" t="s">
        <v>82</v>
      </c>
      <c r="Q1593" s="2">
        <v>18622.62</v>
      </c>
      <c r="R1593" s="2">
        <v>2251.0700000000002</v>
      </c>
      <c r="S1593" t="s">
        <v>36</v>
      </c>
      <c r="T1593" t="s">
        <v>52</v>
      </c>
      <c r="U1593" t="s">
        <v>38</v>
      </c>
      <c r="V1593">
        <v>2</v>
      </c>
      <c r="W1593" t="s">
        <v>76</v>
      </c>
      <c r="X1593" t="s">
        <v>40</v>
      </c>
      <c r="Y1593" t="s">
        <v>41</v>
      </c>
    </row>
    <row r="1594" spans="1:25" x14ac:dyDescent="0.3">
      <c r="A1594" t="s">
        <v>3265</v>
      </c>
      <c r="B1594" s="1">
        <v>46518</v>
      </c>
      <c r="C1594" t="s">
        <v>117</v>
      </c>
      <c r="D1594" t="s">
        <v>4083</v>
      </c>
      <c r="E1594" t="s">
        <v>4084</v>
      </c>
      <c r="F1594" t="s">
        <v>60</v>
      </c>
      <c r="G1594" t="s">
        <v>29</v>
      </c>
      <c r="H1594" t="s">
        <v>30</v>
      </c>
      <c r="I1594">
        <v>9</v>
      </c>
      <c r="J1594" t="s">
        <v>3266</v>
      </c>
      <c r="K1594">
        <v>39</v>
      </c>
      <c r="L1594" t="s">
        <v>80</v>
      </c>
      <c r="M1594">
        <v>7</v>
      </c>
      <c r="N1594" t="s">
        <v>64</v>
      </c>
      <c r="O1594" t="s">
        <v>69</v>
      </c>
      <c r="P1594" t="s">
        <v>82</v>
      </c>
      <c r="Q1594" s="2">
        <v>42469.32</v>
      </c>
      <c r="R1594" s="2">
        <v>3747.1</v>
      </c>
      <c r="S1594" t="s">
        <v>51</v>
      </c>
      <c r="T1594" t="s">
        <v>52</v>
      </c>
      <c r="U1594" t="s">
        <v>83</v>
      </c>
      <c r="V1594">
        <v>1.1000000000000001</v>
      </c>
      <c r="W1594" t="s">
        <v>124</v>
      </c>
      <c r="X1594" t="s">
        <v>40</v>
      </c>
      <c r="Y1594" t="s">
        <v>41</v>
      </c>
    </row>
    <row r="1595" spans="1:25" x14ac:dyDescent="0.3">
      <c r="A1595" t="s">
        <v>3267</v>
      </c>
      <c r="B1595" s="1">
        <v>46519</v>
      </c>
      <c r="C1595" t="s">
        <v>117</v>
      </c>
      <c r="D1595" t="s">
        <v>4083</v>
      </c>
      <c r="E1595" t="s">
        <v>4085</v>
      </c>
      <c r="F1595" t="s">
        <v>60</v>
      </c>
      <c r="G1595" t="s">
        <v>29</v>
      </c>
      <c r="H1595" t="s">
        <v>46</v>
      </c>
      <c r="I1595">
        <v>3</v>
      </c>
      <c r="J1595" t="s">
        <v>3268</v>
      </c>
      <c r="K1595">
        <v>33</v>
      </c>
      <c r="L1595" t="s">
        <v>63</v>
      </c>
      <c r="M1595">
        <v>5</v>
      </c>
      <c r="N1595" t="s">
        <v>33</v>
      </c>
      <c r="O1595" t="s">
        <v>49</v>
      </c>
      <c r="P1595" t="s">
        <v>70</v>
      </c>
      <c r="Q1595" s="2">
        <v>40308.050000000003</v>
      </c>
      <c r="R1595" s="2">
        <v>3230.35</v>
      </c>
      <c r="S1595" t="s">
        <v>36</v>
      </c>
      <c r="T1595" t="s">
        <v>52</v>
      </c>
      <c r="U1595" t="s">
        <v>75</v>
      </c>
      <c r="V1595">
        <v>2.2999999999999998</v>
      </c>
      <c r="W1595" t="s">
        <v>76</v>
      </c>
      <c r="X1595" t="s">
        <v>84</v>
      </c>
      <c r="Y1595" t="s">
        <v>72</v>
      </c>
    </row>
    <row r="1596" spans="1:25" x14ac:dyDescent="0.3">
      <c r="A1596" t="s">
        <v>3269</v>
      </c>
      <c r="B1596" s="1">
        <v>46520</v>
      </c>
      <c r="C1596" t="s">
        <v>26</v>
      </c>
      <c r="D1596" t="s">
        <v>26</v>
      </c>
      <c r="E1596" t="s">
        <v>4084</v>
      </c>
      <c r="F1596" t="s">
        <v>60</v>
      </c>
      <c r="G1596" t="s">
        <v>29</v>
      </c>
      <c r="H1596" t="s">
        <v>30</v>
      </c>
      <c r="I1596">
        <v>14</v>
      </c>
      <c r="J1596" t="s">
        <v>3270</v>
      </c>
      <c r="K1596">
        <v>63</v>
      </c>
      <c r="L1596" t="s">
        <v>32</v>
      </c>
      <c r="M1596">
        <v>1</v>
      </c>
      <c r="N1596" t="s">
        <v>91</v>
      </c>
      <c r="O1596" t="s">
        <v>81</v>
      </c>
      <c r="P1596" t="s">
        <v>50</v>
      </c>
      <c r="Q1596" s="2">
        <v>5978.34</v>
      </c>
      <c r="R1596" s="2">
        <v>2364.71</v>
      </c>
      <c r="S1596" t="s">
        <v>115</v>
      </c>
      <c r="T1596" t="s">
        <v>71</v>
      </c>
      <c r="U1596" t="s">
        <v>83</v>
      </c>
      <c r="V1596">
        <v>3.9</v>
      </c>
      <c r="W1596" t="s">
        <v>54</v>
      </c>
      <c r="X1596" t="s">
        <v>65</v>
      </c>
      <c r="Y1596" t="s">
        <v>41</v>
      </c>
    </row>
    <row r="1597" spans="1:25" x14ac:dyDescent="0.3">
      <c r="A1597" t="s">
        <v>3271</v>
      </c>
      <c r="B1597" s="1">
        <v>46521</v>
      </c>
      <c r="C1597" t="s">
        <v>43</v>
      </c>
      <c r="D1597" t="s">
        <v>58</v>
      </c>
      <c r="E1597" t="s">
        <v>45</v>
      </c>
      <c r="F1597" t="s">
        <v>28</v>
      </c>
      <c r="G1597" t="s">
        <v>29</v>
      </c>
      <c r="H1597" t="s">
        <v>67</v>
      </c>
      <c r="I1597">
        <v>4</v>
      </c>
      <c r="J1597" t="s">
        <v>3272</v>
      </c>
      <c r="K1597">
        <v>29</v>
      </c>
      <c r="L1597" t="s">
        <v>32</v>
      </c>
      <c r="M1597">
        <v>2</v>
      </c>
      <c r="N1597" t="s">
        <v>33</v>
      </c>
      <c r="O1597" t="s">
        <v>69</v>
      </c>
      <c r="P1597" t="s">
        <v>35</v>
      </c>
      <c r="Q1597" s="2">
        <v>15775.47</v>
      </c>
      <c r="R1597" s="2">
        <v>249.06</v>
      </c>
      <c r="S1597" t="s">
        <v>36</v>
      </c>
      <c r="T1597" t="s">
        <v>71</v>
      </c>
      <c r="U1597" t="s">
        <v>38</v>
      </c>
      <c r="V1597">
        <v>1.6</v>
      </c>
      <c r="W1597" t="s">
        <v>124</v>
      </c>
      <c r="X1597" t="s">
        <v>84</v>
      </c>
      <c r="Y1597" t="s">
        <v>72</v>
      </c>
    </row>
    <row r="1598" spans="1:25" x14ac:dyDescent="0.3">
      <c r="A1598" t="s">
        <v>3273</v>
      </c>
      <c r="B1598" s="1">
        <v>46522</v>
      </c>
      <c r="C1598" t="s">
        <v>43</v>
      </c>
      <c r="D1598" t="s">
        <v>58</v>
      </c>
      <c r="E1598" t="s">
        <v>89</v>
      </c>
      <c r="F1598" t="s">
        <v>28</v>
      </c>
      <c r="G1598" t="s">
        <v>29</v>
      </c>
      <c r="H1598" t="s">
        <v>61</v>
      </c>
      <c r="I1598">
        <v>14</v>
      </c>
      <c r="J1598" t="s">
        <v>3274</v>
      </c>
      <c r="K1598">
        <v>66</v>
      </c>
      <c r="L1598" t="s">
        <v>63</v>
      </c>
      <c r="M1598">
        <v>7</v>
      </c>
      <c r="N1598" t="s">
        <v>48</v>
      </c>
      <c r="O1598" t="s">
        <v>34</v>
      </c>
      <c r="P1598" t="s">
        <v>82</v>
      </c>
      <c r="Q1598" s="2">
        <v>29432.41</v>
      </c>
      <c r="R1598" s="2">
        <v>3708.75</v>
      </c>
      <c r="S1598" t="s">
        <v>94</v>
      </c>
      <c r="T1598" t="s">
        <v>37</v>
      </c>
      <c r="U1598" t="s">
        <v>53</v>
      </c>
      <c r="V1598">
        <v>2.4</v>
      </c>
      <c r="W1598" t="s">
        <v>76</v>
      </c>
      <c r="X1598" t="s">
        <v>84</v>
      </c>
      <c r="Y1598" t="s">
        <v>41</v>
      </c>
    </row>
    <row r="1599" spans="1:25" x14ac:dyDescent="0.3">
      <c r="A1599" t="s">
        <v>3275</v>
      </c>
      <c r="B1599" s="1">
        <v>46523</v>
      </c>
      <c r="C1599" t="s">
        <v>78</v>
      </c>
      <c r="D1599" t="s">
        <v>58</v>
      </c>
      <c r="E1599" t="s">
        <v>89</v>
      </c>
      <c r="F1599" t="s">
        <v>28</v>
      </c>
      <c r="G1599" t="s">
        <v>29</v>
      </c>
      <c r="H1599" t="s">
        <v>61</v>
      </c>
      <c r="I1599">
        <v>6</v>
      </c>
      <c r="J1599" t="s">
        <v>3276</v>
      </c>
      <c r="K1599">
        <v>63</v>
      </c>
      <c r="L1599" t="s">
        <v>32</v>
      </c>
      <c r="M1599">
        <v>3</v>
      </c>
      <c r="N1599" t="s">
        <v>64</v>
      </c>
      <c r="O1599" t="s">
        <v>49</v>
      </c>
      <c r="P1599" t="s">
        <v>82</v>
      </c>
      <c r="Q1599" s="2">
        <v>37292.78</v>
      </c>
      <c r="R1599" s="2">
        <v>1816.26</v>
      </c>
      <c r="S1599" t="s">
        <v>36</v>
      </c>
      <c r="T1599" t="s">
        <v>71</v>
      </c>
      <c r="U1599" t="s">
        <v>83</v>
      </c>
      <c r="V1599">
        <v>1.1000000000000001</v>
      </c>
      <c r="W1599" t="s">
        <v>124</v>
      </c>
      <c r="X1599" t="s">
        <v>106</v>
      </c>
      <c r="Y1599" t="s">
        <v>72</v>
      </c>
    </row>
    <row r="1600" spans="1:25" x14ac:dyDescent="0.3">
      <c r="A1600" t="s">
        <v>3277</v>
      </c>
      <c r="B1600" s="1">
        <v>46524</v>
      </c>
      <c r="C1600" t="s">
        <v>57</v>
      </c>
      <c r="D1600" t="s">
        <v>44</v>
      </c>
      <c r="E1600" t="s">
        <v>4084</v>
      </c>
      <c r="F1600" t="s">
        <v>60</v>
      </c>
      <c r="G1600" t="s">
        <v>29</v>
      </c>
      <c r="H1600" t="s">
        <v>27</v>
      </c>
      <c r="I1600">
        <v>10</v>
      </c>
      <c r="J1600" t="s">
        <v>3278</v>
      </c>
      <c r="K1600">
        <v>27</v>
      </c>
      <c r="L1600" t="s">
        <v>32</v>
      </c>
      <c r="M1600">
        <v>4</v>
      </c>
      <c r="N1600" t="s">
        <v>64</v>
      </c>
      <c r="O1600" t="s">
        <v>49</v>
      </c>
      <c r="P1600" t="s">
        <v>82</v>
      </c>
      <c r="Q1600" s="2">
        <v>44623.87</v>
      </c>
      <c r="R1600" s="2">
        <v>1122.47</v>
      </c>
      <c r="S1600" t="s">
        <v>115</v>
      </c>
      <c r="T1600" t="s">
        <v>52</v>
      </c>
      <c r="U1600" t="s">
        <v>83</v>
      </c>
      <c r="V1600">
        <v>3.9</v>
      </c>
      <c r="W1600" t="s">
        <v>39</v>
      </c>
      <c r="X1600" t="s">
        <v>40</v>
      </c>
      <c r="Y1600" t="s">
        <v>72</v>
      </c>
    </row>
    <row r="1601" spans="1:25" x14ac:dyDescent="0.3">
      <c r="A1601" t="s">
        <v>3279</v>
      </c>
      <c r="B1601" s="1">
        <v>46525</v>
      </c>
      <c r="C1601" t="s">
        <v>43</v>
      </c>
      <c r="D1601" t="s">
        <v>58</v>
      </c>
      <c r="E1601" t="s">
        <v>89</v>
      </c>
      <c r="F1601" t="s">
        <v>28</v>
      </c>
      <c r="G1601" t="s">
        <v>29</v>
      </c>
      <c r="H1601" t="s">
        <v>61</v>
      </c>
      <c r="I1601">
        <v>13</v>
      </c>
      <c r="J1601" t="s">
        <v>3280</v>
      </c>
      <c r="K1601">
        <v>41</v>
      </c>
      <c r="L1601" t="s">
        <v>32</v>
      </c>
      <c r="M1601">
        <v>1</v>
      </c>
      <c r="N1601" t="s">
        <v>64</v>
      </c>
      <c r="O1601" t="s">
        <v>81</v>
      </c>
      <c r="P1601" t="s">
        <v>50</v>
      </c>
      <c r="Q1601" s="2">
        <v>33846.9</v>
      </c>
      <c r="R1601" s="2">
        <v>4741.34</v>
      </c>
      <c r="S1601" t="s">
        <v>36</v>
      </c>
      <c r="T1601" t="s">
        <v>71</v>
      </c>
      <c r="U1601" t="s">
        <v>75</v>
      </c>
      <c r="V1601">
        <v>4.5</v>
      </c>
      <c r="W1601" t="s">
        <v>103</v>
      </c>
      <c r="X1601" t="s">
        <v>84</v>
      </c>
      <c r="Y1601" t="s">
        <v>41</v>
      </c>
    </row>
    <row r="1602" spans="1:25" x14ac:dyDescent="0.3">
      <c r="A1602" t="s">
        <v>3281</v>
      </c>
      <c r="B1602" s="1">
        <v>46526</v>
      </c>
      <c r="C1602" t="s">
        <v>117</v>
      </c>
      <c r="D1602" t="s">
        <v>4083</v>
      </c>
      <c r="E1602" t="s">
        <v>45</v>
      </c>
      <c r="F1602" t="s">
        <v>28</v>
      </c>
      <c r="G1602" t="s">
        <v>29</v>
      </c>
      <c r="H1602" t="s">
        <v>67</v>
      </c>
      <c r="I1602">
        <v>12</v>
      </c>
      <c r="J1602" t="s">
        <v>3282</v>
      </c>
      <c r="K1602">
        <v>63</v>
      </c>
      <c r="L1602" t="s">
        <v>80</v>
      </c>
      <c r="M1602">
        <v>7</v>
      </c>
      <c r="N1602" t="s">
        <v>48</v>
      </c>
      <c r="O1602" t="s">
        <v>49</v>
      </c>
      <c r="P1602" t="s">
        <v>70</v>
      </c>
      <c r="Q1602" s="2">
        <v>22115.49</v>
      </c>
      <c r="R1602" s="2">
        <v>3867.51</v>
      </c>
      <c r="S1602" t="s">
        <v>51</v>
      </c>
      <c r="T1602" t="s">
        <v>52</v>
      </c>
      <c r="U1602" t="s">
        <v>53</v>
      </c>
      <c r="V1602">
        <v>3.3</v>
      </c>
      <c r="W1602" t="s">
        <v>76</v>
      </c>
      <c r="X1602" t="s">
        <v>84</v>
      </c>
      <c r="Y1602" t="s">
        <v>41</v>
      </c>
    </row>
    <row r="1603" spans="1:25" x14ac:dyDescent="0.3">
      <c r="A1603" t="s">
        <v>3283</v>
      </c>
      <c r="B1603" s="1">
        <v>46527</v>
      </c>
      <c r="C1603" t="s">
        <v>43</v>
      </c>
      <c r="D1603" t="s">
        <v>58</v>
      </c>
      <c r="E1603" t="s">
        <v>89</v>
      </c>
      <c r="F1603" t="s">
        <v>28</v>
      </c>
      <c r="G1603" t="s">
        <v>29</v>
      </c>
      <c r="H1603" t="s">
        <v>61</v>
      </c>
      <c r="I1603">
        <v>8</v>
      </c>
      <c r="J1603" t="s">
        <v>3284</v>
      </c>
      <c r="K1603">
        <v>35</v>
      </c>
      <c r="L1603" t="s">
        <v>32</v>
      </c>
      <c r="M1603">
        <v>7</v>
      </c>
      <c r="N1603" t="s">
        <v>91</v>
      </c>
      <c r="O1603" t="s">
        <v>81</v>
      </c>
      <c r="P1603" t="s">
        <v>70</v>
      </c>
      <c r="Q1603" s="2">
        <v>13308.22</v>
      </c>
      <c r="R1603" s="2">
        <v>4811.34</v>
      </c>
      <c r="S1603" t="s">
        <v>51</v>
      </c>
      <c r="T1603" t="s">
        <v>52</v>
      </c>
      <c r="U1603" t="s">
        <v>53</v>
      </c>
      <c r="V1603">
        <v>1.1000000000000001</v>
      </c>
      <c r="W1603" t="s">
        <v>124</v>
      </c>
      <c r="X1603" t="s">
        <v>40</v>
      </c>
      <c r="Y1603" t="s">
        <v>41</v>
      </c>
    </row>
    <row r="1604" spans="1:25" x14ac:dyDescent="0.3">
      <c r="A1604" t="s">
        <v>3285</v>
      </c>
      <c r="B1604" s="1">
        <v>46528</v>
      </c>
      <c r="C1604" t="s">
        <v>78</v>
      </c>
      <c r="D1604" t="s">
        <v>58</v>
      </c>
      <c r="E1604" t="s">
        <v>45</v>
      </c>
      <c r="F1604" t="s">
        <v>28</v>
      </c>
      <c r="G1604" t="s">
        <v>29</v>
      </c>
      <c r="H1604" t="s">
        <v>67</v>
      </c>
      <c r="I1604">
        <v>3</v>
      </c>
      <c r="J1604" t="s">
        <v>3286</v>
      </c>
      <c r="K1604">
        <v>39</v>
      </c>
      <c r="L1604" t="s">
        <v>80</v>
      </c>
      <c r="M1604">
        <v>6</v>
      </c>
      <c r="N1604" t="s">
        <v>91</v>
      </c>
      <c r="O1604" t="s">
        <v>81</v>
      </c>
      <c r="P1604" t="s">
        <v>50</v>
      </c>
      <c r="Q1604" s="2">
        <v>39201.61</v>
      </c>
      <c r="R1604" s="2">
        <v>1281.08</v>
      </c>
      <c r="S1604" t="s">
        <v>51</v>
      </c>
      <c r="T1604" t="s">
        <v>71</v>
      </c>
      <c r="U1604" t="s">
        <v>53</v>
      </c>
      <c r="V1604">
        <v>1.9</v>
      </c>
      <c r="W1604" t="s">
        <v>124</v>
      </c>
      <c r="X1604" t="s">
        <v>40</v>
      </c>
      <c r="Y1604" t="s">
        <v>41</v>
      </c>
    </row>
    <row r="1605" spans="1:25" x14ac:dyDescent="0.3">
      <c r="A1605" t="s">
        <v>3287</v>
      </c>
      <c r="B1605" s="1">
        <v>46529</v>
      </c>
      <c r="C1605" t="s">
        <v>78</v>
      </c>
      <c r="D1605" t="s">
        <v>58</v>
      </c>
      <c r="E1605" t="s">
        <v>4085</v>
      </c>
      <c r="F1605" t="s">
        <v>60</v>
      </c>
      <c r="G1605" t="s">
        <v>29</v>
      </c>
      <c r="H1605" t="s">
        <v>46</v>
      </c>
      <c r="I1605">
        <v>12</v>
      </c>
      <c r="J1605" t="s">
        <v>3288</v>
      </c>
      <c r="K1605">
        <v>26</v>
      </c>
      <c r="L1605" t="s">
        <v>32</v>
      </c>
      <c r="M1605">
        <v>2</v>
      </c>
      <c r="N1605" t="s">
        <v>91</v>
      </c>
      <c r="O1605" t="s">
        <v>69</v>
      </c>
      <c r="P1605" t="s">
        <v>82</v>
      </c>
      <c r="Q1605" s="2">
        <v>14305.17</v>
      </c>
      <c r="R1605" s="2">
        <v>4178.97</v>
      </c>
      <c r="S1605" t="s">
        <v>94</v>
      </c>
      <c r="T1605" t="s">
        <v>71</v>
      </c>
      <c r="U1605" t="s">
        <v>38</v>
      </c>
      <c r="V1605">
        <v>2.8</v>
      </c>
      <c r="W1605" t="s">
        <v>76</v>
      </c>
      <c r="X1605" t="s">
        <v>65</v>
      </c>
      <c r="Y1605" t="s">
        <v>41</v>
      </c>
    </row>
    <row r="1606" spans="1:25" x14ac:dyDescent="0.3">
      <c r="A1606" t="s">
        <v>3289</v>
      </c>
      <c r="B1606" s="1">
        <v>46530</v>
      </c>
      <c r="C1606" t="s">
        <v>57</v>
      </c>
      <c r="D1606" t="s">
        <v>44</v>
      </c>
      <c r="E1606" t="s">
        <v>45</v>
      </c>
      <c r="F1606" t="s">
        <v>28</v>
      </c>
      <c r="G1606" t="s">
        <v>29</v>
      </c>
      <c r="H1606" t="s">
        <v>67</v>
      </c>
      <c r="I1606">
        <v>7</v>
      </c>
      <c r="J1606" t="s">
        <v>3290</v>
      </c>
      <c r="K1606">
        <v>34</v>
      </c>
      <c r="L1606" t="s">
        <v>80</v>
      </c>
      <c r="M1606">
        <v>3</v>
      </c>
      <c r="N1606" t="s">
        <v>64</v>
      </c>
      <c r="O1606" t="s">
        <v>81</v>
      </c>
      <c r="P1606" t="s">
        <v>50</v>
      </c>
      <c r="Q1606" s="2">
        <v>36294.370000000003</v>
      </c>
      <c r="R1606" s="2">
        <v>3038.61</v>
      </c>
      <c r="S1606" t="s">
        <v>36</v>
      </c>
      <c r="T1606" t="s">
        <v>71</v>
      </c>
      <c r="U1606" t="s">
        <v>38</v>
      </c>
      <c r="V1606">
        <v>3.4</v>
      </c>
      <c r="W1606" t="s">
        <v>39</v>
      </c>
      <c r="X1606" t="s">
        <v>40</v>
      </c>
      <c r="Y1606" t="s">
        <v>72</v>
      </c>
    </row>
    <row r="1607" spans="1:25" x14ac:dyDescent="0.3">
      <c r="A1607" t="s">
        <v>3291</v>
      </c>
      <c r="B1607" s="1">
        <v>46531</v>
      </c>
      <c r="C1607" t="s">
        <v>43</v>
      </c>
      <c r="D1607" t="s">
        <v>58</v>
      </c>
      <c r="E1607" t="s">
        <v>120</v>
      </c>
      <c r="F1607" t="s">
        <v>28</v>
      </c>
      <c r="G1607" t="s">
        <v>29</v>
      </c>
      <c r="H1607" t="s">
        <v>86</v>
      </c>
      <c r="I1607">
        <v>9</v>
      </c>
      <c r="J1607" t="s">
        <v>3292</v>
      </c>
      <c r="K1607">
        <v>55</v>
      </c>
      <c r="L1607" t="s">
        <v>63</v>
      </c>
      <c r="M1607">
        <v>3</v>
      </c>
      <c r="N1607" t="s">
        <v>91</v>
      </c>
      <c r="O1607" t="s">
        <v>34</v>
      </c>
      <c r="P1607" t="s">
        <v>50</v>
      </c>
      <c r="Q1607" s="2">
        <v>13154.52</v>
      </c>
      <c r="R1607" s="2">
        <v>4907.5200000000004</v>
      </c>
      <c r="S1607" t="s">
        <v>51</v>
      </c>
      <c r="T1607" t="s">
        <v>71</v>
      </c>
      <c r="U1607" t="s">
        <v>75</v>
      </c>
      <c r="V1607">
        <v>3</v>
      </c>
      <c r="W1607" t="s">
        <v>76</v>
      </c>
      <c r="X1607" t="s">
        <v>106</v>
      </c>
      <c r="Y1607" t="s">
        <v>41</v>
      </c>
    </row>
    <row r="1608" spans="1:25" x14ac:dyDescent="0.3">
      <c r="A1608" t="s">
        <v>3293</v>
      </c>
      <c r="B1608" s="1">
        <v>46532</v>
      </c>
      <c r="C1608" t="s">
        <v>117</v>
      </c>
      <c r="D1608" t="s">
        <v>4083</v>
      </c>
      <c r="E1608" t="s">
        <v>120</v>
      </c>
      <c r="F1608" t="s">
        <v>28</v>
      </c>
      <c r="G1608" t="s">
        <v>29</v>
      </c>
      <c r="H1608" t="s">
        <v>86</v>
      </c>
      <c r="I1608">
        <v>8</v>
      </c>
      <c r="J1608" t="s">
        <v>3294</v>
      </c>
      <c r="K1608">
        <v>57</v>
      </c>
      <c r="L1608" t="s">
        <v>63</v>
      </c>
      <c r="M1608">
        <v>3</v>
      </c>
      <c r="N1608" t="s">
        <v>33</v>
      </c>
      <c r="O1608" t="s">
        <v>49</v>
      </c>
      <c r="P1608" t="s">
        <v>70</v>
      </c>
      <c r="Q1608" s="2">
        <v>9097.42</v>
      </c>
      <c r="R1608" s="2">
        <v>4731.58</v>
      </c>
      <c r="S1608" t="s">
        <v>36</v>
      </c>
      <c r="T1608" t="s">
        <v>37</v>
      </c>
      <c r="U1608" t="s">
        <v>83</v>
      </c>
      <c r="V1608">
        <v>4.7</v>
      </c>
      <c r="W1608" t="s">
        <v>103</v>
      </c>
      <c r="X1608" t="s">
        <v>65</v>
      </c>
      <c r="Y1608" t="s">
        <v>72</v>
      </c>
    </row>
    <row r="1609" spans="1:25" x14ac:dyDescent="0.3">
      <c r="A1609" t="s">
        <v>3295</v>
      </c>
      <c r="B1609" s="1">
        <v>46533</v>
      </c>
      <c r="C1609" t="s">
        <v>117</v>
      </c>
      <c r="D1609" t="s">
        <v>4083</v>
      </c>
      <c r="E1609" t="s">
        <v>120</v>
      </c>
      <c r="F1609" t="s">
        <v>28</v>
      </c>
      <c r="G1609" t="s">
        <v>29</v>
      </c>
      <c r="H1609" t="s">
        <v>86</v>
      </c>
      <c r="I1609">
        <v>14</v>
      </c>
      <c r="J1609" t="s">
        <v>3296</v>
      </c>
      <c r="K1609">
        <v>30</v>
      </c>
      <c r="L1609" t="s">
        <v>32</v>
      </c>
      <c r="M1609">
        <v>1</v>
      </c>
      <c r="N1609" t="s">
        <v>64</v>
      </c>
      <c r="O1609" t="s">
        <v>81</v>
      </c>
      <c r="P1609" t="s">
        <v>50</v>
      </c>
      <c r="Q1609" s="2">
        <v>16299.51</v>
      </c>
      <c r="R1609" s="2">
        <v>4864.84</v>
      </c>
      <c r="S1609" t="s">
        <v>115</v>
      </c>
      <c r="T1609" t="s">
        <v>71</v>
      </c>
      <c r="U1609" t="s">
        <v>38</v>
      </c>
      <c r="V1609">
        <v>4.8</v>
      </c>
      <c r="W1609" t="s">
        <v>103</v>
      </c>
      <c r="X1609" t="s">
        <v>84</v>
      </c>
      <c r="Y1609" t="s">
        <v>41</v>
      </c>
    </row>
    <row r="1610" spans="1:25" x14ac:dyDescent="0.3">
      <c r="A1610" t="s">
        <v>3297</v>
      </c>
      <c r="B1610" s="1">
        <v>46534</v>
      </c>
      <c r="C1610" t="s">
        <v>26</v>
      </c>
      <c r="D1610" t="s">
        <v>26</v>
      </c>
      <c r="E1610" t="s">
        <v>4084</v>
      </c>
      <c r="F1610" t="s">
        <v>60</v>
      </c>
      <c r="G1610" t="s">
        <v>29</v>
      </c>
      <c r="H1610" t="s">
        <v>27</v>
      </c>
      <c r="I1610">
        <v>11</v>
      </c>
      <c r="J1610" t="s">
        <v>3298</v>
      </c>
      <c r="K1610">
        <v>67</v>
      </c>
      <c r="L1610" t="s">
        <v>80</v>
      </c>
      <c r="M1610">
        <v>2</v>
      </c>
      <c r="N1610" t="s">
        <v>48</v>
      </c>
      <c r="O1610" t="s">
        <v>49</v>
      </c>
      <c r="P1610" t="s">
        <v>50</v>
      </c>
      <c r="Q1610" s="2">
        <v>17821.84</v>
      </c>
      <c r="R1610" s="2">
        <v>4758.84</v>
      </c>
      <c r="S1610" t="s">
        <v>115</v>
      </c>
      <c r="T1610" t="s">
        <v>37</v>
      </c>
      <c r="U1610" t="s">
        <v>53</v>
      </c>
      <c r="V1610">
        <v>1.4</v>
      </c>
      <c r="W1610" t="s">
        <v>124</v>
      </c>
      <c r="X1610" t="s">
        <v>106</v>
      </c>
      <c r="Y1610" t="s">
        <v>72</v>
      </c>
    </row>
    <row r="1611" spans="1:25" x14ac:dyDescent="0.3">
      <c r="A1611" t="s">
        <v>3299</v>
      </c>
      <c r="B1611" s="1">
        <v>46535</v>
      </c>
      <c r="C1611" t="s">
        <v>117</v>
      </c>
      <c r="D1611" t="s">
        <v>4083</v>
      </c>
      <c r="E1611" t="s">
        <v>4084</v>
      </c>
      <c r="F1611" t="s">
        <v>60</v>
      </c>
      <c r="G1611" t="s">
        <v>29</v>
      </c>
      <c r="H1611" t="s">
        <v>30</v>
      </c>
      <c r="I1611">
        <v>10</v>
      </c>
      <c r="J1611" t="s">
        <v>3300</v>
      </c>
      <c r="K1611">
        <v>54</v>
      </c>
      <c r="L1611" t="s">
        <v>63</v>
      </c>
      <c r="M1611">
        <v>5</v>
      </c>
      <c r="N1611" t="s">
        <v>48</v>
      </c>
      <c r="O1611" t="s">
        <v>81</v>
      </c>
      <c r="P1611" t="s">
        <v>82</v>
      </c>
      <c r="Q1611" s="2">
        <v>34124.410000000003</v>
      </c>
      <c r="R1611" s="2">
        <v>38.299999999999997</v>
      </c>
      <c r="S1611" t="s">
        <v>94</v>
      </c>
      <c r="T1611" t="s">
        <v>52</v>
      </c>
      <c r="U1611" t="s">
        <v>83</v>
      </c>
      <c r="V1611">
        <v>1.6</v>
      </c>
      <c r="W1611" t="s">
        <v>124</v>
      </c>
      <c r="X1611" t="s">
        <v>106</v>
      </c>
      <c r="Y1611" t="s">
        <v>72</v>
      </c>
    </row>
    <row r="1612" spans="1:25" x14ac:dyDescent="0.3">
      <c r="A1612" t="s">
        <v>3301</v>
      </c>
      <c r="B1612" s="1">
        <v>46536</v>
      </c>
      <c r="C1612" t="s">
        <v>57</v>
      </c>
      <c r="D1612" t="s">
        <v>44</v>
      </c>
      <c r="E1612" t="s">
        <v>4084</v>
      </c>
      <c r="F1612" t="s">
        <v>60</v>
      </c>
      <c r="G1612" t="s">
        <v>29</v>
      </c>
      <c r="H1612" t="s">
        <v>30</v>
      </c>
      <c r="I1612">
        <v>6</v>
      </c>
      <c r="J1612" t="s">
        <v>3302</v>
      </c>
      <c r="K1612">
        <v>23</v>
      </c>
      <c r="L1612" t="s">
        <v>63</v>
      </c>
      <c r="M1612">
        <v>6</v>
      </c>
      <c r="N1612" t="s">
        <v>91</v>
      </c>
      <c r="O1612" t="s">
        <v>69</v>
      </c>
      <c r="P1612" t="s">
        <v>35</v>
      </c>
      <c r="Q1612" s="2">
        <v>12239.75</v>
      </c>
      <c r="R1612" s="2">
        <v>3705.43</v>
      </c>
      <c r="S1612" t="s">
        <v>36</v>
      </c>
      <c r="T1612" t="s">
        <v>37</v>
      </c>
      <c r="U1612" t="s">
        <v>83</v>
      </c>
      <c r="V1612">
        <v>2.4</v>
      </c>
      <c r="W1612" t="s">
        <v>76</v>
      </c>
      <c r="X1612" t="s">
        <v>65</v>
      </c>
      <c r="Y1612" t="s">
        <v>72</v>
      </c>
    </row>
    <row r="1613" spans="1:25" x14ac:dyDescent="0.3">
      <c r="A1613" t="s">
        <v>3303</v>
      </c>
      <c r="B1613" s="1">
        <v>46537</v>
      </c>
      <c r="C1613" t="s">
        <v>57</v>
      </c>
      <c r="D1613" t="s">
        <v>44</v>
      </c>
      <c r="E1613" t="s">
        <v>45</v>
      </c>
      <c r="F1613" t="s">
        <v>28</v>
      </c>
      <c r="G1613" t="s">
        <v>29</v>
      </c>
      <c r="H1613" t="s">
        <v>67</v>
      </c>
      <c r="I1613">
        <v>13</v>
      </c>
      <c r="J1613" t="s">
        <v>3304</v>
      </c>
      <c r="K1613">
        <v>38</v>
      </c>
      <c r="L1613" t="s">
        <v>63</v>
      </c>
      <c r="M1613">
        <v>2</v>
      </c>
      <c r="N1613" t="s">
        <v>64</v>
      </c>
      <c r="O1613" t="s">
        <v>34</v>
      </c>
      <c r="P1613" t="s">
        <v>82</v>
      </c>
      <c r="Q1613" s="2">
        <v>46863.81</v>
      </c>
      <c r="R1613" s="2">
        <v>1359.67</v>
      </c>
      <c r="S1613" t="s">
        <v>115</v>
      </c>
      <c r="T1613" t="s">
        <v>52</v>
      </c>
      <c r="U1613" t="s">
        <v>83</v>
      </c>
      <c r="V1613">
        <v>2.7</v>
      </c>
      <c r="W1613" t="s">
        <v>76</v>
      </c>
      <c r="X1613" t="s">
        <v>84</v>
      </c>
      <c r="Y1613" t="s">
        <v>41</v>
      </c>
    </row>
    <row r="1614" spans="1:25" x14ac:dyDescent="0.3">
      <c r="A1614" t="s">
        <v>3305</v>
      </c>
      <c r="B1614" s="1">
        <v>46538</v>
      </c>
      <c r="C1614" t="s">
        <v>117</v>
      </c>
      <c r="D1614" t="s">
        <v>4083</v>
      </c>
      <c r="E1614" t="s">
        <v>4084</v>
      </c>
      <c r="F1614" t="s">
        <v>60</v>
      </c>
      <c r="G1614" t="s">
        <v>29</v>
      </c>
      <c r="H1614" t="s">
        <v>30</v>
      </c>
      <c r="I1614">
        <v>14</v>
      </c>
      <c r="J1614" t="s">
        <v>3306</v>
      </c>
      <c r="K1614">
        <v>68</v>
      </c>
      <c r="L1614" t="s">
        <v>63</v>
      </c>
      <c r="M1614">
        <v>2</v>
      </c>
      <c r="N1614" t="s">
        <v>33</v>
      </c>
      <c r="O1614" t="s">
        <v>49</v>
      </c>
      <c r="P1614" t="s">
        <v>70</v>
      </c>
      <c r="Q1614" s="2">
        <v>29946.28</v>
      </c>
      <c r="R1614" s="2">
        <v>3525.14</v>
      </c>
      <c r="S1614" t="s">
        <v>94</v>
      </c>
      <c r="T1614" t="s">
        <v>37</v>
      </c>
      <c r="U1614" t="s">
        <v>75</v>
      </c>
      <c r="V1614">
        <v>3.3</v>
      </c>
      <c r="W1614" t="s">
        <v>76</v>
      </c>
      <c r="X1614" t="s">
        <v>65</v>
      </c>
      <c r="Y1614" t="s">
        <v>72</v>
      </c>
    </row>
    <row r="1615" spans="1:25" x14ac:dyDescent="0.3">
      <c r="A1615" t="s">
        <v>3307</v>
      </c>
      <c r="B1615" s="1">
        <v>46539</v>
      </c>
      <c r="C1615" t="s">
        <v>117</v>
      </c>
      <c r="D1615" t="s">
        <v>4083</v>
      </c>
      <c r="E1615" t="s">
        <v>4085</v>
      </c>
      <c r="F1615" t="s">
        <v>60</v>
      </c>
      <c r="G1615" t="s">
        <v>29</v>
      </c>
      <c r="H1615" t="s">
        <v>59</v>
      </c>
      <c r="I1615">
        <v>7</v>
      </c>
      <c r="J1615" t="s">
        <v>3308</v>
      </c>
      <c r="K1615">
        <v>53</v>
      </c>
      <c r="L1615" t="s">
        <v>32</v>
      </c>
      <c r="M1615">
        <v>7</v>
      </c>
      <c r="N1615" t="s">
        <v>33</v>
      </c>
      <c r="O1615" t="s">
        <v>69</v>
      </c>
      <c r="P1615" t="s">
        <v>35</v>
      </c>
      <c r="Q1615" s="2">
        <v>27091.93</v>
      </c>
      <c r="R1615" s="2">
        <v>4903.0600000000004</v>
      </c>
      <c r="S1615" t="s">
        <v>94</v>
      </c>
      <c r="T1615" t="s">
        <v>37</v>
      </c>
      <c r="U1615" t="s">
        <v>38</v>
      </c>
      <c r="V1615">
        <v>4.0999999999999996</v>
      </c>
      <c r="W1615" t="s">
        <v>54</v>
      </c>
      <c r="X1615" t="s">
        <v>55</v>
      </c>
      <c r="Y1615" t="s">
        <v>41</v>
      </c>
    </row>
    <row r="1616" spans="1:25" x14ac:dyDescent="0.3">
      <c r="A1616" t="s">
        <v>3309</v>
      </c>
      <c r="B1616" s="1">
        <v>46540</v>
      </c>
      <c r="C1616" t="s">
        <v>26</v>
      </c>
      <c r="D1616" t="s">
        <v>26</v>
      </c>
      <c r="E1616" t="s">
        <v>120</v>
      </c>
      <c r="F1616" t="s">
        <v>28</v>
      </c>
      <c r="G1616" t="s">
        <v>29</v>
      </c>
      <c r="H1616" t="s">
        <v>86</v>
      </c>
      <c r="I1616">
        <v>9</v>
      </c>
      <c r="J1616" t="s">
        <v>3310</v>
      </c>
      <c r="K1616">
        <v>24</v>
      </c>
      <c r="L1616" t="s">
        <v>80</v>
      </c>
      <c r="M1616">
        <v>2</v>
      </c>
      <c r="N1616" t="s">
        <v>64</v>
      </c>
      <c r="O1616" t="s">
        <v>49</v>
      </c>
      <c r="P1616" t="s">
        <v>82</v>
      </c>
      <c r="Q1616" s="2">
        <v>24561.25</v>
      </c>
      <c r="R1616" s="2">
        <v>196.8</v>
      </c>
      <c r="S1616" t="s">
        <v>51</v>
      </c>
      <c r="T1616" t="s">
        <v>52</v>
      </c>
      <c r="U1616" t="s">
        <v>38</v>
      </c>
      <c r="V1616">
        <v>1.5</v>
      </c>
      <c r="W1616" t="s">
        <v>124</v>
      </c>
      <c r="X1616" t="s">
        <v>55</v>
      </c>
      <c r="Y1616" t="s">
        <v>72</v>
      </c>
    </row>
    <row r="1617" spans="1:25" x14ac:dyDescent="0.3">
      <c r="A1617" t="s">
        <v>3311</v>
      </c>
      <c r="B1617" s="1">
        <v>46541</v>
      </c>
      <c r="C1617" t="s">
        <v>117</v>
      </c>
      <c r="D1617" t="s">
        <v>4083</v>
      </c>
      <c r="E1617" t="s">
        <v>45</v>
      </c>
      <c r="F1617" t="s">
        <v>28</v>
      </c>
      <c r="G1617" t="s">
        <v>29</v>
      </c>
      <c r="H1617" t="s">
        <v>67</v>
      </c>
      <c r="I1617">
        <v>10</v>
      </c>
      <c r="J1617" t="s">
        <v>3312</v>
      </c>
      <c r="K1617">
        <v>53</v>
      </c>
      <c r="L1617" t="s">
        <v>63</v>
      </c>
      <c r="M1617">
        <v>1</v>
      </c>
      <c r="N1617" t="s">
        <v>91</v>
      </c>
      <c r="O1617" t="s">
        <v>69</v>
      </c>
      <c r="P1617" t="s">
        <v>50</v>
      </c>
      <c r="Q1617" s="2">
        <v>30497.06</v>
      </c>
      <c r="R1617" s="2">
        <v>2834.94</v>
      </c>
      <c r="S1617" t="s">
        <v>115</v>
      </c>
      <c r="T1617" t="s">
        <v>37</v>
      </c>
      <c r="U1617" t="s">
        <v>83</v>
      </c>
      <c r="V1617">
        <v>4.2</v>
      </c>
      <c r="W1617" t="s">
        <v>54</v>
      </c>
      <c r="X1617" t="s">
        <v>65</v>
      </c>
      <c r="Y1617" t="s">
        <v>41</v>
      </c>
    </row>
    <row r="1618" spans="1:25" x14ac:dyDescent="0.3">
      <c r="A1618" t="s">
        <v>3313</v>
      </c>
      <c r="B1618" s="1">
        <v>46542</v>
      </c>
      <c r="C1618" t="s">
        <v>26</v>
      </c>
      <c r="D1618" t="s">
        <v>26</v>
      </c>
      <c r="E1618" t="s">
        <v>120</v>
      </c>
      <c r="F1618" t="s">
        <v>28</v>
      </c>
      <c r="G1618" t="s">
        <v>29</v>
      </c>
      <c r="H1618" t="s">
        <v>86</v>
      </c>
      <c r="I1618">
        <v>7</v>
      </c>
      <c r="J1618" t="s">
        <v>3314</v>
      </c>
      <c r="K1618">
        <v>42</v>
      </c>
      <c r="L1618" t="s">
        <v>32</v>
      </c>
      <c r="M1618">
        <v>6</v>
      </c>
      <c r="N1618" t="s">
        <v>48</v>
      </c>
      <c r="O1618" t="s">
        <v>34</v>
      </c>
      <c r="P1618" t="s">
        <v>50</v>
      </c>
      <c r="Q1618" s="2">
        <v>6010.11</v>
      </c>
      <c r="R1618" s="2">
        <v>3674.77</v>
      </c>
      <c r="S1618" t="s">
        <v>36</v>
      </c>
      <c r="T1618" t="s">
        <v>52</v>
      </c>
      <c r="U1618" t="s">
        <v>75</v>
      </c>
      <c r="V1618">
        <v>3.4</v>
      </c>
      <c r="W1618" t="s">
        <v>76</v>
      </c>
      <c r="X1618" t="s">
        <v>84</v>
      </c>
      <c r="Y1618" t="s">
        <v>72</v>
      </c>
    </row>
    <row r="1619" spans="1:25" x14ac:dyDescent="0.3">
      <c r="A1619" t="s">
        <v>3315</v>
      </c>
      <c r="B1619" s="1">
        <v>46543</v>
      </c>
      <c r="C1619" t="s">
        <v>26</v>
      </c>
      <c r="D1619" t="s">
        <v>26</v>
      </c>
      <c r="E1619" t="s">
        <v>4084</v>
      </c>
      <c r="F1619" t="s">
        <v>60</v>
      </c>
      <c r="G1619" t="s">
        <v>29</v>
      </c>
      <c r="H1619" t="s">
        <v>30</v>
      </c>
      <c r="I1619">
        <v>11</v>
      </c>
      <c r="J1619" t="s">
        <v>3316</v>
      </c>
      <c r="K1619">
        <v>28</v>
      </c>
      <c r="L1619" t="s">
        <v>63</v>
      </c>
      <c r="M1619">
        <v>1</v>
      </c>
      <c r="N1619" t="s">
        <v>48</v>
      </c>
      <c r="O1619" t="s">
        <v>81</v>
      </c>
      <c r="P1619" t="s">
        <v>35</v>
      </c>
      <c r="Q1619" s="2">
        <v>49553.89</v>
      </c>
      <c r="R1619" s="2">
        <v>1266.79</v>
      </c>
      <c r="S1619" t="s">
        <v>115</v>
      </c>
      <c r="T1619" t="s">
        <v>71</v>
      </c>
      <c r="U1619" t="s">
        <v>75</v>
      </c>
      <c r="V1619">
        <v>4.9000000000000004</v>
      </c>
      <c r="W1619" t="s">
        <v>103</v>
      </c>
      <c r="X1619" t="s">
        <v>84</v>
      </c>
      <c r="Y1619" t="s">
        <v>41</v>
      </c>
    </row>
    <row r="1620" spans="1:25" x14ac:dyDescent="0.3">
      <c r="A1620" t="s">
        <v>3317</v>
      </c>
      <c r="B1620" s="1">
        <v>46544</v>
      </c>
      <c r="C1620" t="s">
        <v>117</v>
      </c>
      <c r="D1620" t="s">
        <v>4083</v>
      </c>
      <c r="E1620" t="s">
        <v>45</v>
      </c>
      <c r="F1620" t="s">
        <v>28</v>
      </c>
      <c r="G1620" t="s">
        <v>29</v>
      </c>
      <c r="H1620" t="s">
        <v>67</v>
      </c>
      <c r="I1620">
        <v>12</v>
      </c>
      <c r="J1620" t="s">
        <v>3318</v>
      </c>
      <c r="K1620">
        <v>61</v>
      </c>
      <c r="L1620" t="s">
        <v>63</v>
      </c>
      <c r="M1620">
        <v>6</v>
      </c>
      <c r="N1620" t="s">
        <v>33</v>
      </c>
      <c r="O1620" t="s">
        <v>69</v>
      </c>
      <c r="P1620" t="s">
        <v>35</v>
      </c>
      <c r="Q1620" s="2">
        <v>30088.6</v>
      </c>
      <c r="R1620" s="2">
        <v>1125.6099999999999</v>
      </c>
      <c r="S1620" t="s">
        <v>115</v>
      </c>
      <c r="T1620" t="s">
        <v>52</v>
      </c>
      <c r="U1620" t="s">
        <v>38</v>
      </c>
      <c r="V1620">
        <v>3.6</v>
      </c>
      <c r="W1620" t="s">
        <v>39</v>
      </c>
      <c r="X1620" t="s">
        <v>40</v>
      </c>
      <c r="Y1620" t="s">
        <v>41</v>
      </c>
    </row>
    <row r="1621" spans="1:25" x14ac:dyDescent="0.3">
      <c r="A1621" t="s">
        <v>3319</v>
      </c>
      <c r="B1621" s="1">
        <v>46545</v>
      </c>
      <c r="C1621" t="s">
        <v>78</v>
      </c>
      <c r="D1621" t="s">
        <v>58</v>
      </c>
      <c r="E1621" t="s">
        <v>89</v>
      </c>
      <c r="F1621" t="s">
        <v>28</v>
      </c>
      <c r="G1621" t="s">
        <v>29</v>
      </c>
      <c r="H1621" t="s">
        <v>61</v>
      </c>
      <c r="I1621">
        <v>14</v>
      </c>
      <c r="J1621" t="s">
        <v>3320</v>
      </c>
      <c r="K1621">
        <v>31</v>
      </c>
      <c r="L1621" t="s">
        <v>63</v>
      </c>
      <c r="M1621">
        <v>6</v>
      </c>
      <c r="N1621" t="s">
        <v>33</v>
      </c>
      <c r="O1621" t="s">
        <v>49</v>
      </c>
      <c r="P1621" t="s">
        <v>50</v>
      </c>
      <c r="Q1621" s="2">
        <v>6583.78</v>
      </c>
      <c r="R1621" s="2">
        <v>301.73</v>
      </c>
      <c r="S1621" t="s">
        <v>36</v>
      </c>
      <c r="T1621" t="s">
        <v>37</v>
      </c>
      <c r="U1621" t="s">
        <v>38</v>
      </c>
      <c r="V1621">
        <v>3.9</v>
      </c>
      <c r="W1621" t="s">
        <v>39</v>
      </c>
      <c r="X1621" t="s">
        <v>106</v>
      </c>
      <c r="Y1621" t="s">
        <v>72</v>
      </c>
    </row>
    <row r="1622" spans="1:25" x14ac:dyDescent="0.3">
      <c r="A1622" t="s">
        <v>3321</v>
      </c>
      <c r="B1622" s="1">
        <v>46546</v>
      </c>
      <c r="C1622" t="s">
        <v>78</v>
      </c>
      <c r="D1622" t="s">
        <v>58</v>
      </c>
      <c r="E1622" t="s">
        <v>4085</v>
      </c>
      <c r="F1622" t="s">
        <v>60</v>
      </c>
      <c r="G1622" t="s">
        <v>29</v>
      </c>
      <c r="H1622" t="s">
        <v>46</v>
      </c>
      <c r="I1622">
        <v>6</v>
      </c>
      <c r="J1622" t="s">
        <v>3322</v>
      </c>
      <c r="K1622">
        <v>62</v>
      </c>
      <c r="L1622" t="s">
        <v>63</v>
      </c>
      <c r="M1622">
        <v>7</v>
      </c>
      <c r="N1622" t="s">
        <v>33</v>
      </c>
      <c r="O1622" t="s">
        <v>49</v>
      </c>
      <c r="P1622" t="s">
        <v>70</v>
      </c>
      <c r="Q1622" s="2">
        <v>31548.99</v>
      </c>
      <c r="R1622" s="2">
        <v>469.6</v>
      </c>
      <c r="S1622" t="s">
        <v>36</v>
      </c>
      <c r="T1622" t="s">
        <v>71</v>
      </c>
      <c r="U1622" t="s">
        <v>75</v>
      </c>
      <c r="V1622">
        <v>1.8</v>
      </c>
      <c r="W1622" t="s">
        <v>124</v>
      </c>
      <c r="X1622" t="s">
        <v>65</v>
      </c>
      <c r="Y1622" t="s">
        <v>72</v>
      </c>
    </row>
    <row r="1623" spans="1:25" x14ac:dyDescent="0.3">
      <c r="A1623" t="s">
        <v>3323</v>
      </c>
      <c r="B1623" s="1">
        <v>46547</v>
      </c>
      <c r="C1623" t="s">
        <v>26</v>
      </c>
      <c r="D1623" t="s">
        <v>26</v>
      </c>
      <c r="E1623" t="s">
        <v>4084</v>
      </c>
      <c r="F1623" t="s">
        <v>60</v>
      </c>
      <c r="G1623" t="s">
        <v>29</v>
      </c>
      <c r="H1623" t="s">
        <v>27</v>
      </c>
      <c r="I1623">
        <v>6</v>
      </c>
      <c r="J1623" t="s">
        <v>3324</v>
      </c>
      <c r="K1623">
        <v>46</v>
      </c>
      <c r="L1623" t="s">
        <v>32</v>
      </c>
      <c r="M1623">
        <v>1</v>
      </c>
      <c r="N1623" t="s">
        <v>48</v>
      </c>
      <c r="O1623" t="s">
        <v>69</v>
      </c>
      <c r="P1623" t="s">
        <v>82</v>
      </c>
      <c r="Q1623" s="2">
        <v>24668.54</v>
      </c>
      <c r="R1623" s="2">
        <v>3283.75</v>
      </c>
      <c r="S1623" t="s">
        <v>51</v>
      </c>
      <c r="T1623" t="s">
        <v>37</v>
      </c>
      <c r="U1623" t="s">
        <v>53</v>
      </c>
      <c r="V1623">
        <v>4.0999999999999996</v>
      </c>
      <c r="W1623" t="s">
        <v>54</v>
      </c>
      <c r="X1623" t="s">
        <v>106</v>
      </c>
      <c r="Y1623" t="s">
        <v>41</v>
      </c>
    </row>
    <row r="1624" spans="1:25" x14ac:dyDescent="0.3">
      <c r="A1624" t="s">
        <v>3325</v>
      </c>
      <c r="B1624" s="1">
        <v>46548</v>
      </c>
      <c r="C1624" t="s">
        <v>117</v>
      </c>
      <c r="D1624" t="s">
        <v>4083</v>
      </c>
      <c r="E1624" t="s">
        <v>4084</v>
      </c>
      <c r="F1624" t="s">
        <v>60</v>
      </c>
      <c r="G1624" t="s">
        <v>29</v>
      </c>
      <c r="H1624" t="s">
        <v>27</v>
      </c>
      <c r="I1624">
        <v>10</v>
      </c>
      <c r="J1624" t="s">
        <v>3326</v>
      </c>
      <c r="K1624">
        <v>27</v>
      </c>
      <c r="L1624" t="s">
        <v>80</v>
      </c>
      <c r="M1624">
        <v>6</v>
      </c>
      <c r="N1624" t="s">
        <v>33</v>
      </c>
      <c r="O1624" t="s">
        <v>34</v>
      </c>
      <c r="P1624" t="s">
        <v>50</v>
      </c>
      <c r="Q1624" s="2">
        <v>6081.7</v>
      </c>
      <c r="R1624" s="2">
        <v>2526.0500000000002</v>
      </c>
      <c r="S1624" t="s">
        <v>94</v>
      </c>
      <c r="T1624" t="s">
        <v>71</v>
      </c>
      <c r="U1624" t="s">
        <v>75</v>
      </c>
      <c r="V1624">
        <v>1.3</v>
      </c>
      <c r="W1624" t="s">
        <v>124</v>
      </c>
      <c r="X1624" t="s">
        <v>106</v>
      </c>
      <c r="Y1624" t="s">
        <v>72</v>
      </c>
    </row>
    <row r="1625" spans="1:25" x14ac:dyDescent="0.3">
      <c r="A1625" t="s">
        <v>3327</v>
      </c>
      <c r="B1625" s="1">
        <v>46549</v>
      </c>
      <c r="C1625" t="s">
        <v>78</v>
      </c>
      <c r="D1625" t="s">
        <v>58</v>
      </c>
      <c r="E1625" t="s">
        <v>4085</v>
      </c>
      <c r="F1625" t="s">
        <v>60</v>
      </c>
      <c r="G1625" t="s">
        <v>29</v>
      </c>
      <c r="H1625" t="s">
        <v>46</v>
      </c>
      <c r="I1625">
        <v>3</v>
      </c>
      <c r="J1625" t="s">
        <v>3328</v>
      </c>
      <c r="K1625">
        <v>67</v>
      </c>
      <c r="L1625" t="s">
        <v>32</v>
      </c>
      <c r="M1625">
        <v>2</v>
      </c>
      <c r="N1625" t="s">
        <v>48</v>
      </c>
      <c r="O1625" t="s">
        <v>34</v>
      </c>
      <c r="P1625" t="s">
        <v>82</v>
      </c>
      <c r="Q1625" s="2">
        <v>46599.29</v>
      </c>
      <c r="R1625" s="2">
        <v>150.36000000000001</v>
      </c>
      <c r="S1625" t="s">
        <v>36</v>
      </c>
      <c r="T1625" t="s">
        <v>52</v>
      </c>
      <c r="U1625" t="s">
        <v>53</v>
      </c>
      <c r="V1625">
        <v>3.6</v>
      </c>
      <c r="W1625" t="s">
        <v>54</v>
      </c>
      <c r="X1625" t="s">
        <v>55</v>
      </c>
      <c r="Y1625" t="s">
        <v>41</v>
      </c>
    </row>
    <row r="1626" spans="1:25" x14ac:dyDescent="0.3">
      <c r="A1626" t="s">
        <v>3329</v>
      </c>
      <c r="B1626" s="1">
        <v>46550</v>
      </c>
      <c r="C1626" t="s">
        <v>117</v>
      </c>
      <c r="D1626" t="s">
        <v>4083</v>
      </c>
      <c r="E1626" t="s">
        <v>4085</v>
      </c>
      <c r="F1626" t="s">
        <v>60</v>
      </c>
      <c r="G1626" t="s">
        <v>29</v>
      </c>
      <c r="H1626" t="s">
        <v>46</v>
      </c>
      <c r="I1626">
        <v>10</v>
      </c>
      <c r="J1626" t="s">
        <v>3330</v>
      </c>
      <c r="K1626">
        <v>65</v>
      </c>
      <c r="L1626" t="s">
        <v>32</v>
      </c>
      <c r="M1626">
        <v>1</v>
      </c>
      <c r="N1626" t="s">
        <v>48</v>
      </c>
      <c r="O1626" t="s">
        <v>81</v>
      </c>
      <c r="P1626" t="s">
        <v>82</v>
      </c>
      <c r="Q1626" s="2">
        <v>5475.51</v>
      </c>
      <c r="R1626" s="2">
        <v>4848.3100000000004</v>
      </c>
      <c r="S1626" t="s">
        <v>36</v>
      </c>
      <c r="T1626" t="s">
        <v>71</v>
      </c>
      <c r="U1626" t="s">
        <v>38</v>
      </c>
      <c r="V1626">
        <v>1.2</v>
      </c>
      <c r="W1626" t="s">
        <v>124</v>
      </c>
      <c r="X1626" t="s">
        <v>55</v>
      </c>
      <c r="Y1626" t="s">
        <v>41</v>
      </c>
    </row>
    <row r="1627" spans="1:25" x14ac:dyDescent="0.3">
      <c r="A1627" t="s">
        <v>3331</v>
      </c>
      <c r="B1627" s="1">
        <v>46551</v>
      </c>
      <c r="C1627" t="s">
        <v>117</v>
      </c>
      <c r="D1627" t="s">
        <v>4083</v>
      </c>
      <c r="E1627" t="s">
        <v>89</v>
      </c>
      <c r="F1627" t="s">
        <v>28</v>
      </c>
      <c r="G1627" t="s">
        <v>29</v>
      </c>
      <c r="H1627" t="s">
        <v>61</v>
      </c>
      <c r="I1627">
        <v>7</v>
      </c>
      <c r="J1627" t="s">
        <v>3332</v>
      </c>
      <c r="K1627">
        <v>22</v>
      </c>
      <c r="L1627" t="s">
        <v>32</v>
      </c>
      <c r="M1627">
        <v>6</v>
      </c>
      <c r="N1627" t="s">
        <v>91</v>
      </c>
      <c r="O1627" t="s">
        <v>81</v>
      </c>
      <c r="P1627" t="s">
        <v>82</v>
      </c>
      <c r="Q1627" s="2">
        <v>31004.23</v>
      </c>
      <c r="R1627" s="2">
        <v>3280.23</v>
      </c>
      <c r="S1627" t="s">
        <v>115</v>
      </c>
      <c r="T1627" t="s">
        <v>71</v>
      </c>
      <c r="U1627" t="s">
        <v>75</v>
      </c>
      <c r="V1627">
        <v>1.5</v>
      </c>
      <c r="W1627" t="s">
        <v>124</v>
      </c>
      <c r="X1627" t="s">
        <v>65</v>
      </c>
      <c r="Y1627" t="s">
        <v>72</v>
      </c>
    </row>
    <row r="1628" spans="1:25" x14ac:dyDescent="0.3">
      <c r="A1628" t="s">
        <v>3333</v>
      </c>
      <c r="B1628" s="1">
        <v>46552</v>
      </c>
      <c r="C1628" t="s">
        <v>117</v>
      </c>
      <c r="D1628" t="s">
        <v>4083</v>
      </c>
      <c r="E1628" t="s">
        <v>4084</v>
      </c>
      <c r="F1628" t="s">
        <v>60</v>
      </c>
      <c r="G1628" t="s">
        <v>29</v>
      </c>
      <c r="H1628" t="s">
        <v>27</v>
      </c>
      <c r="I1628">
        <v>13</v>
      </c>
      <c r="J1628" t="s">
        <v>3334</v>
      </c>
      <c r="K1628">
        <v>25</v>
      </c>
      <c r="L1628" t="s">
        <v>63</v>
      </c>
      <c r="M1628">
        <v>3</v>
      </c>
      <c r="N1628" t="s">
        <v>91</v>
      </c>
      <c r="O1628" t="s">
        <v>49</v>
      </c>
      <c r="P1628" t="s">
        <v>82</v>
      </c>
      <c r="Q1628" s="2">
        <v>48280.58</v>
      </c>
      <c r="R1628" s="2">
        <v>2577.34</v>
      </c>
      <c r="S1628" t="s">
        <v>36</v>
      </c>
      <c r="T1628" t="s">
        <v>71</v>
      </c>
      <c r="U1628" t="s">
        <v>75</v>
      </c>
      <c r="V1628">
        <v>1.4</v>
      </c>
      <c r="W1628" t="s">
        <v>124</v>
      </c>
      <c r="X1628" t="s">
        <v>65</v>
      </c>
      <c r="Y1628" t="s">
        <v>41</v>
      </c>
    </row>
    <row r="1629" spans="1:25" x14ac:dyDescent="0.3">
      <c r="A1629" t="s">
        <v>3335</v>
      </c>
      <c r="B1629" s="1">
        <v>46553</v>
      </c>
      <c r="C1629" t="s">
        <v>43</v>
      </c>
      <c r="D1629" t="s">
        <v>58</v>
      </c>
      <c r="E1629" t="s">
        <v>4084</v>
      </c>
      <c r="F1629" t="s">
        <v>60</v>
      </c>
      <c r="G1629" t="s">
        <v>29</v>
      </c>
      <c r="H1629" t="s">
        <v>27</v>
      </c>
      <c r="I1629">
        <v>3</v>
      </c>
      <c r="J1629" t="s">
        <v>3336</v>
      </c>
      <c r="K1629">
        <v>63</v>
      </c>
      <c r="L1629" t="s">
        <v>80</v>
      </c>
      <c r="M1629">
        <v>1</v>
      </c>
      <c r="N1629" t="s">
        <v>91</v>
      </c>
      <c r="O1629" t="s">
        <v>49</v>
      </c>
      <c r="P1629" t="s">
        <v>70</v>
      </c>
      <c r="Q1629" s="2">
        <v>15692.2</v>
      </c>
      <c r="R1629" s="2">
        <v>1363.62</v>
      </c>
      <c r="S1629" t="s">
        <v>36</v>
      </c>
      <c r="T1629" t="s">
        <v>37</v>
      </c>
      <c r="U1629" t="s">
        <v>75</v>
      </c>
      <c r="V1629">
        <v>1.2</v>
      </c>
      <c r="W1629" t="s">
        <v>124</v>
      </c>
      <c r="X1629" t="s">
        <v>84</v>
      </c>
      <c r="Y1629" t="s">
        <v>72</v>
      </c>
    </row>
    <row r="1630" spans="1:25" x14ac:dyDescent="0.3">
      <c r="A1630" t="s">
        <v>3337</v>
      </c>
      <c r="B1630" s="1">
        <v>46554</v>
      </c>
      <c r="C1630" t="s">
        <v>117</v>
      </c>
      <c r="D1630" t="s">
        <v>4083</v>
      </c>
      <c r="E1630" t="s">
        <v>120</v>
      </c>
      <c r="F1630" t="s">
        <v>28</v>
      </c>
      <c r="G1630" t="s">
        <v>29</v>
      </c>
      <c r="H1630" t="s">
        <v>86</v>
      </c>
      <c r="I1630">
        <v>6</v>
      </c>
      <c r="J1630" t="s">
        <v>3338</v>
      </c>
      <c r="K1630">
        <v>22</v>
      </c>
      <c r="L1630" t="s">
        <v>63</v>
      </c>
      <c r="M1630">
        <v>7</v>
      </c>
      <c r="N1630" t="s">
        <v>33</v>
      </c>
      <c r="O1630" t="s">
        <v>81</v>
      </c>
      <c r="P1630" t="s">
        <v>70</v>
      </c>
      <c r="Q1630" s="2">
        <v>16438.060000000001</v>
      </c>
      <c r="R1630" s="2">
        <v>3290.49</v>
      </c>
      <c r="S1630" t="s">
        <v>115</v>
      </c>
      <c r="T1630" t="s">
        <v>71</v>
      </c>
      <c r="U1630" t="s">
        <v>75</v>
      </c>
      <c r="V1630">
        <v>2.2999999999999998</v>
      </c>
      <c r="W1630" t="s">
        <v>76</v>
      </c>
      <c r="X1630" t="s">
        <v>65</v>
      </c>
      <c r="Y1630" t="s">
        <v>41</v>
      </c>
    </row>
    <row r="1631" spans="1:25" x14ac:dyDescent="0.3">
      <c r="A1631" t="s">
        <v>3339</v>
      </c>
      <c r="B1631" s="1">
        <v>46555</v>
      </c>
      <c r="C1631" t="s">
        <v>43</v>
      </c>
      <c r="D1631" t="s">
        <v>58</v>
      </c>
      <c r="E1631" t="s">
        <v>45</v>
      </c>
      <c r="F1631" t="s">
        <v>28</v>
      </c>
      <c r="G1631" t="s">
        <v>29</v>
      </c>
      <c r="H1631" t="s">
        <v>67</v>
      </c>
      <c r="I1631">
        <v>4</v>
      </c>
      <c r="J1631" t="s">
        <v>3340</v>
      </c>
      <c r="K1631">
        <v>41</v>
      </c>
      <c r="L1631" t="s">
        <v>32</v>
      </c>
      <c r="M1631">
        <v>4</v>
      </c>
      <c r="N1631" t="s">
        <v>48</v>
      </c>
      <c r="O1631" t="s">
        <v>81</v>
      </c>
      <c r="P1631" t="s">
        <v>70</v>
      </c>
      <c r="Q1631" s="2">
        <v>5019.04</v>
      </c>
      <c r="R1631" s="2">
        <v>1820.84</v>
      </c>
      <c r="S1631" t="s">
        <v>115</v>
      </c>
      <c r="T1631" t="s">
        <v>52</v>
      </c>
      <c r="U1631" t="s">
        <v>83</v>
      </c>
      <c r="V1631">
        <v>5</v>
      </c>
      <c r="W1631" t="s">
        <v>103</v>
      </c>
      <c r="X1631" t="s">
        <v>84</v>
      </c>
      <c r="Y1631" t="s">
        <v>41</v>
      </c>
    </row>
    <row r="1632" spans="1:25" x14ac:dyDescent="0.3">
      <c r="A1632" t="s">
        <v>3341</v>
      </c>
      <c r="B1632" s="1">
        <v>46556</v>
      </c>
      <c r="C1632" t="s">
        <v>26</v>
      </c>
      <c r="D1632" t="s">
        <v>26</v>
      </c>
      <c r="E1632" t="s">
        <v>45</v>
      </c>
      <c r="F1632" t="s">
        <v>28</v>
      </c>
      <c r="G1632" t="s">
        <v>29</v>
      </c>
      <c r="H1632" t="s">
        <v>67</v>
      </c>
      <c r="I1632">
        <v>6</v>
      </c>
      <c r="J1632" t="s">
        <v>3342</v>
      </c>
      <c r="K1632">
        <v>57</v>
      </c>
      <c r="L1632" t="s">
        <v>63</v>
      </c>
      <c r="M1632">
        <v>1</v>
      </c>
      <c r="N1632" t="s">
        <v>33</v>
      </c>
      <c r="O1632" t="s">
        <v>81</v>
      </c>
      <c r="P1632" t="s">
        <v>50</v>
      </c>
      <c r="Q1632" s="2">
        <v>7985.8</v>
      </c>
      <c r="R1632" s="2">
        <v>3512.47</v>
      </c>
      <c r="S1632" t="s">
        <v>115</v>
      </c>
      <c r="T1632" t="s">
        <v>52</v>
      </c>
      <c r="U1632" t="s">
        <v>83</v>
      </c>
      <c r="V1632">
        <v>2.4</v>
      </c>
      <c r="W1632" t="s">
        <v>76</v>
      </c>
      <c r="X1632" t="s">
        <v>84</v>
      </c>
      <c r="Y1632" t="s">
        <v>41</v>
      </c>
    </row>
    <row r="1633" spans="1:25" x14ac:dyDescent="0.3">
      <c r="A1633" t="s">
        <v>3343</v>
      </c>
      <c r="B1633" s="1">
        <v>46557</v>
      </c>
      <c r="C1633" t="s">
        <v>78</v>
      </c>
      <c r="D1633" t="s">
        <v>58</v>
      </c>
      <c r="E1633" t="s">
        <v>120</v>
      </c>
      <c r="F1633" t="s">
        <v>28</v>
      </c>
      <c r="G1633" t="s">
        <v>29</v>
      </c>
      <c r="H1633" t="s">
        <v>86</v>
      </c>
      <c r="I1633">
        <v>10</v>
      </c>
      <c r="J1633" t="s">
        <v>3344</v>
      </c>
      <c r="K1633">
        <v>43</v>
      </c>
      <c r="L1633" t="s">
        <v>80</v>
      </c>
      <c r="M1633">
        <v>1</v>
      </c>
      <c r="N1633" t="s">
        <v>48</v>
      </c>
      <c r="O1633" t="s">
        <v>69</v>
      </c>
      <c r="P1633" t="s">
        <v>50</v>
      </c>
      <c r="Q1633" s="2">
        <v>7019.98</v>
      </c>
      <c r="R1633" s="2">
        <v>3412.86</v>
      </c>
      <c r="S1633" t="s">
        <v>51</v>
      </c>
      <c r="T1633" t="s">
        <v>52</v>
      </c>
      <c r="U1633" t="s">
        <v>38</v>
      </c>
      <c r="V1633">
        <v>4</v>
      </c>
      <c r="W1633" t="s">
        <v>54</v>
      </c>
      <c r="X1633" t="s">
        <v>65</v>
      </c>
      <c r="Y1633" t="s">
        <v>41</v>
      </c>
    </row>
    <row r="1634" spans="1:25" x14ac:dyDescent="0.3">
      <c r="A1634" t="s">
        <v>3345</v>
      </c>
      <c r="B1634" s="1">
        <v>46558</v>
      </c>
      <c r="C1634" t="s">
        <v>78</v>
      </c>
      <c r="D1634" t="s">
        <v>58</v>
      </c>
      <c r="E1634" t="s">
        <v>45</v>
      </c>
      <c r="F1634" t="s">
        <v>28</v>
      </c>
      <c r="G1634" t="s">
        <v>29</v>
      </c>
      <c r="H1634" t="s">
        <v>67</v>
      </c>
      <c r="I1634">
        <v>7</v>
      </c>
      <c r="J1634" t="s">
        <v>3346</v>
      </c>
      <c r="K1634">
        <v>23</v>
      </c>
      <c r="L1634" t="s">
        <v>80</v>
      </c>
      <c r="M1634">
        <v>1</v>
      </c>
      <c r="N1634" t="s">
        <v>91</v>
      </c>
      <c r="O1634" t="s">
        <v>81</v>
      </c>
      <c r="P1634" t="s">
        <v>50</v>
      </c>
      <c r="Q1634" s="2">
        <v>42019.53</v>
      </c>
      <c r="R1634" s="2">
        <v>463.72</v>
      </c>
      <c r="S1634" t="s">
        <v>94</v>
      </c>
      <c r="T1634" t="s">
        <v>71</v>
      </c>
      <c r="U1634" t="s">
        <v>38</v>
      </c>
      <c r="V1634">
        <v>1.5</v>
      </c>
      <c r="W1634" t="s">
        <v>124</v>
      </c>
      <c r="X1634" t="s">
        <v>84</v>
      </c>
      <c r="Y1634" t="s">
        <v>72</v>
      </c>
    </row>
    <row r="1635" spans="1:25" x14ac:dyDescent="0.3">
      <c r="A1635" t="s">
        <v>3347</v>
      </c>
      <c r="B1635" s="1">
        <v>46559</v>
      </c>
      <c r="C1635" t="s">
        <v>78</v>
      </c>
      <c r="D1635" t="s">
        <v>58</v>
      </c>
      <c r="E1635" t="s">
        <v>4085</v>
      </c>
      <c r="F1635" t="s">
        <v>60</v>
      </c>
      <c r="G1635" t="s">
        <v>29</v>
      </c>
      <c r="H1635" t="s">
        <v>46</v>
      </c>
      <c r="I1635">
        <v>3</v>
      </c>
      <c r="J1635" t="s">
        <v>3348</v>
      </c>
      <c r="K1635">
        <v>33</v>
      </c>
      <c r="L1635" t="s">
        <v>63</v>
      </c>
      <c r="M1635">
        <v>6</v>
      </c>
      <c r="N1635" t="s">
        <v>91</v>
      </c>
      <c r="O1635" t="s">
        <v>69</v>
      </c>
      <c r="P1635" t="s">
        <v>70</v>
      </c>
      <c r="Q1635" s="2">
        <v>42653.19</v>
      </c>
      <c r="R1635" s="2">
        <v>4546.3</v>
      </c>
      <c r="S1635" t="s">
        <v>36</v>
      </c>
      <c r="T1635" t="s">
        <v>52</v>
      </c>
      <c r="U1635" t="s">
        <v>75</v>
      </c>
      <c r="V1635">
        <v>2.8</v>
      </c>
      <c r="W1635" t="s">
        <v>76</v>
      </c>
      <c r="X1635" t="s">
        <v>106</v>
      </c>
      <c r="Y1635" t="s">
        <v>41</v>
      </c>
    </row>
    <row r="1636" spans="1:25" x14ac:dyDescent="0.3">
      <c r="A1636" t="s">
        <v>3349</v>
      </c>
      <c r="B1636" s="1">
        <v>46560</v>
      </c>
      <c r="C1636" t="s">
        <v>78</v>
      </c>
      <c r="D1636" t="s">
        <v>58</v>
      </c>
      <c r="E1636" t="s">
        <v>45</v>
      </c>
      <c r="F1636" t="s">
        <v>28</v>
      </c>
      <c r="G1636" t="s">
        <v>29</v>
      </c>
      <c r="H1636" t="s">
        <v>67</v>
      </c>
      <c r="I1636">
        <v>9</v>
      </c>
      <c r="J1636" t="s">
        <v>3350</v>
      </c>
      <c r="K1636">
        <v>53</v>
      </c>
      <c r="L1636" t="s">
        <v>32</v>
      </c>
      <c r="M1636">
        <v>1</v>
      </c>
      <c r="N1636" t="s">
        <v>33</v>
      </c>
      <c r="O1636" t="s">
        <v>69</v>
      </c>
      <c r="P1636" t="s">
        <v>82</v>
      </c>
      <c r="Q1636" s="2">
        <v>37701.5</v>
      </c>
      <c r="R1636" s="2">
        <v>2434.87</v>
      </c>
      <c r="S1636" t="s">
        <v>115</v>
      </c>
      <c r="T1636" t="s">
        <v>37</v>
      </c>
      <c r="U1636" t="s">
        <v>83</v>
      </c>
      <c r="V1636">
        <v>1.7</v>
      </c>
      <c r="W1636" t="s">
        <v>124</v>
      </c>
      <c r="X1636" t="s">
        <v>84</v>
      </c>
      <c r="Y1636" t="s">
        <v>72</v>
      </c>
    </row>
    <row r="1637" spans="1:25" x14ac:dyDescent="0.3">
      <c r="A1637" t="s">
        <v>3351</v>
      </c>
      <c r="B1637" s="1">
        <v>46561</v>
      </c>
      <c r="C1637" t="s">
        <v>78</v>
      </c>
      <c r="D1637" t="s">
        <v>58</v>
      </c>
      <c r="E1637" t="s">
        <v>45</v>
      </c>
      <c r="F1637" t="s">
        <v>28</v>
      </c>
      <c r="G1637" t="s">
        <v>29</v>
      </c>
      <c r="H1637" t="s">
        <v>67</v>
      </c>
      <c r="I1637">
        <v>3</v>
      </c>
      <c r="J1637" t="s">
        <v>3352</v>
      </c>
      <c r="K1637">
        <v>29</v>
      </c>
      <c r="L1637" t="s">
        <v>63</v>
      </c>
      <c r="M1637">
        <v>4</v>
      </c>
      <c r="N1637" t="s">
        <v>48</v>
      </c>
      <c r="O1637" t="s">
        <v>81</v>
      </c>
      <c r="P1637" t="s">
        <v>70</v>
      </c>
      <c r="Q1637" s="2">
        <v>20873.53</v>
      </c>
      <c r="R1637" s="2">
        <v>1964.72</v>
      </c>
      <c r="S1637" t="s">
        <v>115</v>
      </c>
      <c r="T1637" t="s">
        <v>52</v>
      </c>
      <c r="U1637" t="s">
        <v>38</v>
      </c>
      <c r="V1637">
        <v>1.8</v>
      </c>
      <c r="W1637" t="s">
        <v>124</v>
      </c>
      <c r="X1637" t="s">
        <v>106</v>
      </c>
      <c r="Y1637" t="s">
        <v>41</v>
      </c>
    </row>
    <row r="1638" spans="1:25" x14ac:dyDescent="0.3">
      <c r="A1638" t="s">
        <v>3353</v>
      </c>
      <c r="B1638" s="1">
        <v>46562</v>
      </c>
      <c r="C1638" t="s">
        <v>78</v>
      </c>
      <c r="D1638" t="s">
        <v>58</v>
      </c>
      <c r="E1638" t="s">
        <v>120</v>
      </c>
      <c r="F1638" t="s">
        <v>28</v>
      </c>
      <c r="G1638" t="s">
        <v>29</v>
      </c>
      <c r="H1638" t="s">
        <v>86</v>
      </c>
      <c r="I1638">
        <v>11</v>
      </c>
      <c r="J1638" t="s">
        <v>3354</v>
      </c>
      <c r="K1638">
        <v>28</v>
      </c>
      <c r="L1638" t="s">
        <v>32</v>
      </c>
      <c r="M1638">
        <v>5</v>
      </c>
      <c r="N1638" t="s">
        <v>33</v>
      </c>
      <c r="O1638" t="s">
        <v>34</v>
      </c>
      <c r="P1638" t="s">
        <v>50</v>
      </c>
      <c r="Q1638" s="2">
        <v>41956.45</v>
      </c>
      <c r="R1638" s="2">
        <v>4777.3100000000004</v>
      </c>
      <c r="S1638" t="s">
        <v>94</v>
      </c>
      <c r="T1638" t="s">
        <v>71</v>
      </c>
      <c r="U1638" t="s">
        <v>53</v>
      </c>
      <c r="V1638">
        <v>1.4</v>
      </c>
      <c r="W1638" t="s">
        <v>124</v>
      </c>
      <c r="X1638" t="s">
        <v>106</v>
      </c>
      <c r="Y1638" t="s">
        <v>41</v>
      </c>
    </row>
    <row r="1639" spans="1:25" x14ac:dyDescent="0.3">
      <c r="A1639" t="s">
        <v>3355</v>
      </c>
      <c r="B1639" s="1">
        <v>46563</v>
      </c>
      <c r="C1639" t="s">
        <v>78</v>
      </c>
      <c r="D1639" t="s">
        <v>58</v>
      </c>
      <c r="E1639" t="s">
        <v>89</v>
      </c>
      <c r="F1639" t="s">
        <v>28</v>
      </c>
      <c r="G1639" t="s">
        <v>29</v>
      </c>
      <c r="H1639" t="s">
        <v>61</v>
      </c>
      <c r="I1639">
        <v>5</v>
      </c>
      <c r="J1639" t="s">
        <v>3356</v>
      </c>
      <c r="K1639">
        <v>20</v>
      </c>
      <c r="L1639" t="s">
        <v>80</v>
      </c>
      <c r="M1639">
        <v>1</v>
      </c>
      <c r="N1639" t="s">
        <v>64</v>
      </c>
      <c r="O1639" t="s">
        <v>34</v>
      </c>
      <c r="P1639" t="s">
        <v>35</v>
      </c>
      <c r="Q1639" s="2">
        <v>29289.85</v>
      </c>
      <c r="R1639" s="2">
        <v>2191.0500000000002</v>
      </c>
      <c r="S1639" t="s">
        <v>51</v>
      </c>
      <c r="T1639" t="s">
        <v>52</v>
      </c>
      <c r="U1639" t="s">
        <v>83</v>
      </c>
      <c r="V1639">
        <v>2.7</v>
      </c>
      <c r="W1639" t="s">
        <v>76</v>
      </c>
      <c r="X1639" t="s">
        <v>106</v>
      </c>
      <c r="Y1639" t="s">
        <v>72</v>
      </c>
    </row>
    <row r="1640" spans="1:25" x14ac:dyDescent="0.3">
      <c r="A1640" t="s">
        <v>3357</v>
      </c>
      <c r="B1640" s="1">
        <v>46564</v>
      </c>
      <c r="C1640" t="s">
        <v>26</v>
      </c>
      <c r="D1640" t="s">
        <v>26</v>
      </c>
      <c r="E1640" t="s">
        <v>45</v>
      </c>
      <c r="F1640" t="s">
        <v>28</v>
      </c>
      <c r="G1640" t="s">
        <v>29</v>
      </c>
      <c r="H1640" t="s">
        <v>67</v>
      </c>
      <c r="I1640">
        <v>14</v>
      </c>
      <c r="J1640" t="s">
        <v>3358</v>
      </c>
      <c r="K1640">
        <v>61</v>
      </c>
      <c r="L1640" t="s">
        <v>63</v>
      </c>
      <c r="M1640">
        <v>3</v>
      </c>
      <c r="N1640" t="s">
        <v>33</v>
      </c>
      <c r="O1640" t="s">
        <v>49</v>
      </c>
      <c r="P1640" t="s">
        <v>50</v>
      </c>
      <c r="Q1640" s="2">
        <v>18693.96</v>
      </c>
      <c r="R1640" s="2">
        <v>3606.1</v>
      </c>
      <c r="S1640" t="s">
        <v>36</v>
      </c>
      <c r="T1640" t="s">
        <v>71</v>
      </c>
      <c r="U1640" t="s">
        <v>83</v>
      </c>
      <c r="V1640">
        <v>1.3</v>
      </c>
      <c r="W1640" t="s">
        <v>124</v>
      </c>
      <c r="X1640" t="s">
        <v>40</v>
      </c>
      <c r="Y1640" t="s">
        <v>41</v>
      </c>
    </row>
    <row r="1641" spans="1:25" x14ac:dyDescent="0.3">
      <c r="A1641" t="s">
        <v>3359</v>
      </c>
      <c r="B1641" s="1">
        <v>46565</v>
      </c>
      <c r="C1641" t="s">
        <v>117</v>
      </c>
      <c r="D1641" t="s">
        <v>4083</v>
      </c>
      <c r="E1641" t="s">
        <v>45</v>
      </c>
      <c r="F1641" t="s">
        <v>28</v>
      </c>
      <c r="G1641" t="s">
        <v>29</v>
      </c>
      <c r="H1641" t="s">
        <v>67</v>
      </c>
      <c r="I1641">
        <v>5</v>
      </c>
      <c r="J1641" t="s">
        <v>3360</v>
      </c>
      <c r="K1641">
        <v>54</v>
      </c>
      <c r="L1641" t="s">
        <v>80</v>
      </c>
      <c r="M1641">
        <v>4</v>
      </c>
      <c r="N1641" t="s">
        <v>91</v>
      </c>
      <c r="O1641" t="s">
        <v>81</v>
      </c>
      <c r="P1641" t="s">
        <v>82</v>
      </c>
      <c r="Q1641" s="2">
        <v>24677.45</v>
      </c>
      <c r="R1641" s="2">
        <v>3275.68</v>
      </c>
      <c r="S1641" t="s">
        <v>51</v>
      </c>
      <c r="T1641" t="s">
        <v>71</v>
      </c>
      <c r="U1641" t="s">
        <v>83</v>
      </c>
      <c r="V1641">
        <v>4.5999999999999996</v>
      </c>
      <c r="W1641" t="s">
        <v>103</v>
      </c>
      <c r="X1641" t="s">
        <v>40</v>
      </c>
      <c r="Y1641" t="s">
        <v>41</v>
      </c>
    </row>
    <row r="1642" spans="1:25" x14ac:dyDescent="0.3">
      <c r="A1642" t="s">
        <v>3361</v>
      </c>
      <c r="B1642" s="1">
        <v>46566</v>
      </c>
      <c r="C1642" t="s">
        <v>57</v>
      </c>
      <c r="D1642" t="s">
        <v>44</v>
      </c>
      <c r="E1642" t="s">
        <v>89</v>
      </c>
      <c r="F1642" t="s">
        <v>28</v>
      </c>
      <c r="G1642" t="s">
        <v>29</v>
      </c>
      <c r="H1642" t="s">
        <v>61</v>
      </c>
      <c r="I1642">
        <v>8</v>
      </c>
      <c r="J1642" t="s">
        <v>3362</v>
      </c>
      <c r="K1642">
        <v>23</v>
      </c>
      <c r="L1642" t="s">
        <v>32</v>
      </c>
      <c r="M1642">
        <v>5</v>
      </c>
      <c r="N1642" t="s">
        <v>48</v>
      </c>
      <c r="O1642" t="s">
        <v>49</v>
      </c>
      <c r="P1642" t="s">
        <v>70</v>
      </c>
      <c r="Q1642" s="2">
        <v>7959.55</v>
      </c>
      <c r="R1642" s="2">
        <v>825.7</v>
      </c>
      <c r="S1642" t="s">
        <v>51</v>
      </c>
      <c r="T1642" t="s">
        <v>52</v>
      </c>
      <c r="U1642" t="s">
        <v>75</v>
      </c>
      <c r="V1642">
        <v>2.8</v>
      </c>
      <c r="W1642" t="s">
        <v>76</v>
      </c>
      <c r="X1642" t="s">
        <v>84</v>
      </c>
      <c r="Y1642" t="s">
        <v>72</v>
      </c>
    </row>
    <row r="1643" spans="1:25" x14ac:dyDescent="0.3">
      <c r="A1643" t="s">
        <v>3363</v>
      </c>
      <c r="B1643" s="1">
        <v>46567</v>
      </c>
      <c r="C1643" t="s">
        <v>43</v>
      </c>
      <c r="D1643" t="s">
        <v>58</v>
      </c>
      <c r="E1643" t="s">
        <v>120</v>
      </c>
      <c r="F1643" t="s">
        <v>28</v>
      </c>
      <c r="G1643" t="s">
        <v>29</v>
      </c>
      <c r="H1643" t="s">
        <v>86</v>
      </c>
      <c r="I1643">
        <v>12</v>
      </c>
      <c r="J1643" t="s">
        <v>3364</v>
      </c>
      <c r="K1643">
        <v>36</v>
      </c>
      <c r="L1643" t="s">
        <v>32</v>
      </c>
      <c r="M1643">
        <v>6</v>
      </c>
      <c r="N1643" t="s">
        <v>48</v>
      </c>
      <c r="O1643" t="s">
        <v>81</v>
      </c>
      <c r="P1643" t="s">
        <v>35</v>
      </c>
      <c r="Q1643" s="2">
        <v>47520.89</v>
      </c>
      <c r="R1643" s="2">
        <v>4955.71</v>
      </c>
      <c r="S1643" t="s">
        <v>51</v>
      </c>
      <c r="T1643" t="s">
        <v>37</v>
      </c>
      <c r="U1643" t="s">
        <v>53</v>
      </c>
      <c r="V1643">
        <v>4.4000000000000004</v>
      </c>
      <c r="W1643" t="s">
        <v>54</v>
      </c>
      <c r="X1643" t="s">
        <v>65</v>
      </c>
      <c r="Y1643" t="s">
        <v>41</v>
      </c>
    </row>
    <row r="1644" spans="1:25" x14ac:dyDescent="0.3">
      <c r="A1644" t="s">
        <v>3365</v>
      </c>
      <c r="B1644" s="1">
        <v>46568</v>
      </c>
      <c r="C1644" t="s">
        <v>57</v>
      </c>
      <c r="D1644" t="s">
        <v>44</v>
      </c>
      <c r="E1644" t="s">
        <v>89</v>
      </c>
      <c r="F1644" t="s">
        <v>28</v>
      </c>
      <c r="G1644" t="s">
        <v>29</v>
      </c>
      <c r="H1644" t="s">
        <v>61</v>
      </c>
      <c r="I1644">
        <v>8</v>
      </c>
      <c r="J1644" t="s">
        <v>3366</v>
      </c>
      <c r="K1644">
        <v>35</v>
      </c>
      <c r="L1644" t="s">
        <v>63</v>
      </c>
      <c r="M1644">
        <v>1</v>
      </c>
      <c r="N1644" t="s">
        <v>33</v>
      </c>
      <c r="O1644" t="s">
        <v>49</v>
      </c>
      <c r="P1644" t="s">
        <v>35</v>
      </c>
      <c r="Q1644" s="2">
        <v>32860.239999999998</v>
      </c>
      <c r="R1644" s="2">
        <v>2318.02</v>
      </c>
      <c r="S1644" t="s">
        <v>115</v>
      </c>
      <c r="T1644" t="s">
        <v>37</v>
      </c>
      <c r="U1644" t="s">
        <v>75</v>
      </c>
      <c r="V1644">
        <v>4.9000000000000004</v>
      </c>
      <c r="W1644" t="s">
        <v>103</v>
      </c>
      <c r="X1644" t="s">
        <v>84</v>
      </c>
      <c r="Y1644" t="s">
        <v>41</v>
      </c>
    </row>
    <row r="1645" spans="1:25" x14ac:dyDescent="0.3">
      <c r="A1645" t="s">
        <v>3367</v>
      </c>
      <c r="B1645" s="1">
        <v>46569</v>
      </c>
      <c r="C1645" t="s">
        <v>57</v>
      </c>
      <c r="D1645" t="s">
        <v>44</v>
      </c>
      <c r="E1645" t="s">
        <v>120</v>
      </c>
      <c r="F1645" t="s">
        <v>28</v>
      </c>
      <c r="G1645" t="s">
        <v>29</v>
      </c>
      <c r="H1645" t="s">
        <v>86</v>
      </c>
      <c r="I1645">
        <v>13</v>
      </c>
      <c r="J1645" t="s">
        <v>3368</v>
      </c>
      <c r="K1645">
        <v>33</v>
      </c>
      <c r="L1645" t="s">
        <v>63</v>
      </c>
      <c r="M1645">
        <v>5</v>
      </c>
      <c r="N1645" t="s">
        <v>91</v>
      </c>
      <c r="O1645" t="s">
        <v>69</v>
      </c>
      <c r="P1645" t="s">
        <v>82</v>
      </c>
      <c r="Q1645" s="2">
        <v>37905.54</v>
      </c>
      <c r="R1645" s="2">
        <v>1973.91</v>
      </c>
      <c r="S1645" t="s">
        <v>94</v>
      </c>
      <c r="T1645" t="s">
        <v>52</v>
      </c>
      <c r="U1645" t="s">
        <v>38</v>
      </c>
      <c r="V1645">
        <v>3.7</v>
      </c>
      <c r="W1645" t="s">
        <v>54</v>
      </c>
      <c r="X1645" t="s">
        <v>40</v>
      </c>
      <c r="Y1645" t="s">
        <v>41</v>
      </c>
    </row>
    <row r="1646" spans="1:25" x14ac:dyDescent="0.3">
      <c r="A1646" t="s">
        <v>3369</v>
      </c>
      <c r="B1646" s="1">
        <v>46570</v>
      </c>
      <c r="C1646" t="s">
        <v>117</v>
      </c>
      <c r="D1646" t="s">
        <v>4083</v>
      </c>
      <c r="E1646" t="s">
        <v>4085</v>
      </c>
      <c r="F1646" t="s">
        <v>60</v>
      </c>
      <c r="G1646" t="s">
        <v>29</v>
      </c>
      <c r="H1646" t="s">
        <v>59</v>
      </c>
      <c r="I1646">
        <v>13</v>
      </c>
      <c r="J1646" t="s">
        <v>3370</v>
      </c>
      <c r="K1646">
        <v>40</v>
      </c>
      <c r="L1646" t="s">
        <v>63</v>
      </c>
      <c r="M1646">
        <v>3</v>
      </c>
      <c r="N1646" t="s">
        <v>64</v>
      </c>
      <c r="O1646" t="s">
        <v>81</v>
      </c>
      <c r="P1646" t="s">
        <v>70</v>
      </c>
      <c r="Q1646" s="2">
        <v>35446.25</v>
      </c>
      <c r="R1646" s="2">
        <v>4598.07</v>
      </c>
      <c r="S1646" t="s">
        <v>94</v>
      </c>
      <c r="T1646" t="s">
        <v>71</v>
      </c>
      <c r="U1646" t="s">
        <v>53</v>
      </c>
      <c r="V1646">
        <v>4.5999999999999996</v>
      </c>
      <c r="W1646" t="s">
        <v>103</v>
      </c>
      <c r="X1646" t="s">
        <v>55</v>
      </c>
      <c r="Y1646" t="s">
        <v>72</v>
      </c>
    </row>
    <row r="1647" spans="1:25" x14ac:dyDescent="0.3">
      <c r="A1647" t="s">
        <v>3371</v>
      </c>
      <c r="B1647" s="1">
        <v>46571</v>
      </c>
      <c r="C1647" t="s">
        <v>117</v>
      </c>
      <c r="D1647" t="s">
        <v>4083</v>
      </c>
      <c r="E1647" t="s">
        <v>120</v>
      </c>
      <c r="F1647" t="s">
        <v>28</v>
      </c>
      <c r="G1647" t="s">
        <v>29</v>
      </c>
      <c r="H1647" t="s">
        <v>86</v>
      </c>
      <c r="I1647">
        <v>8</v>
      </c>
      <c r="J1647" t="s">
        <v>3372</v>
      </c>
      <c r="K1647">
        <v>60</v>
      </c>
      <c r="L1647" t="s">
        <v>80</v>
      </c>
      <c r="M1647">
        <v>4</v>
      </c>
      <c r="N1647" t="s">
        <v>33</v>
      </c>
      <c r="O1647" t="s">
        <v>34</v>
      </c>
      <c r="P1647" t="s">
        <v>35</v>
      </c>
      <c r="Q1647" s="2">
        <v>35048.75</v>
      </c>
      <c r="R1647" s="2">
        <v>2646.19</v>
      </c>
      <c r="S1647" t="s">
        <v>94</v>
      </c>
      <c r="T1647" t="s">
        <v>52</v>
      </c>
      <c r="U1647" t="s">
        <v>75</v>
      </c>
      <c r="V1647">
        <v>1.5</v>
      </c>
      <c r="W1647" t="s">
        <v>124</v>
      </c>
      <c r="X1647" t="s">
        <v>55</v>
      </c>
      <c r="Y1647" t="s">
        <v>72</v>
      </c>
    </row>
    <row r="1648" spans="1:25" x14ac:dyDescent="0.3">
      <c r="A1648" t="s">
        <v>3373</v>
      </c>
      <c r="B1648" s="1">
        <v>46572</v>
      </c>
      <c r="C1648" t="s">
        <v>117</v>
      </c>
      <c r="D1648" t="s">
        <v>4083</v>
      </c>
      <c r="E1648" t="s">
        <v>4085</v>
      </c>
      <c r="F1648" t="s">
        <v>60</v>
      </c>
      <c r="G1648" t="s">
        <v>29</v>
      </c>
      <c r="H1648" t="s">
        <v>59</v>
      </c>
      <c r="I1648">
        <v>3</v>
      </c>
      <c r="J1648" t="s">
        <v>3374</v>
      </c>
      <c r="K1648">
        <v>54</v>
      </c>
      <c r="L1648" t="s">
        <v>32</v>
      </c>
      <c r="M1648">
        <v>4</v>
      </c>
      <c r="N1648" t="s">
        <v>48</v>
      </c>
      <c r="O1648" t="s">
        <v>81</v>
      </c>
      <c r="P1648" t="s">
        <v>50</v>
      </c>
      <c r="Q1648" s="2">
        <v>5776.74</v>
      </c>
      <c r="R1648" s="2">
        <v>3525.38</v>
      </c>
      <c r="S1648" t="s">
        <v>51</v>
      </c>
      <c r="T1648" t="s">
        <v>71</v>
      </c>
      <c r="U1648" t="s">
        <v>83</v>
      </c>
      <c r="V1648">
        <v>4.3</v>
      </c>
      <c r="W1648" t="s">
        <v>39</v>
      </c>
      <c r="X1648" t="s">
        <v>84</v>
      </c>
      <c r="Y1648" t="s">
        <v>72</v>
      </c>
    </row>
    <row r="1649" spans="1:25" x14ac:dyDescent="0.3">
      <c r="A1649" t="s">
        <v>3375</v>
      </c>
      <c r="B1649" s="1">
        <v>46573</v>
      </c>
      <c r="C1649" t="s">
        <v>78</v>
      </c>
      <c r="D1649" t="s">
        <v>58</v>
      </c>
      <c r="E1649" t="s">
        <v>4085</v>
      </c>
      <c r="F1649" t="s">
        <v>60</v>
      </c>
      <c r="G1649" t="s">
        <v>29</v>
      </c>
      <c r="H1649" t="s">
        <v>46</v>
      </c>
      <c r="I1649">
        <v>7</v>
      </c>
      <c r="J1649" t="s">
        <v>3376</v>
      </c>
      <c r="K1649">
        <v>26</v>
      </c>
      <c r="L1649" t="s">
        <v>32</v>
      </c>
      <c r="M1649">
        <v>6</v>
      </c>
      <c r="N1649" t="s">
        <v>91</v>
      </c>
      <c r="O1649" t="s">
        <v>49</v>
      </c>
      <c r="P1649" t="s">
        <v>82</v>
      </c>
      <c r="Q1649" s="2">
        <v>28641.71</v>
      </c>
      <c r="R1649" s="2">
        <v>4231.2299999999996</v>
      </c>
      <c r="S1649" t="s">
        <v>36</v>
      </c>
      <c r="T1649" t="s">
        <v>71</v>
      </c>
      <c r="U1649" t="s">
        <v>53</v>
      </c>
      <c r="V1649">
        <v>2.1</v>
      </c>
      <c r="W1649" t="s">
        <v>76</v>
      </c>
      <c r="X1649" t="s">
        <v>40</v>
      </c>
      <c r="Y1649" t="s">
        <v>72</v>
      </c>
    </row>
    <row r="1650" spans="1:25" x14ac:dyDescent="0.3">
      <c r="A1650" t="s">
        <v>3377</v>
      </c>
      <c r="B1650" s="1">
        <v>46574</v>
      </c>
      <c r="C1650" t="s">
        <v>26</v>
      </c>
      <c r="D1650" t="s">
        <v>26</v>
      </c>
      <c r="E1650" t="s">
        <v>120</v>
      </c>
      <c r="F1650" t="s">
        <v>28</v>
      </c>
      <c r="G1650" t="s">
        <v>29</v>
      </c>
      <c r="H1650" t="s">
        <v>86</v>
      </c>
      <c r="I1650">
        <v>14</v>
      </c>
      <c r="J1650" t="s">
        <v>3378</v>
      </c>
      <c r="K1650">
        <v>20</v>
      </c>
      <c r="L1650" t="s">
        <v>80</v>
      </c>
      <c r="M1650">
        <v>6</v>
      </c>
      <c r="N1650" t="s">
        <v>48</v>
      </c>
      <c r="O1650" t="s">
        <v>49</v>
      </c>
      <c r="P1650" t="s">
        <v>35</v>
      </c>
      <c r="Q1650" s="2">
        <v>41976.959999999999</v>
      </c>
      <c r="R1650" s="2">
        <v>1177.47</v>
      </c>
      <c r="S1650" t="s">
        <v>51</v>
      </c>
      <c r="T1650" t="s">
        <v>71</v>
      </c>
      <c r="U1650" t="s">
        <v>83</v>
      </c>
      <c r="V1650">
        <v>2.9</v>
      </c>
      <c r="W1650" t="s">
        <v>76</v>
      </c>
      <c r="X1650" t="s">
        <v>106</v>
      </c>
      <c r="Y1650" t="s">
        <v>72</v>
      </c>
    </row>
    <row r="1651" spans="1:25" x14ac:dyDescent="0.3">
      <c r="A1651" t="s">
        <v>3379</v>
      </c>
      <c r="B1651" s="1">
        <v>46575</v>
      </c>
      <c r="C1651" t="s">
        <v>78</v>
      </c>
      <c r="D1651" t="s">
        <v>58</v>
      </c>
      <c r="E1651" t="s">
        <v>4084</v>
      </c>
      <c r="F1651" t="s">
        <v>60</v>
      </c>
      <c r="G1651" t="s">
        <v>29</v>
      </c>
      <c r="H1651" t="s">
        <v>27</v>
      </c>
      <c r="I1651">
        <v>8</v>
      </c>
      <c r="J1651" t="s">
        <v>3380</v>
      </c>
      <c r="K1651">
        <v>25</v>
      </c>
      <c r="L1651" t="s">
        <v>63</v>
      </c>
      <c r="M1651">
        <v>6</v>
      </c>
      <c r="N1651" t="s">
        <v>48</v>
      </c>
      <c r="O1651" t="s">
        <v>49</v>
      </c>
      <c r="P1651" t="s">
        <v>82</v>
      </c>
      <c r="Q1651" s="2">
        <v>7003.35</v>
      </c>
      <c r="R1651" s="2">
        <v>847.33</v>
      </c>
      <c r="S1651" t="s">
        <v>94</v>
      </c>
      <c r="T1651" t="s">
        <v>37</v>
      </c>
      <c r="U1651" t="s">
        <v>38</v>
      </c>
      <c r="V1651">
        <v>3.6</v>
      </c>
      <c r="W1651" t="s">
        <v>54</v>
      </c>
      <c r="X1651" t="s">
        <v>40</v>
      </c>
      <c r="Y1651" t="s">
        <v>72</v>
      </c>
    </row>
    <row r="1652" spans="1:25" x14ac:dyDescent="0.3">
      <c r="A1652" t="s">
        <v>3381</v>
      </c>
      <c r="B1652" s="1">
        <v>46576</v>
      </c>
      <c r="C1652" t="s">
        <v>26</v>
      </c>
      <c r="D1652" t="s">
        <v>26</v>
      </c>
      <c r="E1652" t="s">
        <v>120</v>
      </c>
      <c r="F1652" t="s">
        <v>28</v>
      </c>
      <c r="G1652" t="s">
        <v>29</v>
      </c>
      <c r="H1652" t="s">
        <v>86</v>
      </c>
      <c r="I1652">
        <v>10</v>
      </c>
      <c r="J1652" t="s">
        <v>3382</v>
      </c>
      <c r="K1652">
        <v>55</v>
      </c>
      <c r="L1652" t="s">
        <v>63</v>
      </c>
      <c r="M1652">
        <v>5</v>
      </c>
      <c r="N1652" t="s">
        <v>48</v>
      </c>
      <c r="O1652" t="s">
        <v>49</v>
      </c>
      <c r="P1652" t="s">
        <v>70</v>
      </c>
      <c r="Q1652" s="2">
        <v>48027.46</v>
      </c>
      <c r="R1652" s="2">
        <v>342.53</v>
      </c>
      <c r="S1652" t="s">
        <v>115</v>
      </c>
      <c r="T1652" t="s">
        <v>37</v>
      </c>
      <c r="U1652" t="s">
        <v>53</v>
      </c>
      <c r="V1652">
        <v>4.5999999999999996</v>
      </c>
      <c r="W1652" t="s">
        <v>103</v>
      </c>
      <c r="X1652" t="s">
        <v>84</v>
      </c>
      <c r="Y1652" t="s">
        <v>72</v>
      </c>
    </row>
    <row r="1653" spans="1:25" x14ac:dyDescent="0.3">
      <c r="A1653" t="s">
        <v>3383</v>
      </c>
      <c r="B1653" s="1">
        <v>46577</v>
      </c>
      <c r="C1653" t="s">
        <v>26</v>
      </c>
      <c r="D1653" t="s">
        <v>26</v>
      </c>
      <c r="E1653" t="s">
        <v>45</v>
      </c>
      <c r="F1653" t="s">
        <v>28</v>
      </c>
      <c r="G1653" t="s">
        <v>29</v>
      </c>
      <c r="H1653" t="s">
        <v>67</v>
      </c>
      <c r="I1653">
        <v>3</v>
      </c>
      <c r="J1653" t="s">
        <v>3384</v>
      </c>
      <c r="K1653">
        <v>21</v>
      </c>
      <c r="L1653" t="s">
        <v>80</v>
      </c>
      <c r="M1653">
        <v>1</v>
      </c>
      <c r="N1653" t="s">
        <v>48</v>
      </c>
      <c r="O1653" t="s">
        <v>49</v>
      </c>
      <c r="P1653" t="s">
        <v>70</v>
      </c>
      <c r="Q1653" s="2">
        <v>24087.19</v>
      </c>
      <c r="R1653" s="2">
        <v>4485.67</v>
      </c>
      <c r="S1653" t="s">
        <v>51</v>
      </c>
      <c r="T1653" t="s">
        <v>52</v>
      </c>
      <c r="U1653" t="s">
        <v>38</v>
      </c>
      <c r="V1653">
        <v>4.5999999999999996</v>
      </c>
      <c r="W1653" t="s">
        <v>103</v>
      </c>
      <c r="X1653" t="s">
        <v>40</v>
      </c>
      <c r="Y1653" t="s">
        <v>72</v>
      </c>
    </row>
    <row r="1654" spans="1:25" x14ac:dyDescent="0.3">
      <c r="A1654" t="s">
        <v>3385</v>
      </c>
      <c r="B1654" s="1">
        <v>46578</v>
      </c>
      <c r="C1654" t="s">
        <v>57</v>
      </c>
      <c r="D1654" t="s">
        <v>44</v>
      </c>
      <c r="E1654" t="s">
        <v>45</v>
      </c>
      <c r="F1654" t="s">
        <v>28</v>
      </c>
      <c r="G1654" t="s">
        <v>29</v>
      </c>
      <c r="H1654" t="s">
        <v>67</v>
      </c>
      <c r="I1654">
        <v>7</v>
      </c>
      <c r="J1654" t="s">
        <v>3386</v>
      </c>
      <c r="K1654">
        <v>29</v>
      </c>
      <c r="L1654" t="s">
        <v>32</v>
      </c>
      <c r="M1654">
        <v>2</v>
      </c>
      <c r="N1654" t="s">
        <v>64</v>
      </c>
      <c r="O1654" t="s">
        <v>49</v>
      </c>
      <c r="P1654" t="s">
        <v>70</v>
      </c>
      <c r="Q1654" s="2">
        <v>18045.3</v>
      </c>
      <c r="R1654" s="2">
        <v>1001.84</v>
      </c>
      <c r="S1654" t="s">
        <v>115</v>
      </c>
      <c r="T1654" t="s">
        <v>37</v>
      </c>
      <c r="U1654" t="s">
        <v>38</v>
      </c>
      <c r="V1654">
        <v>1.4</v>
      </c>
      <c r="W1654" t="s">
        <v>124</v>
      </c>
      <c r="X1654" t="s">
        <v>55</v>
      </c>
      <c r="Y1654" t="s">
        <v>41</v>
      </c>
    </row>
    <row r="1655" spans="1:25" x14ac:dyDescent="0.3">
      <c r="A1655" t="s">
        <v>3387</v>
      </c>
      <c r="B1655" s="1">
        <v>46579</v>
      </c>
      <c r="C1655" t="s">
        <v>57</v>
      </c>
      <c r="D1655" t="s">
        <v>44</v>
      </c>
      <c r="E1655" t="s">
        <v>4084</v>
      </c>
      <c r="F1655" t="s">
        <v>60</v>
      </c>
      <c r="G1655" t="s">
        <v>29</v>
      </c>
      <c r="H1655" t="s">
        <v>27</v>
      </c>
      <c r="I1655">
        <v>5</v>
      </c>
      <c r="J1655" t="s">
        <v>3388</v>
      </c>
      <c r="K1655">
        <v>61</v>
      </c>
      <c r="L1655" t="s">
        <v>32</v>
      </c>
      <c r="M1655">
        <v>4</v>
      </c>
      <c r="N1655" t="s">
        <v>91</v>
      </c>
      <c r="O1655" t="s">
        <v>34</v>
      </c>
      <c r="P1655" t="s">
        <v>50</v>
      </c>
      <c r="Q1655" s="2">
        <v>28931.96</v>
      </c>
      <c r="R1655" s="2">
        <v>1538.77</v>
      </c>
      <c r="S1655" t="s">
        <v>94</v>
      </c>
      <c r="T1655" t="s">
        <v>71</v>
      </c>
      <c r="U1655" t="s">
        <v>38</v>
      </c>
      <c r="V1655">
        <v>2.5</v>
      </c>
      <c r="W1655" t="s">
        <v>76</v>
      </c>
      <c r="X1655" t="s">
        <v>106</v>
      </c>
      <c r="Y1655" t="s">
        <v>72</v>
      </c>
    </row>
    <row r="1656" spans="1:25" x14ac:dyDescent="0.3">
      <c r="A1656" t="s">
        <v>3389</v>
      </c>
      <c r="B1656" s="1">
        <v>46580</v>
      </c>
      <c r="C1656" t="s">
        <v>26</v>
      </c>
      <c r="D1656" t="s">
        <v>26</v>
      </c>
      <c r="E1656" t="s">
        <v>4085</v>
      </c>
      <c r="F1656" t="s">
        <v>60</v>
      </c>
      <c r="G1656" t="s">
        <v>29</v>
      </c>
      <c r="H1656" t="s">
        <v>59</v>
      </c>
      <c r="I1656">
        <v>4</v>
      </c>
      <c r="J1656" t="s">
        <v>3390</v>
      </c>
      <c r="K1656">
        <v>48</v>
      </c>
      <c r="L1656" t="s">
        <v>32</v>
      </c>
      <c r="M1656">
        <v>2</v>
      </c>
      <c r="N1656" t="s">
        <v>33</v>
      </c>
      <c r="O1656" t="s">
        <v>49</v>
      </c>
      <c r="P1656" t="s">
        <v>35</v>
      </c>
      <c r="Q1656" s="2">
        <v>41054.639999999999</v>
      </c>
      <c r="R1656" s="2">
        <v>1429.03</v>
      </c>
      <c r="S1656" t="s">
        <v>51</v>
      </c>
      <c r="T1656" t="s">
        <v>71</v>
      </c>
      <c r="U1656" t="s">
        <v>53</v>
      </c>
      <c r="V1656">
        <v>4.2</v>
      </c>
      <c r="W1656" t="s">
        <v>39</v>
      </c>
      <c r="X1656" t="s">
        <v>84</v>
      </c>
      <c r="Y1656" t="s">
        <v>41</v>
      </c>
    </row>
    <row r="1657" spans="1:25" x14ac:dyDescent="0.3">
      <c r="A1657" t="s">
        <v>3391</v>
      </c>
      <c r="B1657" s="1">
        <v>46581</v>
      </c>
      <c r="C1657" t="s">
        <v>26</v>
      </c>
      <c r="D1657" t="s">
        <v>26</v>
      </c>
      <c r="E1657" t="s">
        <v>4084</v>
      </c>
      <c r="F1657" t="s">
        <v>60</v>
      </c>
      <c r="G1657" t="s">
        <v>29</v>
      </c>
      <c r="H1657" t="s">
        <v>30</v>
      </c>
      <c r="I1657">
        <v>13</v>
      </c>
      <c r="J1657" t="s">
        <v>3392</v>
      </c>
      <c r="K1657">
        <v>42</v>
      </c>
      <c r="L1657" t="s">
        <v>32</v>
      </c>
      <c r="M1657">
        <v>7</v>
      </c>
      <c r="N1657" t="s">
        <v>91</v>
      </c>
      <c r="O1657" t="s">
        <v>34</v>
      </c>
      <c r="P1657" t="s">
        <v>70</v>
      </c>
      <c r="Q1657" s="2">
        <v>26363.98</v>
      </c>
      <c r="R1657" s="2">
        <v>1522.94</v>
      </c>
      <c r="S1657" t="s">
        <v>115</v>
      </c>
      <c r="T1657" t="s">
        <v>52</v>
      </c>
      <c r="U1657" t="s">
        <v>38</v>
      </c>
      <c r="V1657">
        <v>3.8</v>
      </c>
      <c r="W1657" t="s">
        <v>54</v>
      </c>
      <c r="X1657" t="s">
        <v>84</v>
      </c>
      <c r="Y1657" t="s">
        <v>41</v>
      </c>
    </row>
    <row r="1658" spans="1:25" x14ac:dyDescent="0.3">
      <c r="A1658" t="s">
        <v>3393</v>
      </c>
      <c r="B1658" s="1">
        <v>46582</v>
      </c>
      <c r="C1658" t="s">
        <v>78</v>
      </c>
      <c r="D1658" t="s">
        <v>58</v>
      </c>
      <c r="E1658" t="s">
        <v>45</v>
      </c>
      <c r="F1658" t="s">
        <v>28</v>
      </c>
      <c r="G1658" t="s">
        <v>29</v>
      </c>
      <c r="H1658" t="s">
        <v>67</v>
      </c>
      <c r="I1658">
        <v>10</v>
      </c>
      <c r="J1658" t="s">
        <v>3394</v>
      </c>
      <c r="K1658">
        <v>33</v>
      </c>
      <c r="L1658" t="s">
        <v>80</v>
      </c>
      <c r="M1658">
        <v>4</v>
      </c>
      <c r="N1658" t="s">
        <v>91</v>
      </c>
      <c r="O1658" t="s">
        <v>81</v>
      </c>
      <c r="P1658" t="s">
        <v>50</v>
      </c>
      <c r="Q1658" s="2">
        <v>34029.760000000002</v>
      </c>
      <c r="R1658" s="2">
        <v>3340.31</v>
      </c>
      <c r="S1658" t="s">
        <v>51</v>
      </c>
      <c r="T1658" t="s">
        <v>71</v>
      </c>
      <c r="U1658" t="s">
        <v>75</v>
      </c>
      <c r="V1658">
        <v>1.1000000000000001</v>
      </c>
      <c r="W1658" t="s">
        <v>124</v>
      </c>
      <c r="X1658" t="s">
        <v>65</v>
      </c>
      <c r="Y1658" t="s">
        <v>41</v>
      </c>
    </row>
    <row r="1659" spans="1:25" x14ac:dyDescent="0.3">
      <c r="A1659" t="s">
        <v>3395</v>
      </c>
      <c r="B1659" s="1">
        <v>46583</v>
      </c>
      <c r="C1659" t="s">
        <v>78</v>
      </c>
      <c r="D1659" t="s">
        <v>58</v>
      </c>
      <c r="E1659" t="s">
        <v>4084</v>
      </c>
      <c r="F1659" t="s">
        <v>60</v>
      </c>
      <c r="G1659" t="s">
        <v>29</v>
      </c>
      <c r="H1659" t="s">
        <v>27</v>
      </c>
      <c r="I1659">
        <v>9</v>
      </c>
      <c r="J1659" t="s">
        <v>3396</v>
      </c>
      <c r="K1659">
        <v>59</v>
      </c>
      <c r="L1659" t="s">
        <v>32</v>
      </c>
      <c r="M1659">
        <v>6</v>
      </c>
      <c r="N1659" t="s">
        <v>91</v>
      </c>
      <c r="O1659" t="s">
        <v>69</v>
      </c>
      <c r="P1659" t="s">
        <v>70</v>
      </c>
      <c r="Q1659" s="2">
        <v>27496.15</v>
      </c>
      <c r="R1659" s="2">
        <v>4770.57</v>
      </c>
      <c r="S1659" t="s">
        <v>94</v>
      </c>
      <c r="T1659" t="s">
        <v>52</v>
      </c>
      <c r="U1659" t="s">
        <v>75</v>
      </c>
      <c r="V1659">
        <v>2.8</v>
      </c>
      <c r="W1659" t="s">
        <v>76</v>
      </c>
      <c r="X1659" t="s">
        <v>106</v>
      </c>
      <c r="Y1659" t="s">
        <v>41</v>
      </c>
    </row>
    <row r="1660" spans="1:25" x14ac:dyDescent="0.3">
      <c r="A1660" t="s">
        <v>3397</v>
      </c>
      <c r="B1660" s="1">
        <v>46584</v>
      </c>
      <c r="C1660" t="s">
        <v>57</v>
      </c>
      <c r="D1660" t="s">
        <v>44</v>
      </c>
      <c r="E1660" t="s">
        <v>120</v>
      </c>
      <c r="F1660" t="s">
        <v>28</v>
      </c>
      <c r="G1660" t="s">
        <v>29</v>
      </c>
      <c r="H1660" t="s">
        <v>86</v>
      </c>
      <c r="I1660">
        <v>12</v>
      </c>
      <c r="J1660" t="s">
        <v>3398</v>
      </c>
      <c r="K1660">
        <v>31</v>
      </c>
      <c r="L1660" t="s">
        <v>80</v>
      </c>
      <c r="M1660">
        <v>1</v>
      </c>
      <c r="N1660" t="s">
        <v>33</v>
      </c>
      <c r="O1660" t="s">
        <v>34</v>
      </c>
      <c r="P1660" t="s">
        <v>70</v>
      </c>
      <c r="Q1660" s="2">
        <v>33407.25</v>
      </c>
      <c r="R1660" s="2">
        <v>1647.27</v>
      </c>
      <c r="S1660" t="s">
        <v>36</v>
      </c>
      <c r="T1660" t="s">
        <v>52</v>
      </c>
      <c r="U1660" t="s">
        <v>38</v>
      </c>
      <c r="V1660">
        <v>4.3</v>
      </c>
      <c r="W1660" t="s">
        <v>54</v>
      </c>
      <c r="X1660" t="s">
        <v>84</v>
      </c>
      <c r="Y1660" t="s">
        <v>41</v>
      </c>
    </row>
    <row r="1661" spans="1:25" x14ac:dyDescent="0.3">
      <c r="A1661" t="s">
        <v>3399</v>
      </c>
      <c r="B1661" s="1">
        <v>46585</v>
      </c>
      <c r="C1661" t="s">
        <v>117</v>
      </c>
      <c r="D1661" t="s">
        <v>4083</v>
      </c>
      <c r="E1661" t="s">
        <v>4084</v>
      </c>
      <c r="F1661" t="s">
        <v>60</v>
      </c>
      <c r="G1661" t="s">
        <v>29</v>
      </c>
      <c r="H1661" t="s">
        <v>27</v>
      </c>
      <c r="I1661">
        <v>9</v>
      </c>
      <c r="J1661" t="s">
        <v>3400</v>
      </c>
      <c r="K1661">
        <v>30</v>
      </c>
      <c r="L1661" t="s">
        <v>63</v>
      </c>
      <c r="M1661">
        <v>1</v>
      </c>
      <c r="N1661" t="s">
        <v>91</v>
      </c>
      <c r="O1661" t="s">
        <v>81</v>
      </c>
      <c r="P1661" t="s">
        <v>35</v>
      </c>
      <c r="Q1661" s="2">
        <v>11211.39</v>
      </c>
      <c r="R1661" s="2">
        <v>2038.24</v>
      </c>
      <c r="S1661" t="s">
        <v>94</v>
      </c>
      <c r="T1661" t="s">
        <v>71</v>
      </c>
      <c r="U1661" t="s">
        <v>83</v>
      </c>
      <c r="V1661">
        <v>4</v>
      </c>
      <c r="W1661" t="s">
        <v>54</v>
      </c>
      <c r="X1661" t="s">
        <v>40</v>
      </c>
      <c r="Y1661" t="s">
        <v>72</v>
      </c>
    </row>
    <row r="1662" spans="1:25" x14ac:dyDescent="0.3">
      <c r="A1662" t="s">
        <v>3401</v>
      </c>
      <c r="B1662" s="1">
        <v>46586</v>
      </c>
      <c r="C1662" t="s">
        <v>26</v>
      </c>
      <c r="D1662" t="s">
        <v>26</v>
      </c>
      <c r="E1662" t="s">
        <v>4085</v>
      </c>
      <c r="F1662" t="s">
        <v>60</v>
      </c>
      <c r="G1662" t="s">
        <v>29</v>
      </c>
      <c r="H1662" t="s">
        <v>46</v>
      </c>
      <c r="I1662">
        <v>7</v>
      </c>
      <c r="J1662" t="s">
        <v>3402</v>
      </c>
      <c r="K1662">
        <v>58</v>
      </c>
      <c r="L1662" t="s">
        <v>80</v>
      </c>
      <c r="M1662">
        <v>4</v>
      </c>
      <c r="N1662" t="s">
        <v>33</v>
      </c>
      <c r="O1662" t="s">
        <v>69</v>
      </c>
      <c r="P1662" t="s">
        <v>50</v>
      </c>
      <c r="Q1662" s="2">
        <v>6739.85</v>
      </c>
      <c r="R1662" s="2">
        <v>3855.73</v>
      </c>
      <c r="S1662" t="s">
        <v>36</v>
      </c>
      <c r="T1662" t="s">
        <v>37</v>
      </c>
      <c r="U1662" t="s">
        <v>38</v>
      </c>
      <c r="V1662">
        <v>2.6</v>
      </c>
      <c r="W1662" t="s">
        <v>76</v>
      </c>
      <c r="X1662" t="s">
        <v>40</v>
      </c>
      <c r="Y1662" t="s">
        <v>72</v>
      </c>
    </row>
    <row r="1663" spans="1:25" x14ac:dyDescent="0.3">
      <c r="A1663" t="s">
        <v>3403</v>
      </c>
      <c r="B1663" s="1">
        <v>46587</v>
      </c>
      <c r="C1663" t="s">
        <v>78</v>
      </c>
      <c r="D1663" t="s">
        <v>58</v>
      </c>
      <c r="E1663" t="s">
        <v>120</v>
      </c>
      <c r="F1663" t="s">
        <v>28</v>
      </c>
      <c r="G1663" t="s">
        <v>29</v>
      </c>
      <c r="H1663" t="s">
        <v>86</v>
      </c>
      <c r="I1663">
        <v>14</v>
      </c>
      <c r="J1663" t="s">
        <v>3404</v>
      </c>
      <c r="K1663">
        <v>24</v>
      </c>
      <c r="L1663" t="s">
        <v>32</v>
      </c>
      <c r="M1663">
        <v>5</v>
      </c>
      <c r="N1663" t="s">
        <v>33</v>
      </c>
      <c r="O1663" t="s">
        <v>34</v>
      </c>
      <c r="P1663" t="s">
        <v>70</v>
      </c>
      <c r="Q1663" s="2">
        <v>11160.56</v>
      </c>
      <c r="R1663" s="2">
        <v>2161.69</v>
      </c>
      <c r="S1663" t="s">
        <v>36</v>
      </c>
      <c r="T1663" t="s">
        <v>71</v>
      </c>
      <c r="U1663" t="s">
        <v>38</v>
      </c>
      <c r="V1663">
        <v>3.9</v>
      </c>
      <c r="W1663" t="s">
        <v>39</v>
      </c>
      <c r="X1663" t="s">
        <v>40</v>
      </c>
      <c r="Y1663" t="s">
        <v>41</v>
      </c>
    </row>
    <row r="1664" spans="1:25" x14ac:dyDescent="0.3">
      <c r="A1664" t="s">
        <v>3405</v>
      </c>
      <c r="B1664" s="1">
        <v>46588</v>
      </c>
      <c r="C1664" t="s">
        <v>57</v>
      </c>
      <c r="D1664" t="s">
        <v>44</v>
      </c>
      <c r="E1664" t="s">
        <v>89</v>
      </c>
      <c r="F1664" t="s">
        <v>28</v>
      </c>
      <c r="G1664" t="s">
        <v>29</v>
      </c>
      <c r="H1664" t="s">
        <v>61</v>
      </c>
      <c r="I1664">
        <v>11</v>
      </c>
      <c r="J1664" t="s">
        <v>3406</v>
      </c>
      <c r="K1664">
        <v>29</v>
      </c>
      <c r="L1664" t="s">
        <v>63</v>
      </c>
      <c r="M1664">
        <v>7</v>
      </c>
      <c r="N1664" t="s">
        <v>64</v>
      </c>
      <c r="O1664" t="s">
        <v>34</v>
      </c>
      <c r="P1664" t="s">
        <v>50</v>
      </c>
      <c r="Q1664" s="2">
        <v>17862.72</v>
      </c>
      <c r="R1664" s="2">
        <v>4630.21</v>
      </c>
      <c r="S1664" t="s">
        <v>94</v>
      </c>
      <c r="T1664" t="s">
        <v>71</v>
      </c>
      <c r="U1664" t="s">
        <v>83</v>
      </c>
      <c r="V1664">
        <v>3.2</v>
      </c>
      <c r="W1664" t="s">
        <v>76</v>
      </c>
      <c r="X1664" t="s">
        <v>40</v>
      </c>
      <c r="Y1664" t="s">
        <v>72</v>
      </c>
    </row>
    <row r="1665" spans="1:25" x14ac:dyDescent="0.3">
      <c r="A1665" t="s">
        <v>3407</v>
      </c>
      <c r="B1665" s="1">
        <v>46589</v>
      </c>
      <c r="C1665" t="s">
        <v>78</v>
      </c>
      <c r="D1665" t="s">
        <v>58</v>
      </c>
      <c r="E1665" t="s">
        <v>45</v>
      </c>
      <c r="F1665" t="s">
        <v>28</v>
      </c>
      <c r="G1665" t="s">
        <v>29</v>
      </c>
      <c r="H1665" t="s">
        <v>67</v>
      </c>
      <c r="I1665">
        <v>7</v>
      </c>
      <c r="J1665" t="s">
        <v>3408</v>
      </c>
      <c r="K1665">
        <v>54</v>
      </c>
      <c r="L1665" t="s">
        <v>80</v>
      </c>
      <c r="M1665">
        <v>6</v>
      </c>
      <c r="N1665" t="s">
        <v>48</v>
      </c>
      <c r="O1665" t="s">
        <v>81</v>
      </c>
      <c r="P1665" t="s">
        <v>50</v>
      </c>
      <c r="Q1665" s="2">
        <v>16401.02</v>
      </c>
      <c r="R1665" s="2">
        <v>2516.09</v>
      </c>
      <c r="S1665" t="s">
        <v>115</v>
      </c>
      <c r="T1665" t="s">
        <v>52</v>
      </c>
      <c r="U1665" t="s">
        <v>53</v>
      </c>
      <c r="V1665">
        <v>4.7</v>
      </c>
      <c r="W1665" t="s">
        <v>103</v>
      </c>
      <c r="X1665" t="s">
        <v>84</v>
      </c>
      <c r="Y1665" t="s">
        <v>72</v>
      </c>
    </row>
    <row r="1666" spans="1:25" x14ac:dyDescent="0.3">
      <c r="A1666" t="s">
        <v>3409</v>
      </c>
      <c r="B1666" s="1">
        <v>46590</v>
      </c>
      <c r="C1666" t="s">
        <v>26</v>
      </c>
      <c r="D1666" t="s">
        <v>26</v>
      </c>
      <c r="E1666" t="s">
        <v>45</v>
      </c>
      <c r="F1666" t="s">
        <v>28</v>
      </c>
      <c r="G1666" t="s">
        <v>29</v>
      </c>
      <c r="H1666" t="s">
        <v>67</v>
      </c>
      <c r="I1666">
        <v>4</v>
      </c>
      <c r="J1666" t="s">
        <v>3410</v>
      </c>
      <c r="K1666">
        <v>67</v>
      </c>
      <c r="L1666" t="s">
        <v>80</v>
      </c>
      <c r="M1666">
        <v>1</v>
      </c>
      <c r="N1666" t="s">
        <v>33</v>
      </c>
      <c r="O1666" t="s">
        <v>49</v>
      </c>
      <c r="P1666" t="s">
        <v>70</v>
      </c>
      <c r="Q1666" s="2">
        <v>32682.89</v>
      </c>
      <c r="R1666" s="2">
        <v>1738.67</v>
      </c>
      <c r="S1666" t="s">
        <v>51</v>
      </c>
      <c r="T1666" t="s">
        <v>37</v>
      </c>
      <c r="U1666" t="s">
        <v>53</v>
      </c>
      <c r="V1666">
        <v>3.3</v>
      </c>
      <c r="W1666" t="s">
        <v>76</v>
      </c>
      <c r="X1666" t="s">
        <v>55</v>
      </c>
      <c r="Y1666" t="s">
        <v>72</v>
      </c>
    </row>
    <row r="1667" spans="1:25" x14ac:dyDescent="0.3">
      <c r="A1667" t="s">
        <v>3411</v>
      </c>
      <c r="B1667" s="1">
        <v>46591</v>
      </c>
      <c r="C1667" t="s">
        <v>26</v>
      </c>
      <c r="D1667" t="s">
        <v>26</v>
      </c>
      <c r="E1667" t="s">
        <v>4084</v>
      </c>
      <c r="F1667" t="s">
        <v>60</v>
      </c>
      <c r="G1667" t="s">
        <v>29</v>
      </c>
      <c r="H1667" t="s">
        <v>27</v>
      </c>
      <c r="I1667">
        <v>5</v>
      </c>
      <c r="J1667" t="s">
        <v>3412</v>
      </c>
      <c r="K1667">
        <v>21</v>
      </c>
      <c r="L1667" t="s">
        <v>80</v>
      </c>
      <c r="M1667">
        <v>7</v>
      </c>
      <c r="N1667" t="s">
        <v>48</v>
      </c>
      <c r="O1667" t="s">
        <v>34</v>
      </c>
      <c r="P1667" t="s">
        <v>70</v>
      </c>
      <c r="Q1667" s="2">
        <v>25515.02</v>
      </c>
      <c r="R1667" s="2">
        <v>4857.8599999999997</v>
      </c>
      <c r="S1667" t="s">
        <v>51</v>
      </c>
      <c r="T1667" t="s">
        <v>52</v>
      </c>
      <c r="U1667" t="s">
        <v>38</v>
      </c>
      <c r="V1667">
        <v>2.6</v>
      </c>
      <c r="W1667" t="s">
        <v>76</v>
      </c>
      <c r="X1667" t="s">
        <v>106</v>
      </c>
      <c r="Y1667" t="s">
        <v>72</v>
      </c>
    </row>
    <row r="1668" spans="1:25" x14ac:dyDescent="0.3">
      <c r="A1668" t="s">
        <v>3413</v>
      </c>
      <c r="B1668" s="1">
        <v>46592</v>
      </c>
      <c r="C1668" t="s">
        <v>43</v>
      </c>
      <c r="D1668" t="s">
        <v>58</v>
      </c>
      <c r="E1668" t="s">
        <v>120</v>
      </c>
      <c r="F1668" t="s">
        <v>28</v>
      </c>
      <c r="G1668" t="s">
        <v>29</v>
      </c>
      <c r="H1668" t="s">
        <v>86</v>
      </c>
      <c r="I1668">
        <v>6</v>
      </c>
      <c r="J1668" t="s">
        <v>3414</v>
      </c>
      <c r="K1668">
        <v>19</v>
      </c>
      <c r="L1668" t="s">
        <v>63</v>
      </c>
      <c r="M1668">
        <v>7</v>
      </c>
      <c r="N1668" t="s">
        <v>91</v>
      </c>
      <c r="O1668" t="s">
        <v>34</v>
      </c>
      <c r="P1668" t="s">
        <v>82</v>
      </c>
      <c r="Q1668" s="2">
        <v>6746.54</v>
      </c>
      <c r="R1668" s="2">
        <v>2128.91</v>
      </c>
      <c r="S1668" t="s">
        <v>51</v>
      </c>
      <c r="T1668" t="s">
        <v>71</v>
      </c>
      <c r="U1668" t="s">
        <v>75</v>
      </c>
      <c r="V1668">
        <v>4.5</v>
      </c>
      <c r="W1668" t="s">
        <v>103</v>
      </c>
      <c r="X1668" t="s">
        <v>40</v>
      </c>
      <c r="Y1668" t="s">
        <v>72</v>
      </c>
    </row>
    <row r="1669" spans="1:25" x14ac:dyDescent="0.3">
      <c r="A1669" t="s">
        <v>3415</v>
      </c>
      <c r="B1669" s="1">
        <v>46593</v>
      </c>
      <c r="C1669" t="s">
        <v>117</v>
      </c>
      <c r="D1669" t="s">
        <v>4083</v>
      </c>
      <c r="E1669" t="s">
        <v>89</v>
      </c>
      <c r="F1669" t="s">
        <v>28</v>
      </c>
      <c r="G1669" t="s">
        <v>29</v>
      </c>
      <c r="H1669" t="s">
        <v>61</v>
      </c>
      <c r="I1669">
        <v>7</v>
      </c>
      <c r="J1669" t="s">
        <v>3416</v>
      </c>
      <c r="K1669">
        <v>52</v>
      </c>
      <c r="L1669" t="s">
        <v>80</v>
      </c>
      <c r="M1669">
        <v>1</v>
      </c>
      <c r="N1669" t="s">
        <v>48</v>
      </c>
      <c r="O1669" t="s">
        <v>81</v>
      </c>
      <c r="P1669" t="s">
        <v>35</v>
      </c>
      <c r="Q1669" s="2">
        <v>6568.97</v>
      </c>
      <c r="R1669" s="2">
        <v>1155.8699999999999</v>
      </c>
      <c r="S1669" t="s">
        <v>36</v>
      </c>
      <c r="T1669" t="s">
        <v>52</v>
      </c>
      <c r="U1669" t="s">
        <v>75</v>
      </c>
      <c r="V1669">
        <v>1.2</v>
      </c>
      <c r="W1669" t="s">
        <v>124</v>
      </c>
      <c r="X1669" t="s">
        <v>84</v>
      </c>
      <c r="Y1669" t="s">
        <v>41</v>
      </c>
    </row>
    <row r="1670" spans="1:25" x14ac:dyDescent="0.3">
      <c r="A1670" t="s">
        <v>3417</v>
      </c>
      <c r="B1670" s="1">
        <v>46594</v>
      </c>
      <c r="C1670" t="s">
        <v>43</v>
      </c>
      <c r="D1670" t="s">
        <v>58</v>
      </c>
      <c r="E1670" t="s">
        <v>120</v>
      </c>
      <c r="F1670" t="s">
        <v>28</v>
      </c>
      <c r="G1670" t="s">
        <v>29</v>
      </c>
      <c r="H1670" t="s">
        <v>86</v>
      </c>
      <c r="I1670">
        <v>5</v>
      </c>
      <c r="J1670" t="s">
        <v>3418</v>
      </c>
      <c r="K1670">
        <v>61</v>
      </c>
      <c r="L1670" t="s">
        <v>32</v>
      </c>
      <c r="M1670">
        <v>3</v>
      </c>
      <c r="N1670" t="s">
        <v>48</v>
      </c>
      <c r="O1670" t="s">
        <v>49</v>
      </c>
      <c r="P1670" t="s">
        <v>70</v>
      </c>
      <c r="Q1670" s="2">
        <v>9076.4599999999991</v>
      </c>
      <c r="R1670" s="2">
        <v>888.5</v>
      </c>
      <c r="S1670" t="s">
        <v>36</v>
      </c>
      <c r="T1670" t="s">
        <v>52</v>
      </c>
      <c r="U1670" t="s">
        <v>75</v>
      </c>
      <c r="V1670">
        <v>4.5999999999999996</v>
      </c>
      <c r="W1670" t="s">
        <v>103</v>
      </c>
      <c r="X1670" t="s">
        <v>84</v>
      </c>
      <c r="Y1670" t="s">
        <v>41</v>
      </c>
    </row>
    <row r="1671" spans="1:25" x14ac:dyDescent="0.3">
      <c r="A1671" t="s">
        <v>3419</v>
      </c>
      <c r="B1671" s="1">
        <v>46595</v>
      </c>
      <c r="C1671" t="s">
        <v>57</v>
      </c>
      <c r="D1671" t="s">
        <v>44</v>
      </c>
      <c r="E1671" t="s">
        <v>45</v>
      </c>
      <c r="F1671" t="s">
        <v>28</v>
      </c>
      <c r="G1671" t="s">
        <v>29</v>
      </c>
      <c r="H1671" t="s">
        <v>67</v>
      </c>
      <c r="I1671">
        <v>14</v>
      </c>
      <c r="J1671" t="s">
        <v>3420</v>
      </c>
      <c r="K1671">
        <v>20</v>
      </c>
      <c r="L1671" t="s">
        <v>63</v>
      </c>
      <c r="M1671">
        <v>7</v>
      </c>
      <c r="N1671" t="s">
        <v>48</v>
      </c>
      <c r="O1671" t="s">
        <v>69</v>
      </c>
      <c r="P1671" t="s">
        <v>82</v>
      </c>
      <c r="Q1671" s="2">
        <v>20888.650000000001</v>
      </c>
      <c r="R1671" s="2">
        <v>4975.91</v>
      </c>
      <c r="S1671" t="s">
        <v>94</v>
      </c>
      <c r="T1671" t="s">
        <v>71</v>
      </c>
      <c r="U1671" t="s">
        <v>38</v>
      </c>
      <c r="V1671">
        <v>3.8</v>
      </c>
      <c r="W1671" t="s">
        <v>54</v>
      </c>
      <c r="X1671" t="s">
        <v>40</v>
      </c>
      <c r="Y1671" t="s">
        <v>41</v>
      </c>
    </row>
    <row r="1672" spans="1:25" x14ac:dyDescent="0.3">
      <c r="A1672" t="s">
        <v>3421</v>
      </c>
      <c r="B1672" s="1">
        <v>46596</v>
      </c>
      <c r="C1672" t="s">
        <v>78</v>
      </c>
      <c r="D1672" t="s">
        <v>58</v>
      </c>
      <c r="E1672" t="s">
        <v>120</v>
      </c>
      <c r="F1672" t="s">
        <v>28</v>
      </c>
      <c r="G1672" t="s">
        <v>29</v>
      </c>
      <c r="H1672" t="s">
        <v>86</v>
      </c>
      <c r="I1672">
        <v>9</v>
      </c>
      <c r="J1672" t="s">
        <v>3422</v>
      </c>
      <c r="K1672">
        <v>21</v>
      </c>
      <c r="L1672" t="s">
        <v>63</v>
      </c>
      <c r="M1672">
        <v>1</v>
      </c>
      <c r="N1672" t="s">
        <v>91</v>
      </c>
      <c r="O1672" t="s">
        <v>49</v>
      </c>
      <c r="P1672" t="s">
        <v>35</v>
      </c>
      <c r="Q1672" s="2">
        <v>5278.23</v>
      </c>
      <c r="R1672" s="2">
        <v>3764.94</v>
      </c>
      <c r="S1672" t="s">
        <v>115</v>
      </c>
      <c r="T1672" t="s">
        <v>52</v>
      </c>
      <c r="U1672" t="s">
        <v>75</v>
      </c>
      <c r="V1672">
        <v>4.8</v>
      </c>
      <c r="W1672" t="s">
        <v>103</v>
      </c>
      <c r="X1672" t="s">
        <v>65</v>
      </c>
      <c r="Y1672" t="s">
        <v>41</v>
      </c>
    </row>
    <row r="1673" spans="1:25" x14ac:dyDescent="0.3">
      <c r="A1673" t="s">
        <v>3423</v>
      </c>
      <c r="B1673" s="1">
        <v>46597</v>
      </c>
      <c r="C1673" t="s">
        <v>57</v>
      </c>
      <c r="D1673" t="s">
        <v>44</v>
      </c>
      <c r="E1673" t="s">
        <v>89</v>
      </c>
      <c r="F1673" t="s">
        <v>28</v>
      </c>
      <c r="G1673" t="s">
        <v>29</v>
      </c>
      <c r="H1673" t="s">
        <v>61</v>
      </c>
      <c r="I1673">
        <v>7</v>
      </c>
      <c r="J1673" t="s">
        <v>3424</v>
      </c>
      <c r="K1673">
        <v>55</v>
      </c>
      <c r="L1673" t="s">
        <v>80</v>
      </c>
      <c r="M1673">
        <v>3</v>
      </c>
      <c r="N1673" t="s">
        <v>91</v>
      </c>
      <c r="O1673" t="s">
        <v>49</v>
      </c>
      <c r="P1673" t="s">
        <v>70</v>
      </c>
      <c r="Q1673" s="2">
        <v>27229.43</v>
      </c>
      <c r="R1673" s="2">
        <v>2043.3</v>
      </c>
      <c r="S1673" t="s">
        <v>94</v>
      </c>
      <c r="T1673" t="s">
        <v>71</v>
      </c>
      <c r="U1673" t="s">
        <v>75</v>
      </c>
      <c r="V1673">
        <v>2</v>
      </c>
      <c r="W1673" t="s">
        <v>76</v>
      </c>
      <c r="X1673" t="s">
        <v>84</v>
      </c>
      <c r="Y1673" t="s">
        <v>41</v>
      </c>
    </row>
    <row r="1674" spans="1:25" x14ac:dyDescent="0.3">
      <c r="A1674" t="s">
        <v>3425</v>
      </c>
      <c r="B1674" s="1">
        <v>46598</v>
      </c>
      <c r="C1674" t="s">
        <v>26</v>
      </c>
      <c r="D1674" t="s">
        <v>26</v>
      </c>
      <c r="E1674" t="s">
        <v>4084</v>
      </c>
      <c r="F1674" t="s">
        <v>60</v>
      </c>
      <c r="G1674" t="s">
        <v>29</v>
      </c>
      <c r="H1674" t="s">
        <v>27</v>
      </c>
      <c r="I1674">
        <v>7</v>
      </c>
      <c r="J1674" t="s">
        <v>3426</v>
      </c>
      <c r="K1674">
        <v>29</v>
      </c>
      <c r="L1674" t="s">
        <v>32</v>
      </c>
      <c r="M1674">
        <v>1</v>
      </c>
      <c r="N1674" t="s">
        <v>33</v>
      </c>
      <c r="O1674" t="s">
        <v>81</v>
      </c>
      <c r="P1674" t="s">
        <v>50</v>
      </c>
      <c r="Q1674" s="2">
        <v>21230.13</v>
      </c>
      <c r="R1674" s="2">
        <v>4131.82</v>
      </c>
      <c r="S1674" t="s">
        <v>94</v>
      </c>
      <c r="T1674" t="s">
        <v>52</v>
      </c>
      <c r="U1674" t="s">
        <v>53</v>
      </c>
      <c r="V1674">
        <v>3.8</v>
      </c>
      <c r="W1674" t="s">
        <v>54</v>
      </c>
      <c r="X1674" t="s">
        <v>106</v>
      </c>
      <c r="Y1674" t="s">
        <v>72</v>
      </c>
    </row>
    <row r="1675" spans="1:25" x14ac:dyDescent="0.3">
      <c r="A1675" t="s">
        <v>3427</v>
      </c>
      <c r="B1675" s="1">
        <v>46599</v>
      </c>
      <c r="C1675" t="s">
        <v>43</v>
      </c>
      <c r="D1675" t="s">
        <v>58</v>
      </c>
      <c r="E1675" t="s">
        <v>4085</v>
      </c>
      <c r="F1675" t="s">
        <v>60</v>
      </c>
      <c r="G1675" t="s">
        <v>29</v>
      </c>
      <c r="H1675" t="s">
        <v>59</v>
      </c>
      <c r="I1675">
        <v>8</v>
      </c>
      <c r="J1675" t="s">
        <v>3428</v>
      </c>
      <c r="K1675">
        <v>36</v>
      </c>
      <c r="L1675" t="s">
        <v>63</v>
      </c>
      <c r="M1675">
        <v>1</v>
      </c>
      <c r="N1675" t="s">
        <v>33</v>
      </c>
      <c r="O1675" t="s">
        <v>49</v>
      </c>
      <c r="P1675" t="s">
        <v>35</v>
      </c>
      <c r="Q1675" s="2">
        <v>29994.86</v>
      </c>
      <c r="R1675" s="2">
        <v>2734.03</v>
      </c>
      <c r="S1675" t="s">
        <v>115</v>
      </c>
      <c r="T1675" t="s">
        <v>37</v>
      </c>
      <c r="U1675" t="s">
        <v>38</v>
      </c>
      <c r="V1675">
        <v>4.2</v>
      </c>
      <c r="W1675" t="s">
        <v>54</v>
      </c>
      <c r="X1675" t="s">
        <v>106</v>
      </c>
      <c r="Y1675" t="s">
        <v>72</v>
      </c>
    </row>
    <row r="1676" spans="1:25" x14ac:dyDescent="0.3">
      <c r="A1676" t="s">
        <v>3429</v>
      </c>
      <c r="B1676" s="1">
        <v>46600</v>
      </c>
      <c r="C1676" t="s">
        <v>43</v>
      </c>
      <c r="D1676" t="s">
        <v>58</v>
      </c>
      <c r="E1676" t="s">
        <v>120</v>
      </c>
      <c r="F1676" t="s">
        <v>28</v>
      </c>
      <c r="G1676" t="s">
        <v>29</v>
      </c>
      <c r="H1676" t="s">
        <v>86</v>
      </c>
      <c r="I1676">
        <v>9</v>
      </c>
      <c r="J1676" t="s">
        <v>3430</v>
      </c>
      <c r="K1676">
        <v>27</v>
      </c>
      <c r="L1676" t="s">
        <v>80</v>
      </c>
      <c r="M1676">
        <v>7</v>
      </c>
      <c r="N1676" t="s">
        <v>64</v>
      </c>
      <c r="O1676" t="s">
        <v>81</v>
      </c>
      <c r="P1676" t="s">
        <v>50</v>
      </c>
      <c r="Q1676" s="2">
        <v>37437.14</v>
      </c>
      <c r="R1676" s="2">
        <v>1586.95</v>
      </c>
      <c r="S1676" t="s">
        <v>36</v>
      </c>
      <c r="T1676" t="s">
        <v>71</v>
      </c>
      <c r="U1676" t="s">
        <v>53</v>
      </c>
      <c r="V1676">
        <v>3.8</v>
      </c>
      <c r="W1676" t="s">
        <v>54</v>
      </c>
      <c r="X1676" t="s">
        <v>65</v>
      </c>
      <c r="Y1676" t="s">
        <v>41</v>
      </c>
    </row>
    <row r="1677" spans="1:25" x14ac:dyDescent="0.3">
      <c r="A1677" t="s">
        <v>3431</v>
      </c>
      <c r="B1677" s="1">
        <v>46601</v>
      </c>
      <c r="C1677" t="s">
        <v>43</v>
      </c>
      <c r="D1677" t="s">
        <v>58</v>
      </c>
      <c r="E1677" t="s">
        <v>4085</v>
      </c>
      <c r="F1677" t="s">
        <v>60</v>
      </c>
      <c r="G1677" t="s">
        <v>29</v>
      </c>
      <c r="H1677" t="s">
        <v>59</v>
      </c>
      <c r="I1677">
        <v>12</v>
      </c>
      <c r="J1677" t="s">
        <v>3432</v>
      </c>
      <c r="K1677">
        <v>18</v>
      </c>
      <c r="L1677" t="s">
        <v>32</v>
      </c>
      <c r="M1677">
        <v>5</v>
      </c>
      <c r="N1677" t="s">
        <v>91</v>
      </c>
      <c r="O1677" t="s">
        <v>69</v>
      </c>
      <c r="P1677" t="s">
        <v>82</v>
      </c>
      <c r="Q1677" s="2">
        <v>16293.78</v>
      </c>
      <c r="R1677" s="2">
        <v>3716.93</v>
      </c>
      <c r="S1677" t="s">
        <v>94</v>
      </c>
      <c r="T1677" t="s">
        <v>37</v>
      </c>
      <c r="U1677" t="s">
        <v>83</v>
      </c>
      <c r="V1677">
        <v>1.8</v>
      </c>
      <c r="W1677" t="s">
        <v>124</v>
      </c>
      <c r="X1677" t="s">
        <v>84</v>
      </c>
      <c r="Y1677" t="s">
        <v>41</v>
      </c>
    </row>
    <row r="1678" spans="1:25" x14ac:dyDescent="0.3">
      <c r="A1678" t="s">
        <v>3433</v>
      </c>
      <c r="B1678" s="1">
        <v>46602</v>
      </c>
      <c r="C1678" t="s">
        <v>57</v>
      </c>
      <c r="D1678" t="s">
        <v>44</v>
      </c>
      <c r="E1678" t="s">
        <v>45</v>
      </c>
      <c r="F1678" t="s">
        <v>28</v>
      </c>
      <c r="G1678" t="s">
        <v>29</v>
      </c>
      <c r="H1678" t="s">
        <v>67</v>
      </c>
      <c r="I1678">
        <v>12</v>
      </c>
      <c r="J1678" t="s">
        <v>3434</v>
      </c>
      <c r="K1678">
        <v>34</v>
      </c>
      <c r="L1678" t="s">
        <v>80</v>
      </c>
      <c r="M1678">
        <v>5</v>
      </c>
      <c r="N1678" t="s">
        <v>64</v>
      </c>
      <c r="O1678" t="s">
        <v>34</v>
      </c>
      <c r="P1678" t="s">
        <v>70</v>
      </c>
      <c r="Q1678" s="2">
        <v>12068.76</v>
      </c>
      <c r="R1678" s="2">
        <v>3729.47</v>
      </c>
      <c r="S1678" t="s">
        <v>94</v>
      </c>
      <c r="T1678" t="s">
        <v>52</v>
      </c>
      <c r="U1678" t="s">
        <v>53</v>
      </c>
      <c r="V1678">
        <v>2.1</v>
      </c>
      <c r="W1678" t="s">
        <v>76</v>
      </c>
      <c r="X1678" t="s">
        <v>65</v>
      </c>
      <c r="Y1678" t="s">
        <v>72</v>
      </c>
    </row>
    <row r="1679" spans="1:25" x14ac:dyDescent="0.3">
      <c r="A1679" t="s">
        <v>3435</v>
      </c>
      <c r="B1679" s="1">
        <v>46603</v>
      </c>
      <c r="C1679" t="s">
        <v>26</v>
      </c>
      <c r="D1679" t="s">
        <v>26</v>
      </c>
      <c r="E1679" t="s">
        <v>4084</v>
      </c>
      <c r="F1679" t="s">
        <v>60</v>
      </c>
      <c r="G1679" t="s">
        <v>29</v>
      </c>
      <c r="H1679" t="s">
        <v>27</v>
      </c>
      <c r="I1679">
        <v>10</v>
      </c>
      <c r="J1679" t="s">
        <v>3436</v>
      </c>
      <c r="K1679">
        <v>33</v>
      </c>
      <c r="L1679" t="s">
        <v>80</v>
      </c>
      <c r="M1679">
        <v>6</v>
      </c>
      <c r="N1679" t="s">
        <v>91</v>
      </c>
      <c r="O1679" t="s">
        <v>34</v>
      </c>
      <c r="P1679" t="s">
        <v>82</v>
      </c>
      <c r="Q1679" s="2">
        <v>17512.41</v>
      </c>
      <c r="R1679" s="2">
        <v>2500.85</v>
      </c>
      <c r="S1679" t="s">
        <v>36</v>
      </c>
      <c r="T1679" t="s">
        <v>37</v>
      </c>
      <c r="U1679" t="s">
        <v>38</v>
      </c>
      <c r="V1679">
        <v>3.3</v>
      </c>
      <c r="W1679" t="s">
        <v>76</v>
      </c>
      <c r="X1679" t="s">
        <v>84</v>
      </c>
      <c r="Y1679" t="s">
        <v>72</v>
      </c>
    </row>
    <row r="1680" spans="1:25" x14ac:dyDescent="0.3">
      <c r="A1680" t="s">
        <v>3437</v>
      </c>
      <c r="B1680" s="1">
        <v>46604</v>
      </c>
      <c r="C1680" t="s">
        <v>78</v>
      </c>
      <c r="D1680" t="s">
        <v>58</v>
      </c>
      <c r="E1680" t="s">
        <v>4084</v>
      </c>
      <c r="F1680" t="s">
        <v>60</v>
      </c>
      <c r="G1680" t="s">
        <v>29</v>
      </c>
      <c r="H1680" t="s">
        <v>27</v>
      </c>
      <c r="I1680">
        <v>11</v>
      </c>
      <c r="J1680" t="s">
        <v>3438</v>
      </c>
      <c r="K1680">
        <v>26</v>
      </c>
      <c r="L1680" t="s">
        <v>63</v>
      </c>
      <c r="M1680">
        <v>1</v>
      </c>
      <c r="N1680" t="s">
        <v>48</v>
      </c>
      <c r="O1680" t="s">
        <v>81</v>
      </c>
      <c r="P1680" t="s">
        <v>70</v>
      </c>
      <c r="Q1680" s="2">
        <v>5079.34</v>
      </c>
      <c r="R1680" s="2">
        <v>225.79</v>
      </c>
      <c r="S1680" t="s">
        <v>51</v>
      </c>
      <c r="T1680" t="s">
        <v>37</v>
      </c>
      <c r="U1680" t="s">
        <v>75</v>
      </c>
      <c r="V1680">
        <v>2.8</v>
      </c>
      <c r="W1680" t="s">
        <v>76</v>
      </c>
      <c r="X1680" t="s">
        <v>84</v>
      </c>
      <c r="Y1680" t="s">
        <v>41</v>
      </c>
    </row>
    <row r="1681" spans="1:25" x14ac:dyDescent="0.3">
      <c r="A1681" t="s">
        <v>3439</v>
      </c>
      <c r="B1681" s="1">
        <v>46605</v>
      </c>
      <c r="C1681" t="s">
        <v>78</v>
      </c>
      <c r="D1681" t="s">
        <v>58</v>
      </c>
      <c r="E1681" t="s">
        <v>120</v>
      </c>
      <c r="F1681" t="s">
        <v>28</v>
      </c>
      <c r="G1681" t="s">
        <v>29</v>
      </c>
      <c r="H1681" t="s">
        <v>86</v>
      </c>
      <c r="I1681">
        <v>13</v>
      </c>
      <c r="J1681" t="s">
        <v>3440</v>
      </c>
      <c r="K1681">
        <v>26</v>
      </c>
      <c r="L1681" t="s">
        <v>63</v>
      </c>
      <c r="M1681">
        <v>6</v>
      </c>
      <c r="N1681" t="s">
        <v>64</v>
      </c>
      <c r="O1681" t="s">
        <v>81</v>
      </c>
      <c r="P1681" t="s">
        <v>70</v>
      </c>
      <c r="Q1681" s="2">
        <v>10400.58</v>
      </c>
      <c r="R1681" s="2">
        <v>385.11</v>
      </c>
      <c r="S1681" t="s">
        <v>115</v>
      </c>
      <c r="T1681" t="s">
        <v>37</v>
      </c>
      <c r="U1681" t="s">
        <v>38</v>
      </c>
      <c r="V1681">
        <v>3.9</v>
      </c>
      <c r="W1681" t="s">
        <v>54</v>
      </c>
      <c r="X1681" t="s">
        <v>65</v>
      </c>
      <c r="Y1681" t="s">
        <v>41</v>
      </c>
    </row>
    <row r="1682" spans="1:25" x14ac:dyDescent="0.3">
      <c r="A1682" t="s">
        <v>3441</v>
      </c>
      <c r="B1682" s="1">
        <v>46606</v>
      </c>
      <c r="C1682" t="s">
        <v>57</v>
      </c>
      <c r="D1682" t="s">
        <v>44</v>
      </c>
      <c r="E1682" t="s">
        <v>4084</v>
      </c>
      <c r="F1682" t="s">
        <v>60</v>
      </c>
      <c r="G1682" t="s">
        <v>29</v>
      </c>
      <c r="H1682" t="s">
        <v>27</v>
      </c>
      <c r="I1682">
        <v>6</v>
      </c>
      <c r="J1682" t="s">
        <v>3442</v>
      </c>
      <c r="K1682">
        <v>26</v>
      </c>
      <c r="L1682" t="s">
        <v>80</v>
      </c>
      <c r="M1682">
        <v>6</v>
      </c>
      <c r="N1682" t="s">
        <v>64</v>
      </c>
      <c r="O1682" t="s">
        <v>49</v>
      </c>
      <c r="P1682" t="s">
        <v>50</v>
      </c>
      <c r="Q1682" s="2">
        <v>38787.370000000003</v>
      </c>
      <c r="R1682" s="2">
        <v>3943.75</v>
      </c>
      <c r="S1682" t="s">
        <v>115</v>
      </c>
      <c r="T1682" t="s">
        <v>52</v>
      </c>
      <c r="U1682" t="s">
        <v>53</v>
      </c>
      <c r="V1682">
        <v>2.5</v>
      </c>
      <c r="W1682" t="s">
        <v>76</v>
      </c>
      <c r="X1682" t="s">
        <v>55</v>
      </c>
      <c r="Y1682" t="s">
        <v>72</v>
      </c>
    </row>
    <row r="1683" spans="1:25" x14ac:dyDescent="0.3">
      <c r="A1683" t="s">
        <v>3443</v>
      </c>
      <c r="B1683" s="1">
        <v>46607</v>
      </c>
      <c r="C1683" t="s">
        <v>43</v>
      </c>
      <c r="D1683" t="s">
        <v>58</v>
      </c>
      <c r="E1683" t="s">
        <v>120</v>
      </c>
      <c r="F1683" t="s">
        <v>28</v>
      </c>
      <c r="G1683" t="s">
        <v>29</v>
      </c>
      <c r="H1683" t="s">
        <v>86</v>
      </c>
      <c r="I1683">
        <v>7</v>
      </c>
      <c r="J1683" t="s">
        <v>3444</v>
      </c>
      <c r="K1683">
        <v>29</v>
      </c>
      <c r="L1683" t="s">
        <v>63</v>
      </c>
      <c r="M1683">
        <v>6</v>
      </c>
      <c r="N1683" t="s">
        <v>64</v>
      </c>
      <c r="O1683" t="s">
        <v>49</v>
      </c>
      <c r="P1683" t="s">
        <v>82</v>
      </c>
      <c r="Q1683" s="2">
        <v>15026.31</v>
      </c>
      <c r="R1683" s="2">
        <v>4117.38</v>
      </c>
      <c r="S1683" t="s">
        <v>51</v>
      </c>
      <c r="T1683" t="s">
        <v>71</v>
      </c>
      <c r="U1683" t="s">
        <v>38</v>
      </c>
      <c r="V1683">
        <v>4.4000000000000004</v>
      </c>
      <c r="W1683" t="s">
        <v>54</v>
      </c>
      <c r="X1683" t="s">
        <v>40</v>
      </c>
      <c r="Y1683" t="s">
        <v>72</v>
      </c>
    </row>
    <row r="1684" spans="1:25" x14ac:dyDescent="0.3">
      <c r="A1684" t="s">
        <v>3445</v>
      </c>
      <c r="B1684" s="1">
        <v>46608</v>
      </c>
      <c r="C1684" t="s">
        <v>117</v>
      </c>
      <c r="D1684" t="s">
        <v>4083</v>
      </c>
      <c r="E1684" t="s">
        <v>120</v>
      </c>
      <c r="F1684" t="s">
        <v>28</v>
      </c>
      <c r="G1684" t="s">
        <v>29</v>
      </c>
      <c r="H1684" t="s">
        <v>86</v>
      </c>
      <c r="I1684">
        <v>7</v>
      </c>
      <c r="J1684" t="s">
        <v>3446</v>
      </c>
      <c r="K1684">
        <v>58</v>
      </c>
      <c r="L1684" t="s">
        <v>63</v>
      </c>
      <c r="M1684">
        <v>6</v>
      </c>
      <c r="N1684" t="s">
        <v>91</v>
      </c>
      <c r="O1684" t="s">
        <v>34</v>
      </c>
      <c r="P1684" t="s">
        <v>50</v>
      </c>
      <c r="Q1684" s="2">
        <v>49743.48</v>
      </c>
      <c r="R1684" s="2">
        <v>3391.45</v>
      </c>
      <c r="S1684" t="s">
        <v>115</v>
      </c>
      <c r="T1684" t="s">
        <v>52</v>
      </c>
      <c r="U1684" t="s">
        <v>38</v>
      </c>
      <c r="V1684">
        <v>2.7</v>
      </c>
      <c r="W1684" t="s">
        <v>76</v>
      </c>
      <c r="X1684" t="s">
        <v>40</v>
      </c>
      <c r="Y1684" t="s">
        <v>41</v>
      </c>
    </row>
    <row r="1685" spans="1:25" x14ac:dyDescent="0.3">
      <c r="A1685" t="s">
        <v>3447</v>
      </c>
      <c r="B1685" s="1">
        <v>46609</v>
      </c>
      <c r="C1685" t="s">
        <v>57</v>
      </c>
      <c r="D1685" t="s">
        <v>44</v>
      </c>
      <c r="E1685" t="s">
        <v>4085</v>
      </c>
      <c r="F1685" t="s">
        <v>60</v>
      </c>
      <c r="G1685" t="s">
        <v>29</v>
      </c>
      <c r="H1685" t="s">
        <v>59</v>
      </c>
      <c r="I1685">
        <v>10</v>
      </c>
      <c r="J1685" t="s">
        <v>3448</v>
      </c>
      <c r="K1685">
        <v>32</v>
      </c>
      <c r="L1685" t="s">
        <v>32</v>
      </c>
      <c r="M1685">
        <v>4</v>
      </c>
      <c r="N1685" t="s">
        <v>33</v>
      </c>
      <c r="O1685" t="s">
        <v>34</v>
      </c>
      <c r="P1685" t="s">
        <v>50</v>
      </c>
      <c r="Q1685" s="2">
        <v>12552.42</v>
      </c>
      <c r="R1685" s="2">
        <v>4195.34</v>
      </c>
      <c r="S1685" t="s">
        <v>51</v>
      </c>
      <c r="T1685" t="s">
        <v>52</v>
      </c>
      <c r="U1685" t="s">
        <v>53</v>
      </c>
      <c r="V1685">
        <v>1.2</v>
      </c>
      <c r="W1685" t="s">
        <v>124</v>
      </c>
      <c r="X1685" t="s">
        <v>40</v>
      </c>
      <c r="Y1685" t="s">
        <v>72</v>
      </c>
    </row>
    <row r="1686" spans="1:25" x14ac:dyDescent="0.3">
      <c r="A1686" t="s">
        <v>3449</v>
      </c>
      <c r="B1686" s="1">
        <v>46610</v>
      </c>
      <c r="C1686" t="s">
        <v>57</v>
      </c>
      <c r="D1686" t="s">
        <v>44</v>
      </c>
      <c r="E1686" t="s">
        <v>4084</v>
      </c>
      <c r="F1686" t="s">
        <v>60</v>
      </c>
      <c r="G1686" t="s">
        <v>29</v>
      </c>
      <c r="H1686" t="s">
        <v>27</v>
      </c>
      <c r="I1686">
        <v>11</v>
      </c>
      <c r="J1686" t="s">
        <v>3450</v>
      </c>
      <c r="K1686">
        <v>19</v>
      </c>
      <c r="L1686" t="s">
        <v>32</v>
      </c>
      <c r="M1686">
        <v>7</v>
      </c>
      <c r="N1686" t="s">
        <v>64</v>
      </c>
      <c r="O1686" t="s">
        <v>34</v>
      </c>
      <c r="P1686" t="s">
        <v>50</v>
      </c>
      <c r="Q1686" s="2">
        <v>40494.730000000003</v>
      </c>
      <c r="R1686" s="2">
        <v>3597.44</v>
      </c>
      <c r="S1686" t="s">
        <v>94</v>
      </c>
      <c r="T1686" t="s">
        <v>52</v>
      </c>
      <c r="U1686" t="s">
        <v>53</v>
      </c>
      <c r="V1686">
        <v>1.1000000000000001</v>
      </c>
      <c r="W1686" t="s">
        <v>124</v>
      </c>
      <c r="X1686" t="s">
        <v>65</v>
      </c>
      <c r="Y1686" t="s">
        <v>72</v>
      </c>
    </row>
    <row r="1687" spans="1:25" x14ac:dyDescent="0.3">
      <c r="A1687" t="s">
        <v>3451</v>
      </c>
      <c r="B1687" s="1">
        <v>46611</v>
      </c>
      <c r="C1687" t="s">
        <v>26</v>
      </c>
      <c r="D1687" t="s">
        <v>26</v>
      </c>
      <c r="E1687" t="s">
        <v>120</v>
      </c>
      <c r="F1687" t="s">
        <v>28</v>
      </c>
      <c r="G1687" t="s">
        <v>29</v>
      </c>
      <c r="H1687" t="s">
        <v>86</v>
      </c>
      <c r="I1687">
        <v>9</v>
      </c>
      <c r="J1687" t="s">
        <v>3452</v>
      </c>
      <c r="K1687">
        <v>28</v>
      </c>
      <c r="L1687" t="s">
        <v>80</v>
      </c>
      <c r="M1687">
        <v>7</v>
      </c>
      <c r="N1687" t="s">
        <v>33</v>
      </c>
      <c r="O1687" t="s">
        <v>81</v>
      </c>
      <c r="P1687" t="s">
        <v>82</v>
      </c>
      <c r="Q1687" s="2">
        <v>36727</v>
      </c>
      <c r="R1687" s="2">
        <v>4484.67</v>
      </c>
      <c r="S1687" t="s">
        <v>115</v>
      </c>
      <c r="T1687" t="s">
        <v>71</v>
      </c>
      <c r="U1687" t="s">
        <v>83</v>
      </c>
      <c r="V1687">
        <v>3.6</v>
      </c>
      <c r="W1687" t="s">
        <v>39</v>
      </c>
      <c r="X1687" t="s">
        <v>84</v>
      </c>
      <c r="Y1687" t="s">
        <v>41</v>
      </c>
    </row>
    <row r="1688" spans="1:25" x14ac:dyDescent="0.3">
      <c r="A1688" t="s">
        <v>3453</v>
      </c>
      <c r="B1688" s="1">
        <v>46612</v>
      </c>
      <c r="C1688" t="s">
        <v>78</v>
      </c>
      <c r="D1688" t="s">
        <v>58</v>
      </c>
      <c r="E1688" t="s">
        <v>4085</v>
      </c>
      <c r="F1688" t="s">
        <v>60</v>
      </c>
      <c r="G1688" t="s">
        <v>29</v>
      </c>
      <c r="H1688" t="s">
        <v>46</v>
      </c>
      <c r="I1688">
        <v>7</v>
      </c>
      <c r="J1688" t="s">
        <v>3454</v>
      </c>
      <c r="K1688">
        <v>28</v>
      </c>
      <c r="L1688" t="s">
        <v>80</v>
      </c>
      <c r="M1688">
        <v>4</v>
      </c>
      <c r="N1688" t="s">
        <v>91</v>
      </c>
      <c r="O1688" t="s">
        <v>69</v>
      </c>
      <c r="P1688" t="s">
        <v>70</v>
      </c>
      <c r="Q1688" s="2">
        <v>19495.95</v>
      </c>
      <c r="R1688" s="2">
        <v>751.99</v>
      </c>
      <c r="S1688" t="s">
        <v>115</v>
      </c>
      <c r="T1688" t="s">
        <v>52</v>
      </c>
      <c r="U1688" t="s">
        <v>83</v>
      </c>
      <c r="V1688">
        <v>3.2</v>
      </c>
      <c r="W1688" t="s">
        <v>39</v>
      </c>
      <c r="X1688" t="s">
        <v>84</v>
      </c>
      <c r="Y1688" t="s">
        <v>72</v>
      </c>
    </row>
    <row r="1689" spans="1:25" x14ac:dyDescent="0.3">
      <c r="A1689" t="s">
        <v>3455</v>
      </c>
      <c r="B1689" s="1">
        <v>46613</v>
      </c>
      <c r="C1689" t="s">
        <v>57</v>
      </c>
      <c r="D1689" t="s">
        <v>44</v>
      </c>
      <c r="E1689" t="s">
        <v>89</v>
      </c>
      <c r="F1689" t="s">
        <v>28</v>
      </c>
      <c r="G1689" t="s">
        <v>29</v>
      </c>
      <c r="H1689" t="s">
        <v>61</v>
      </c>
      <c r="I1689">
        <v>5</v>
      </c>
      <c r="J1689" t="s">
        <v>3456</v>
      </c>
      <c r="K1689">
        <v>25</v>
      </c>
      <c r="L1689" t="s">
        <v>80</v>
      </c>
      <c r="M1689">
        <v>1</v>
      </c>
      <c r="N1689" t="s">
        <v>64</v>
      </c>
      <c r="O1689" t="s">
        <v>69</v>
      </c>
      <c r="P1689" t="s">
        <v>70</v>
      </c>
      <c r="Q1689" s="2">
        <v>19883.259999999998</v>
      </c>
      <c r="R1689" s="2">
        <v>1938.71</v>
      </c>
      <c r="S1689" t="s">
        <v>94</v>
      </c>
      <c r="T1689" t="s">
        <v>52</v>
      </c>
      <c r="U1689" t="s">
        <v>53</v>
      </c>
      <c r="V1689">
        <v>3.2</v>
      </c>
      <c r="W1689" t="s">
        <v>39</v>
      </c>
      <c r="X1689" t="s">
        <v>106</v>
      </c>
      <c r="Y1689" t="s">
        <v>41</v>
      </c>
    </row>
    <row r="1690" spans="1:25" x14ac:dyDescent="0.3">
      <c r="A1690" t="s">
        <v>3457</v>
      </c>
      <c r="B1690" s="1">
        <v>46614</v>
      </c>
      <c r="C1690" t="s">
        <v>57</v>
      </c>
      <c r="D1690" t="s">
        <v>44</v>
      </c>
      <c r="E1690" t="s">
        <v>4085</v>
      </c>
      <c r="F1690" t="s">
        <v>60</v>
      </c>
      <c r="G1690" t="s">
        <v>29</v>
      </c>
      <c r="H1690" t="s">
        <v>46</v>
      </c>
      <c r="I1690">
        <v>3</v>
      </c>
      <c r="J1690" t="s">
        <v>3458</v>
      </c>
      <c r="K1690">
        <v>49</v>
      </c>
      <c r="L1690" t="s">
        <v>80</v>
      </c>
      <c r="M1690">
        <v>4</v>
      </c>
      <c r="N1690" t="s">
        <v>91</v>
      </c>
      <c r="O1690" t="s">
        <v>81</v>
      </c>
      <c r="P1690" t="s">
        <v>82</v>
      </c>
      <c r="Q1690" s="2">
        <v>30359.82</v>
      </c>
      <c r="R1690" s="2">
        <v>2320.5500000000002</v>
      </c>
      <c r="S1690" t="s">
        <v>36</v>
      </c>
      <c r="T1690" t="s">
        <v>71</v>
      </c>
      <c r="U1690" t="s">
        <v>38</v>
      </c>
      <c r="V1690">
        <v>4.2</v>
      </c>
      <c r="W1690" t="s">
        <v>54</v>
      </c>
      <c r="X1690" t="s">
        <v>84</v>
      </c>
      <c r="Y1690" t="s">
        <v>72</v>
      </c>
    </row>
    <row r="1691" spans="1:25" x14ac:dyDescent="0.3">
      <c r="A1691" t="s">
        <v>3459</v>
      </c>
      <c r="B1691" s="1">
        <v>46615</v>
      </c>
      <c r="C1691" t="s">
        <v>43</v>
      </c>
      <c r="D1691" t="s">
        <v>58</v>
      </c>
      <c r="E1691" t="s">
        <v>4085</v>
      </c>
      <c r="F1691" t="s">
        <v>60</v>
      </c>
      <c r="G1691" t="s">
        <v>29</v>
      </c>
      <c r="H1691" t="s">
        <v>46</v>
      </c>
      <c r="I1691">
        <v>13</v>
      </c>
      <c r="J1691" t="s">
        <v>3460</v>
      </c>
      <c r="K1691">
        <v>23</v>
      </c>
      <c r="L1691" t="s">
        <v>32</v>
      </c>
      <c r="M1691">
        <v>1</v>
      </c>
      <c r="N1691" t="s">
        <v>33</v>
      </c>
      <c r="O1691" t="s">
        <v>49</v>
      </c>
      <c r="P1691" t="s">
        <v>70</v>
      </c>
      <c r="Q1691" s="2">
        <v>43356.83</v>
      </c>
      <c r="R1691" s="2">
        <v>1488.32</v>
      </c>
      <c r="S1691" t="s">
        <v>36</v>
      </c>
      <c r="T1691" t="s">
        <v>71</v>
      </c>
      <c r="U1691" t="s">
        <v>53</v>
      </c>
      <c r="V1691">
        <v>2.5</v>
      </c>
      <c r="W1691" t="s">
        <v>76</v>
      </c>
      <c r="X1691" t="s">
        <v>55</v>
      </c>
      <c r="Y1691" t="s">
        <v>41</v>
      </c>
    </row>
    <row r="1692" spans="1:25" x14ac:dyDescent="0.3">
      <c r="A1692" t="s">
        <v>3461</v>
      </c>
      <c r="B1692" s="1">
        <v>46616</v>
      </c>
      <c r="C1692" t="s">
        <v>43</v>
      </c>
      <c r="D1692" t="s">
        <v>58</v>
      </c>
      <c r="E1692" t="s">
        <v>120</v>
      </c>
      <c r="F1692" t="s">
        <v>28</v>
      </c>
      <c r="G1692" t="s">
        <v>29</v>
      </c>
      <c r="H1692" t="s">
        <v>86</v>
      </c>
      <c r="I1692">
        <v>11</v>
      </c>
      <c r="J1692" t="s">
        <v>3462</v>
      </c>
      <c r="K1692">
        <v>37</v>
      </c>
      <c r="L1692" t="s">
        <v>63</v>
      </c>
      <c r="M1692">
        <v>5</v>
      </c>
      <c r="N1692" t="s">
        <v>33</v>
      </c>
      <c r="O1692" t="s">
        <v>69</v>
      </c>
      <c r="P1692" t="s">
        <v>82</v>
      </c>
      <c r="Q1692" s="2">
        <v>22378.41</v>
      </c>
      <c r="R1692" s="2">
        <v>3626.83</v>
      </c>
      <c r="S1692" t="s">
        <v>94</v>
      </c>
      <c r="T1692" t="s">
        <v>71</v>
      </c>
      <c r="U1692" t="s">
        <v>75</v>
      </c>
      <c r="V1692">
        <v>5</v>
      </c>
      <c r="W1692" t="s">
        <v>103</v>
      </c>
      <c r="X1692" t="s">
        <v>40</v>
      </c>
      <c r="Y1692" t="s">
        <v>72</v>
      </c>
    </row>
    <row r="1693" spans="1:25" x14ac:dyDescent="0.3">
      <c r="A1693" t="s">
        <v>3463</v>
      </c>
      <c r="B1693" s="1">
        <v>46617</v>
      </c>
      <c r="C1693" t="s">
        <v>117</v>
      </c>
      <c r="D1693" t="s">
        <v>4083</v>
      </c>
      <c r="E1693" t="s">
        <v>45</v>
      </c>
      <c r="F1693" t="s">
        <v>28</v>
      </c>
      <c r="G1693" t="s">
        <v>29</v>
      </c>
      <c r="H1693" t="s">
        <v>67</v>
      </c>
      <c r="I1693">
        <v>7</v>
      </c>
      <c r="J1693" t="s">
        <v>3464</v>
      </c>
      <c r="K1693">
        <v>56</v>
      </c>
      <c r="L1693" t="s">
        <v>32</v>
      </c>
      <c r="M1693">
        <v>7</v>
      </c>
      <c r="N1693" t="s">
        <v>64</v>
      </c>
      <c r="O1693" t="s">
        <v>49</v>
      </c>
      <c r="P1693" t="s">
        <v>82</v>
      </c>
      <c r="Q1693" s="2">
        <v>7753.09</v>
      </c>
      <c r="R1693" s="2">
        <v>4562.1899999999996</v>
      </c>
      <c r="S1693" t="s">
        <v>115</v>
      </c>
      <c r="T1693" t="s">
        <v>37</v>
      </c>
      <c r="U1693" t="s">
        <v>83</v>
      </c>
      <c r="V1693">
        <v>4.8</v>
      </c>
      <c r="W1693" t="s">
        <v>103</v>
      </c>
      <c r="X1693" t="s">
        <v>55</v>
      </c>
      <c r="Y1693" t="s">
        <v>72</v>
      </c>
    </row>
    <row r="1694" spans="1:25" x14ac:dyDescent="0.3">
      <c r="A1694" t="s">
        <v>3465</v>
      </c>
      <c r="B1694" s="1">
        <v>46618</v>
      </c>
      <c r="C1694" t="s">
        <v>26</v>
      </c>
      <c r="D1694" t="s">
        <v>26</v>
      </c>
      <c r="E1694" t="s">
        <v>45</v>
      </c>
      <c r="F1694" t="s">
        <v>28</v>
      </c>
      <c r="G1694" t="s">
        <v>29</v>
      </c>
      <c r="H1694" t="s">
        <v>67</v>
      </c>
      <c r="I1694">
        <v>11</v>
      </c>
      <c r="J1694" t="s">
        <v>3466</v>
      </c>
      <c r="K1694">
        <v>52</v>
      </c>
      <c r="L1694" t="s">
        <v>80</v>
      </c>
      <c r="M1694">
        <v>2</v>
      </c>
      <c r="N1694" t="s">
        <v>33</v>
      </c>
      <c r="O1694" t="s">
        <v>34</v>
      </c>
      <c r="P1694" t="s">
        <v>70</v>
      </c>
      <c r="Q1694" s="2">
        <v>21848.86</v>
      </c>
      <c r="R1694" s="2">
        <v>2062.41</v>
      </c>
      <c r="S1694" t="s">
        <v>115</v>
      </c>
      <c r="T1694" t="s">
        <v>71</v>
      </c>
      <c r="U1694" t="s">
        <v>75</v>
      </c>
      <c r="V1694">
        <v>1.1000000000000001</v>
      </c>
      <c r="W1694" t="s">
        <v>124</v>
      </c>
      <c r="X1694" t="s">
        <v>40</v>
      </c>
      <c r="Y1694" t="s">
        <v>41</v>
      </c>
    </row>
    <row r="1695" spans="1:25" x14ac:dyDescent="0.3">
      <c r="A1695" t="s">
        <v>3467</v>
      </c>
      <c r="B1695" s="1">
        <v>46619</v>
      </c>
      <c r="C1695" t="s">
        <v>117</v>
      </c>
      <c r="D1695" t="s">
        <v>4083</v>
      </c>
      <c r="E1695" t="s">
        <v>45</v>
      </c>
      <c r="F1695" t="s">
        <v>28</v>
      </c>
      <c r="G1695" t="s">
        <v>29</v>
      </c>
      <c r="H1695" t="s">
        <v>67</v>
      </c>
      <c r="I1695">
        <v>12</v>
      </c>
      <c r="J1695" t="s">
        <v>3468</v>
      </c>
      <c r="K1695">
        <v>25</v>
      </c>
      <c r="L1695" t="s">
        <v>80</v>
      </c>
      <c r="M1695">
        <v>3</v>
      </c>
      <c r="N1695" t="s">
        <v>48</v>
      </c>
      <c r="O1695" t="s">
        <v>34</v>
      </c>
      <c r="P1695" t="s">
        <v>35</v>
      </c>
      <c r="Q1695" s="2">
        <v>14329.07</v>
      </c>
      <c r="R1695" s="2">
        <v>4707.71</v>
      </c>
      <c r="S1695" t="s">
        <v>115</v>
      </c>
      <c r="T1695" t="s">
        <v>37</v>
      </c>
      <c r="U1695" t="s">
        <v>38</v>
      </c>
      <c r="V1695">
        <v>4.5999999999999996</v>
      </c>
      <c r="W1695" t="s">
        <v>103</v>
      </c>
      <c r="X1695" t="s">
        <v>65</v>
      </c>
      <c r="Y1695" t="s">
        <v>41</v>
      </c>
    </row>
    <row r="1696" spans="1:25" x14ac:dyDescent="0.3">
      <c r="A1696" t="s">
        <v>3469</v>
      </c>
      <c r="B1696" s="1">
        <v>46620</v>
      </c>
      <c r="C1696" t="s">
        <v>43</v>
      </c>
      <c r="D1696" t="s">
        <v>58</v>
      </c>
      <c r="E1696" t="s">
        <v>4085</v>
      </c>
      <c r="F1696" t="s">
        <v>60</v>
      </c>
      <c r="G1696" t="s">
        <v>29</v>
      </c>
      <c r="H1696" t="s">
        <v>46</v>
      </c>
      <c r="I1696">
        <v>14</v>
      </c>
      <c r="J1696" t="s">
        <v>3470</v>
      </c>
      <c r="K1696">
        <v>67</v>
      </c>
      <c r="L1696" t="s">
        <v>32</v>
      </c>
      <c r="M1696">
        <v>7</v>
      </c>
      <c r="N1696" t="s">
        <v>48</v>
      </c>
      <c r="O1696" t="s">
        <v>49</v>
      </c>
      <c r="P1696" t="s">
        <v>50</v>
      </c>
      <c r="Q1696" s="2">
        <v>47264.32</v>
      </c>
      <c r="R1696" s="2">
        <v>2583.84</v>
      </c>
      <c r="S1696" t="s">
        <v>51</v>
      </c>
      <c r="T1696" t="s">
        <v>37</v>
      </c>
      <c r="U1696" t="s">
        <v>75</v>
      </c>
      <c r="V1696">
        <v>3.7</v>
      </c>
      <c r="W1696" t="s">
        <v>54</v>
      </c>
      <c r="X1696" t="s">
        <v>55</v>
      </c>
      <c r="Y1696" t="s">
        <v>72</v>
      </c>
    </row>
    <row r="1697" spans="1:25" x14ac:dyDescent="0.3">
      <c r="A1697" t="s">
        <v>3471</v>
      </c>
      <c r="B1697" s="1">
        <v>46621</v>
      </c>
      <c r="C1697" t="s">
        <v>78</v>
      </c>
      <c r="D1697" t="s">
        <v>58</v>
      </c>
      <c r="E1697" t="s">
        <v>120</v>
      </c>
      <c r="F1697" t="s">
        <v>28</v>
      </c>
      <c r="G1697" t="s">
        <v>29</v>
      </c>
      <c r="H1697" t="s">
        <v>86</v>
      </c>
      <c r="I1697">
        <v>6</v>
      </c>
      <c r="J1697" t="s">
        <v>3472</v>
      </c>
      <c r="K1697">
        <v>66</v>
      </c>
      <c r="L1697" t="s">
        <v>32</v>
      </c>
      <c r="M1697">
        <v>4</v>
      </c>
      <c r="N1697" t="s">
        <v>64</v>
      </c>
      <c r="O1697" t="s">
        <v>34</v>
      </c>
      <c r="P1697" t="s">
        <v>82</v>
      </c>
      <c r="Q1697" s="2">
        <v>36377.35</v>
      </c>
      <c r="R1697" s="2">
        <v>2612.58</v>
      </c>
      <c r="S1697" t="s">
        <v>36</v>
      </c>
      <c r="T1697" t="s">
        <v>52</v>
      </c>
      <c r="U1697" t="s">
        <v>53</v>
      </c>
      <c r="V1697">
        <v>3</v>
      </c>
      <c r="W1697" t="s">
        <v>76</v>
      </c>
      <c r="X1697" t="s">
        <v>84</v>
      </c>
      <c r="Y1697" t="s">
        <v>41</v>
      </c>
    </row>
    <row r="1698" spans="1:25" x14ac:dyDescent="0.3">
      <c r="A1698" t="s">
        <v>3473</v>
      </c>
      <c r="B1698" s="1">
        <v>46622</v>
      </c>
      <c r="C1698" t="s">
        <v>43</v>
      </c>
      <c r="D1698" t="s">
        <v>58</v>
      </c>
      <c r="E1698" t="s">
        <v>4084</v>
      </c>
      <c r="F1698" t="s">
        <v>60</v>
      </c>
      <c r="G1698" t="s">
        <v>29</v>
      </c>
      <c r="H1698" t="s">
        <v>27</v>
      </c>
      <c r="I1698">
        <v>7</v>
      </c>
      <c r="J1698" t="s">
        <v>3474</v>
      </c>
      <c r="K1698">
        <v>60</v>
      </c>
      <c r="L1698" t="s">
        <v>80</v>
      </c>
      <c r="M1698">
        <v>4</v>
      </c>
      <c r="N1698" t="s">
        <v>91</v>
      </c>
      <c r="O1698" t="s">
        <v>81</v>
      </c>
      <c r="P1698" t="s">
        <v>82</v>
      </c>
      <c r="Q1698" s="2">
        <v>7287.47</v>
      </c>
      <c r="R1698" s="2">
        <v>3001.1</v>
      </c>
      <c r="S1698" t="s">
        <v>115</v>
      </c>
      <c r="T1698" t="s">
        <v>37</v>
      </c>
      <c r="U1698" t="s">
        <v>53</v>
      </c>
      <c r="V1698">
        <v>3.3</v>
      </c>
      <c r="W1698" t="s">
        <v>76</v>
      </c>
      <c r="X1698" t="s">
        <v>40</v>
      </c>
      <c r="Y1698" t="s">
        <v>41</v>
      </c>
    </row>
    <row r="1699" spans="1:25" x14ac:dyDescent="0.3">
      <c r="A1699" t="s">
        <v>3475</v>
      </c>
      <c r="B1699" s="1">
        <v>46623</v>
      </c>
      <c r="C1699" t="s">
        <v>26</v>
      </c>
      <c r="D1699" t="s">
        <v>26</v>
      </c>
      <c r="E1699" t="s">
        <v>4085</v>
      </c>
      <c r="F1699" t="s">
        <v>60</v>
      </c>
      <c r="G1699" t="s">
        <v>29</v>
      </c>
      <c r="H1699" t="s">
        <v>46</v>
      </c>
      <c r="I1699">
        <v>6</v>
      </c>
      <c r="J1699" t="s">
        <v>3476</v>
      </c>
      <c r="K1699">
        <v>51</v>
      </c>
      <c r="L1699" t="s">
        <v>63</v>
      </c>
      <c r="M1699">
        <v>5</v>
      </c>
      <c r="N1699" t="s">
        <v>91</v>
      </c>
      <c r="O1699" t="s">
        <v>49</v>
      </c>
      <c r="P1699" t="s">
        <v>35</v>
      </c>
      <c r="Q1699" s="2">
        <v>18184.48</v>
      </c>
      <c r="R1699" s="2">
        <v>1341.66</v>
      </c>
      <c r="S1699" t="s">
        <v>36</v>
      </c>
      <c r="T1699" t="s">
        <v>52</v>
      </c>
      <c r="U1699" t="s">
        <v>53</v>
      </c>
      <c r="V1699">
        <v>4.4000000000000004</v>
      </c>
      <c r="W1699" t="s">
        <v>54</v>
      </c>
      <c r="X1699" t="s">
        <v>106</v>
      </c>
      <c r="Y1699" t="s">
        <v>72</v>
      </c>
    </row>
    <row r="1700" spans="1:25" x14ac:dyDescent="0.3">
      <c r="A1700" t="s">
        <v>3477</v>
      </c>
      <c r="B1700" s="1">
        <v>46624</v>
      </c>
      <c r="C1700" t="s">
        <v>43</v>
      </c>
      <c r="D1700" t="s">
        <v>58</v>
      </c>
      <c r="E1700" t="s">
        <v>4085</v>
      </c>
      <c r="F1700" t="s">
        <v>60</v>
      </c>
      <c r="G1700" t="s">
        <v>29</v>
      </c>
      <c r="H1700" t="s">
        <v>46</v>
      </c>
      <c r="I1700">
        <v>4</v>
      </c>
      <c r="J1700" t="s">
        <v>3478</v>
      </c>
      <c r="K1700">
        <v>36</v>
      </c>
      <c r="L1700" t="s">
        <v>80</v>
      </c>
      <c r="M1700">
        <v>4</v>
      </c>
      <c r="N1700" t="s">
        <v>91</v>
      </c>
      <c r="O1700" t="s">
        <v>49</v>
      </c>
      <c r="P1700" t="s">
        <v>82</v>
      </c>
      <c r="Q1700" s="2">
        <v>7259.72</v>
      </c>
      <c r="R1700" s="2">
        <v>1916.8</v>
      </c>
      <c r="S1700" t="s">
        <v>36</v>
      </c>
      <c r="T1700" t="s">
        <v>37</v>
      </c>
      <c r="U1700" t="s">
        <v>75</v>
      </c>
      <c r="V1700">
        <v>4.8</v>
      </c>
      <c r="W1700" t="s">
        <v>103</v>
      </c>
      <c r="X1700" t="s">
        <v>55</v>
      </c>
      <c r="Y1700" t="s">
        <v>72</v>
      </c>
    </row>
    <row r="1701" spans="1:25" x14ac:dyDescent="0.3">
      <c r="A1701" t="s">
        <v>3479</v>
      </c>
      <c r="B1701" s="1">
        <v>46625</v>
      </c>
      <c r="C1701" t="s">
        <v>26</v>
      </c>
      <c r="D1701" t="s">
        <v>26</v>
      </c>
      <c r="E1701" t="s">
        <v>120</v>
      </c>
      <c r="F1701" t="s">
        <v>28</v>
      </c>
      <c r="G1701" t="s">
        <v>29</v>
      </c>
      <c r="H1701" t="s">
        <v>86</v>
      </c>
      <c r="I1701">
        <v>14</v>
      </c>
      <c r="J1701" t="s">
        <v>3480</v>
      </c>
      <c r="K1701">
        <v>24</v>
      </c>
      <c r="L1701" t="s">
        <v>32</v>
      </c>
      <c r="M1701">
        <v>1</v>
      </c>
      <c r="N1701" t="s">
        <v>48</v>
      </c>
      <c r="O1701" t="s">
        <v>49</v>
      </c>
      <c r="P1701" t="s">
        <v>82</v>
      </c>
      <c r="Q1701" s="2">
        <v>42350.75</v>
      </c>
      <c r="R1701" s="2">
        <v>2766.19</v>
      </c>
      <c r="S1701" t="s">
        <v>115</v>
      </c>
      <c r="T1701" t="s">
        <v>71</v>
      </c>
      <c r="U1701" t="s">
        <v>75</v>
      </c>
      <c r="V1701">
        <v>3.2</v>
      </c>
      <c r="W1701" t="s">
        <v>76</v>
      </c>
      <c r="X1701" t="s">
        <v>65</v>
      </c>
      <c r="Y1701" t="s">
        <v>72</v>
      </c>
    </row>
    <row r="1702" spans="1:25" x14ac:dyDescent="0.3">
      <c r="A1702" t="s">
        <v>3481</v>
      </c>
      <c r="B1702" s="1">
        <v>46626</v>
      </c>
      <c r="C1702" t="s">
        <v>26</v>
      </c>
      <c r="D1702" t="s">
        <v>26</v>
      </c>
      <c r="E1702" t="s">
        <v>89</v>
      </c>
      <c r="F1702" t="s">
        <v>28</v>
      </c>
      <c r="G1702" t="s">
        <v>29</v>
      </c>
      <c r="H1702" t="s">
        <v>61</v>
      </c>
      <c r="I1702">
        <v>3</v>
      </c>
      <c r="J1702" t="s">
        <v>3482</v>
      </c>
      <c r="K1702">
        <v>48</v>
      </c>
      <c r="L1702" t="s">
        <v>80</v>
      </c>
      <c r="M1702">
        <v>1</v>
      </c>
      <c r="N1702" t="s">
        <v>33</v>
      </c>
      <c r="O1702" t="s">
        <v>69</v>
      </c>
      <c r="P1702" t="s">
        <v>70</v>
      </c>
      <c r="Q1702" s="2">
        <v>45783.34</v>
      </c>
      <c r="R1702" s="2">
        <v>4709.91</v>
      </c>
      <c r="S1702" t="s">
        <v>94</v>
      </c>
      <c r="T1702" t="s">
        <v>52</v>
      </c>
      <c r="U1702" t="s">
        <v>75</v>
      </c>
      <c r="V1702">
        <v>1.7</v>
      </c>
      <c r="W1702" t="s">
        <v>124</v>
      </c>
      <c r="X1702" t="s">
        <v>106</v>
      </c>
      <c r="Y1702" t="s">
        <v>41</v>
      </c>
    </row>
    <row r="1703" spans="1:25" x14ac:dyDescent="0.3">
      <c r="A1703" t="s">
        <v>3483</v>
      </c>
      <c r="B1703" s="1">
        <v>46627</v>
      </c>
      <c r="C1703" t="s">
        <v>26</v>
      </c>
      <c r="D1703" t="s">
        <v>26</v>
      </c>
      <c r="E1703" t="s">
        <v>4085</v>
      </c>
      <c r="F1703" t="s">
        <v>60</v>
      </c>
      <c r="G1703" t="s">
        <v>29</v>
      </c>
      <c r="H1703" t="s">
        <v>46</v>
      </c>
      <c r="I1703">
        <v>10</v>
      </c>
      <c r="J1703" t="s">
        <v>3484</v>
      </c>
      <c r="K1703">
        <v>35</v>
      </c>
      <c r="L1703" t="s">
        <v>80</v>
      </c>
      <c r="M1703">
        <v>2</v>
      </c>
      <c r="N1703" t="s">
        <v>48</v>
      </c>
      <c r="O1703" t="s">
        <v>49</v>
      </c>
      <c r="P1703" t="s">
        <v>70</v>
      </c>
      <c r="Q1703" s="2">
        <v>10052.58</v>
      </c>
      <c r="R1703" s="2">
        <v>3213.46</v>
      </c>
      <c r="S1703" t="s">
        <v>94</v>
      </c>
      <c r="T1703" t="s">
        <v>37</v>
      </c>
      <c r="U1703" t="s">
        <v>53</v>
      </c>
      <c r="V1703">
        <v>3.6</v>
      </c>
      <c r="W1703" t="s">
        <v>54</v>
      </c>
      <c r="X1703" t="s">
        <v>65</v>
      </c>
      <c r="Y1703" t="s">
        <v>72</v>
      </c>
    </row>
    <row r="1704" spans="1:25" x14ac:dyDescent="0.3">
      <c r="A1704" t="s">
        <v>3485</v>
      </c>
      <c r="B1704" s="1">
        <v>46628</v>
      </c>
      <c r="C1704" t="s">
        <v>26</v>
      </c>
      <c r="D1704" t="s">
        <v>26</v>
      </c>
      <c r="E1704" t="s">
        <v>89</v>
      </c>
      <c r="F1704" t="s">
        <v>28</v>
      </c>
      <c r="G1704" t="s">
        <v>29</v>
      </c>
      <c r="H1704" t="s">
        <v>61</v>
      </c>
      <c r="I1704">
        <v>6</v>
      </c>
      <c r="J1704" t="s">
        <v>3486</v>
      </c>
      <c r="K1704">
        <v>57</v>
      </c>
      <c r="L1704" t="s">
        <v>63</v>
      </c>
      <c r="M1704">
        <v>2</v>
      </c>
      <c r="N1704" t="s">
        <v>33</v>
      </c>
      <c r="O1704" t="s">
        <v>49</v>
      </c>
      <c r="P1704" t="s">
        <v>35</v>
      </c>
      <c r="Q1704" s="2">
        <v>24813.05</v>
      </c>
      <c r="R1704" s="2">
        <v>1665.58</v>
      </c>
      <c r="S1704" t="s">
        <v>36</v>
      </c>
      <c r="T1704" t="s">
        <v>52</v>
      </c>
      <c r="U1704" t="s">
        <v>53</v>
      </c>
      <c r="V1704">
        <v>1.3</v>
      </c>
      <c r="W1704" t="s">
        <v>124</v>
      </c>
      <c r="X1704" t="s">
        <v>40</v>
      </c>
      <c r="Y1704" t="s">
        <v>72</v>
      </c>
    </row>
    <row r="1705" spans="1:25" x14ac:dyDescent="0.3">
      <c r="A1705" t="s">
        <v>3487</v>
      </c>
      <c r="B1705" s="1">
        <v>46629</v>
      </c>
      <c r="C1705" t="s">
        <v>26</v>
      </c>
      <c r="D1705" t="s">
        <v>26</v>
      </c>
      <c r="E1705" t="s">
        <v>89</v>
      </c>
      <c r="F1705" t="s">
        <v>28</v>
      </c>
      <c r="G1705" t="s">
        <v>29</v>
      </c>
      <c r="H1705" t="s">
        <v>61</v>
      </c>
      <c r="I1705">
        <v>7</v>
      </c>
      <c r="J1705" t="s">
        <v>3488</v>
      </c>
      <c r="K1705">
        <v>31</v>
      </c>
      <c r="L1705" t="s">
        <v>80</v>
      </c>
      <c r="M1705">
        <v>7</v>
      </c>
      <c r="N1705" t="s">
        <v>48</v>
      </c>
      <c r="O1705" t="s">
        <v>49</v>
      </c>
      <c r="P1705" t="s">
        <v>82</v>
      </c>
      <c r="Q1705" s="2">
        <v>46934.75</v>
      </c>
      <c r="R1705" s="2">
        <v>52.34</v>
      </c>
      <c r="S1705" t="s">
        <v>51</v>
      </c>
      <c r="T1705" t="s">
        <v>71</v>
      </c>
      <c r="U1705" t="s">
        <v>53</v>
      </c>
      <c r="V1705">
        <v>3.5</v>
      </c>
      <c r="W1705" t="s">
        <v>54</v>
      </c>
      <c r="X1705" t="s">
        <v>55</v>
      </c>
      <c r="Y1705" t="s">
        <v>41</v>
      </c>
    </row>
    <row r="1706" spans="1:25" x14ac:dyDescent="0.3">
      <c r="A1706" t="s">
        <v>3489</v>
      </c>
      <c r="B1706" s="1">
        <v>46630</v>
      </c>
      <c r="C1706" t="s">
        <v>78</v>
      </c>
      <c r="D1706" t="s">
        <v>58</v>
      </c>
      <c r="E1706" t="s">
        <v>45</v>
      </c>
      <c r="F1706" t="s">
        <v>28</v>
      </c>
      <c r="G1706" t="s">
        <v>29</v>
      </c>
      <c r="H1706" t="s">
        <v>67</v>
      </c>
      <c r="I1706">
        <v>8</v>
      </c>
      <c r="J1706" t="s">
        <v>3490</v>
      </c>
      <c r="K1706">
        <v>56</v>
      </c>
      <c r="L1706" t="s">
        <v>80</v>
      </c>
      <c r="M1706">
        <v>2</v>
      </c>
      <c r="N1706" t="s">
        <v>91</v>
      </c>
      <c r="O1706" t="s">
        <v>69</v>
      </c>
      <c r="P1706" t="s">
        <v>50</v>
      </c>
      <c r="Q1706" s="2">
        <v>11534.53</v>
      </c>
      <c r="R1706" s="2">
        <v>4908.33</v>
      </c>
      <c r="S1706" t="s">
        <v>36</v>
      </c>
      <c r="T1706" t="s">
        <v>37</v>
      </c>
      <c r="U1706" t="s">
        <v>75</v>
      </c>
      <c r="V1706">
        <v>4.2</v>
      </c>
      <c r="W1706" t="s">
        <v>39</v>
      </c>
      <c r="X1706" t="s">
        <v>65</v>
      </c>
      <c r="Y1706" t="s">
        <v>41</v>
      </c>
    </row>
    <row r="1707" spans="1:25" x14ac:dyDescent="0.3">
      <c r="A1707" t="s">
        <v>3491</v>
      </c>
      <c r="B1707" s="1">
        <v>46631</v>
      </c>
      <c r="C1707" t="s">
        <v>117</v>
      </c>
      <c r="D1707" t="s">
        <v>4083</v>
      </c>
      <c r="E1707" t="s">
        <v>120</v>
      </c>
      <c r="F1707" t="s">
        <v>28</v>
      </c>
      <c r="G1707" t="s">
        <v>29</v>
      </c>
      <c r="H1707" t="s">
        <v>86</v>
      </c>
      <c r="I1707">
        <v>10</v>
      </c>
      <c r="J1707" t="s">
        <v>3492</v>
      </c>
      <c r="K1707">
        <v>53</v>
      </c>
      <c r="L1707" t="s">
        <v>80</v>
      </c>
      <c r="M1707">
        <v>1</v>
      </c>
      <c r="N1707" t="s">
        <v>91</v>
      </c>
      <c r="O1707" t="s">
        <v>34</v>
      </c>
      <c r="P1707" t="s">
        <v>70</v>
      </c>
      <c r="Q1707" s="2">
        <v>18135.66</v>
      </c>
      <c r="R1707" s="2">
        <v>2464.92</v>
      </c>
      <c r="S1707" t="s">
        <v>36</v>
      </c>
      <c r="T1707" t="s">
        <v>37</v>
      </c>
      <c r="U1707" t="s">
        <v>75</v>
      </c>
      <c r="V1707">
        <v>2.4</v>
      </c>
      <c r="W1707" t="s">
        <v>76</v>
      </c>
      <c r="X1707" t="s">
        <v>106</v>
      </c>
      <c r="Y1707" t="s">
        <v>41</v>
      </c>
    </row>
    <row r="1708" spans="1:25" x14ac:dyDescent="0.3">
      <c r="A1708" t="s">
        <v>3493</v>
      </c>
      <c r="B1708" s="1">
        <v>46632</v>
      </c>
      <c r="C1708" t="s">
        <v>57</v>
      </c>
      <c r="D1708" t="s">
        <v>44</v>
      </c>
      <c r="E1708" t="s">
        <v>89</v>
      </c>
      <c r="F1708" t="s">
        <v>28</v>
      </c>
      <c r="G1708" t="s">
        <v>29</v>
      </c>
      <c r="H1708" t="s">
        <v>61</v>
      </c>
      <c r="I1708">
        <v>13</v>
      </c>
      <c r="J1708" t="s">
        <v>3494</v>
      </c>
      <c r="K1708">
        <v>34</v>
      </c>
      <c r="L1708" t="s">
        <v>32</v>
      </c>
      <c r="M1708">
        <v>6</v>
      </c>
      <c r="N1708" t="s">
        <v>91</v>
      </c>
      <c r="O1708" t="s">
        <v>69</v>
      </c>
      <c r="P1708" t="s">
        <v>50</v>
      </c>
      <c r="Q1708" s="2">
        <v>18692.36</v>
      </c>
      <c r="R1708" s="2">
        <v>4692.4799999999996</v>
      </c>
      <c r="S1708" t="s">
        <v>94</v>
      </c>
      <c r="T1708" t="s">
        <v>71</v>
      </c>
      <c r="U1708" t="s">
        <v>38</v>
      </c>
      <c r="V1708">
        <v>1.3</v>
      </c>
      <c r="W1708" t="s">
        <v>124</v>
      </c>
      <c r="X1708" t="s">
        <v>106</v>
      </c>
      <c r="Y1708" t="s">
        <v>72</v>
      </c>
    </row>
    <row r="1709" spans="1:25" x14ac:dyDescent="0.3">
      <c r="A1709" t="s">
        <v>3495</v>
      </c>
      <c r="B1709" s="1">
        <v>46633</v>
      </c>
      <c r="C1709" t="s">
        <v>117</v>
      </c>
      <c r="D1709" t="s">
        <v>4083</v>
      </c>
      <c r="E1709" t="s">
        <v>120</v>
      </c>
      <c r="F1709" t="s">
        <v>28</v>
      </c>
      <c r="G1709" t="s">
        <v>29</v>
      </c>
      <c r="H1709" t="s">
        <v>86</v>
      </c>
      <c r="I1709">
        <v>10</v>
      </c>
      <c r="J1709" t="s">
        <v>3496</v>
      </c>
      <c r="K1709">
        <v>54</v>
      </c>
      <c r="L1709" t="s">
        <v>32</v>
      </c>
      <c r="M1709">
        <v>6</v>
      </c>
      <c r="N1709" t="s">
        <v>64</v>
      </c>
      <c r="O1709" t="s">
        <v>81</v>
      </c>
      <c r="P1709" t="s">
        <v>50</v>
      </c>
      <c r="Q1709" s="2">
        <v>6352.62</v>
      </c>
      <c r="R1709" s="2">
        <v>2746.73</v>
      </c>
      <c r="S1709" t="s">
        <v>115</v>
      </c>
      <c r="T1709" t="s">
        <v>37</v>
      </c>
      <c r="U1709" t="s">
        <v>83</v>
      </c>
      <c r="V1709">
        <v>3.8</v>
      </c>
      <c r="W1709" t="s">
        <v>39</v>
      </c>
      <c r="X1709" t="s">
        <v>84</v>
      </c>
      <c r="Y1709" t="s">
        <v>41</v>
      </c>
    </row>
    <row r="1710" spans="1:25" x14ac:dyDescent="0.3">
      <c r="A1710" t="s">
        <v>3497</v>
      </c>
      <c r="B1710" s="1">
        <v>46634</v>
      </c>
      <c r="C1710" t="s">
        <v>26</v>
      </c>
      <c r="D1710" t="s">
        <v>26</v>
      </c>
      <c r="E1710" t="s">
        <v>45</v>
      </c>
      <c r="F1710" t="s">
        <v>28</v>
      </c>
      <c r="G1710" t="s">
        <v>29</v>
      </c>
      <c r="H1710" t="s">
        <v>67</v>
      </c>
      <c r="I1710">
        <v>9</v>
      </c>
      <c r="J1710" t="s">
        <v>3498</v>
      </c>
      <c r="K1710">
        <v>61</v>
      </c>
      <c r="L1710" t="s">
        <v>63</v>
      </c>
      <c r="M1710">
        <v>2</v>
      </c>
      <c r="N1710" t="s">
        <v>64</v>
      </c>
      <c r="O1710" t="s">
        <v>49</v>
      </c>
      <c r="P1710" t="s">
        <v>35</v>
      </c>
      <c r="Q1710" s="2">
        <v>6632.3</v>
      </c>
      <c r="R1710" s="2">
        <v>3027.32</v>
      </c>
      <c r="S1710" t="s">
        <v>115</v>
      </c>
      <c r="T1710" t="s">
        <v>37</v>
      </c>
      <c r="U1710" t="s">
        <v>53</v>
      </c>
      <c r="V1710">
        <v>2.4</v>
      </c>
      <c r="W1710" t="s">
        <v>76</v>
      </c>
      <c r="X1710" t="s">
        <v>65</v>
      </c>
      <c r="Y1710" t="s">
        <v>72</v>
      </c>
    </row>
    <row r="1711" spans="1:25" x14ac:dyDescent="0.3">
      <c r="A1711" t="s">
        <v>3499</v>
      </c>
      <c r="B1711" s="1">
        <v>46635</v>
      </c>
      <c r="C1711" t="s">
        <v>78</v>
      </c>
      <c r="D1711" t="s">
        <v>58</v>
      </c>
      <c r="E1711" t="s">
        <v>120</v>
      </c>
      <c r="F1711" t="s">
        <v>28</v>
      </c>
      <c r="G1711" t="s">
        <v>29</v>
      </c>
      <c r="H1711" t="s">
        <v>86</v>
      </c>
      <c r="I1711">
        <v>6</v>
      </c>
      <c r="J1711" t="s">
        <v>3500</v>
      </c>
      <c r="K1711">
        <v>26</v>
      </c>
      <c r="L1711" t="s">
        <v>80</v>
      </c>
      <c r="M1711">
        <v>2</v>
      </c>
      <c r="N1711" t="s">
        <v>33</v>
      </c>
      <c r="O1711" t="s">
        <v>81</v>
      </c>
      <c r="P1711" t="s">
        <v>35</v>
      </c>
      <c r="Q1711" s="2">
        <v>47875.68</v>
      </c>
      <c r="R1711" s="2">
        <v>3559.56</v>
      </c>
      <c r="S1711" t="s">
        <v>51</v>
      </c>
      <c r="T1711" t="s">
        <v>52</v>
      </c>
      <c r="U1711" t="s">
        <v>75</v>
      </c>
      <c r="V1711">
        <v>2</v>
      </c>
      <c r="W1711" t="s">
        <v>76</v>
      </c>
      <c r="X1711" t="s">
        <v>55</v>
      </c>
      <c r="Y1711" t="s">
        <v>72</v>
      </c>
    </row>
    <row r="1712" spans="1:25" x14ac:dyDescent="0.3">
      <c r="A1712" t="s">
        <v>3501</v>
      </c>
      <c r="B1712" s="1">
        <v>46636</v>
      </c>
      <c r="C1712" t="s">
        <v>43</v>
      </c>
      <c r="D1712" t="s">
        <v>58</v>
      </c>
      <c r="E1712" t="s">
        <v>4085</v>
      </c>
      <c r="F1712" t="s">
        <v>60</v>
      </c>
      <c r="G1712" t="s">
        <v>29</v>
      </c>
      <c r="H1712" t="s">
        <v>59</v>
      </c>
      <c r="I1712">
        <v>8</v>
      </c>
      <c r="J1712" t="s">
        <v>3502</v>
      </c>
      <c r="K1712">
        <v>37</v>
      </c>
      <c r="L1712" t="s">
        <v>32</v>
      </c>
      <c r="M1712">
        <v>1</v>
      </c>
      <c r="N1712" t="s">
        <v>64</v>
      </c>
      <c r="O1712" t="s">
        <v>69</v>
      </c>
      <c r="P1712" t="s">
        <v>82</v>
      </c>
      <c r="Q1712" s="2">
        <v>30699.17</v>
      </c>
      <c r="R1712" s="2">
        <v>1604.88</v>
      </c>
      <c r="S1712" t="s">
        <v>94</v>
      </c>
      <c r="T1712" t="s">
        <v>37</v>
      </c>
      <c r="U1712" t="s">
        <v>83</v>
      </c>
      <c r="V1712">
        <v>3.8</v>
      </c>
      <c r="W1712" t="s">
        <v>54</v>
      </c>
      <c r="X1712" t="s">
        <v>55</v>
      </c>
      <c r="Y1712" t="s">
        <v>72</v>
      </c>
    </row>
    <row r="1713" spans="1:25" x14ac:dyDescent="0.3">
      <c r="A1713" t="s">
        <v>3503</v>
      </c>
      <c r="B1713" s="1">
        <v>46637</v>
      </c>
      <c r="C1713" t="s">
        <v>78</v>
      </c>
      <c r="D1713" t="s">
        <v>58</v>
      </c>
      <c r="E1713" t="s">
        <v>89</v>
      </c>
      <c r="F1713" t="s">
        <v>28</v>
      </c>
      <c r="G1713" t="s">
        <v>29</v>
      </c>
      <c r="H1713" t="s">
        <v>61</v>
      </c>
      <c r="I1713">
        <v>6</v>
      </c>
      <c r="J1713" t="s">
        <v>3504</v>
      </c>
      <c r="K1713">
        <v>62</v>
      </c>
      <c r="L1713" t="s">
        <v>63</v>
      </c>
      <c r="M1713">
        <v>5</v>
      </c>
      <c r="N1713" t="s">
        <v>48</v>
      </c>
      <c r="O1713" t="s">
        <v>34</v>
      </c>
      <c r="P1713" t="s">
        <v>35</v>
      </c>
      <c r="Q1713" s="2">
        <v>18799.169999999998</v>
      </c>
      <c r="R1713" s="2">
        <v>3494.92</v>
      </c>
      <c r="S1713" t="s">
        <v>94</v>
      </c>
      <c r="T1713" t="s">
        <v>71</v>
      </c>
      <c r="U1713" t="s">
        <v>75</v>
      </c>
      <c r="V1713">
        <v>4.9000000000000004</v>
      </c>
      <c r="W1713" t="s">
        <v>103</v>
      </c>
      <c r="X1713" t="s">
        <v>84</v>
      </c>
      <c r="Y1713" t="s">
        <v>72</v>
      </c>
    </row>
    <row r="1714" spans="1:25" x14ac:dyDescent="0.3">
      <c r="A1714" t="s">
        <v>3505</v>
      </c>
      <c r="B1714" s="1">
        <v>46638</v>
      </c>
      <c r="C1714" t="s">
        <v>26</v>
      </c>
      <c r="D1714" t="s">
        <v>26</v>
      </c>
      <c r="E1714" t="s">
        <v>120</v>
      </c>
      <c r="F1714" t="s">
        <v>28</v>
      </c>
      <c r="G1714" t="s">
        <v>29</v>
      </c>
      <c r="H1714" t="s">
        <v>86</v>
      </c>
      <c r="I1714">
        <v>9</v>
      </c>
      <c r="J1714" t="s">
        <v>3506</v>
      </c>
      <c r="K1714">
        <v>45</v>
      </c>
      <c r="L1714" t="s">
        <v>80</v>
      </c>
      <c r="M1714">
        <v>7</v>
      </c>
      <c r="N1714" t="s">
        <v>48</v>
      </c>
      <c r="O1714" t="s">
        <v>34</v>
      </c>
      <c r="P1714" t="s">
        <v>70</v>
      </c>
      <c r="Q1714" s="2">
        <v>22040.36</v>
      </c>
      <c r="R1714" s="2">
        <v>2633.96</v>
      </c>
      <c r="S1714" t="s">
        <v>36</v>
      </c>
      <c r="T1714" t="s">
        <v>37</v>
      </c>
      <c r="U1714" t="s">
        <v>75</v>
      </c>
      <c r="V1714">
        <v>4</v>
      </c>
      <c r="W1714" t="s">
        <v>54</v>
      </c>
      <c r="X1714" t="s">
        <v>106</v>
      </c>
      <c r="Y1714" t="s">
        <v>41</v>
      </c>
    </row>
    <row r="1715" spans="1:25" x14ac:dyDescent="0.3">
      <c r="A1715" t="s">
        <v>3507</v>
      </c>
      <c r="B1715" s="1">
        <v>46639</v>
      </c>
      <c r="C1715" t="s">
        <v>78</v>
      </c>
      <c r="D1715" t="s">
        <v>58</v>
      </c>
      <c r="E1715" t="s">
        <v>4084</v>
      </c>
      <c r="F1715" t="s">
        <v>60</v>
      </c>
      <c r="G1715" t="s">
        <v>29</v>
      </c>
      <c r="H1715" t="s">
        <v>30</v>
      </c>
      <c r="I1715">
        <v>14</v>
      </c>
      <c r="J1715" t="s">
        <v>3508</v>
      </c>
      <c r="K1715">
        <v>67</v>
      </c>
      <c r="L1715" t="s">
        <v>63</v>
      </c>
      <c r="M1715">
        <v>4</v>
      </c>
      <c r="N1715" t="s">
        <v>33</v>
      </c>
      <c r="O1715" t="s">
        <v>49</v>
      </c>
      <c r="P1715" t="s">
        <v>82</v>
      </c>
      <c r="Q1715" s="2">
        <v>37167.93</v>
      </c>
      <c r="R1715" s="2">
        <v>3362.4</v>
      </c>
      <c r="S1715" t="s">
        <v>94</v>
      </c>
      <c r="T1715" t="s">
        <v>52</v>
      </c>
      <c r="U1715" t="s">
        <v>53</v>
      </c>
      <c r="V1715">
        <v>3</v>
      </c>
      <c r="W1715" t="s">
        <v>76</v>
      </c>
      <c r="X1715" t="s">
        <v>65</v>
      </c>
      <c r="Y1715" t="s">
        <v>41</v>
      </c>
    </row>
    <row r="1716" spans="1:25" x14ac:dyDescent="0.3">
      <c r="A1716" t="s">
        <v>3509</v>
      </c>
      <c r="B1716" s="1">
        <v>46640</v>
      </c>
      <c r="C1716" t="s">
        <v>78</v>
      </c>
      <c r="D1716" t="s">
        <v>58</v>
      </c>
      <c r="E1716" t="s">
        <v>120</v>
      </c>
      <c r="F1716" t="s">
        <v>28</v>
      </c>
      <c r="G1716" t="s">
        <v>29</v>
      </c>
      <c r="H1716" t="s">
        <v>86</v>
      </c>
      <c r="I1716">
        <v>14</v>
      </c>
      <c r="J1716" t="s">
        <v>3510</v>
      </c>
      <c r="K1716">
        <v>37</v>
      </c>
      <c r="L1716" t="s">
        <v>63</v>
      </c>
      <c r="M1716">
        <v>7</v>
      </c>
      <c r="N1716" t="s">
        <v>33</v>
      </c>
      <c r="O1716" t="s">
        <v>34</v>
      </c>
      <c r="P1716" t="s">
        <v>82</v>
      </c>
      <c r="Q1716" s="2">
        <v>21493.27</v>
      </c>
      <c r="R1716" s="2">
        <v>4179.17</v>
      </c>
      <c r="S1716" t="s">
        <v>36</v>
      </c>
      <c r="T1716" t="s">
        <v>37</v>
      </c>
      <c r="U1716" t="s">
        <v>83</v>
      </c>
      <c r="V1716">
        <v>3.4</v>
      </c>
      <c r="W1716" t="s">
        <v>76</v>
      </c>
      <c r="X1716" t="s">
        <v>106</v>
      </c>
      <c r="Y1716" t="s">
        <v>41</v>
      </c>
    </row>
    <row r="1717" spans="1:25" x14ac:dyDescent="0.3">
      <c r="A1717" t="s">
        <v>3511</v>
      </c>
      <c r="B1717" s="1">
        <v>46641</v>
      </c>
      <c r="C1717" t="s">
        <v>26</v>
      </c>
      <c r="D1717" t="s">
        <v>26</v>
      </c>
      <c r="E1717" t="s">
        <v>89</v>
      </c>
      <c r="F1717" t="s">
        <v>28</v>
      </c>
      <c r="G1717" t="s">
        <v>29</v>
      </c>
      <c r="H1717" t="s">
        <v>61</v>
      </c>
      <c r="I1717">
        <v>13</v>
      </c>
      <c r="J1717" t="s">
        <v>3512</v>
      </c>
      <c r="K1717">
        <v>58</v>
      </c>
      <c r="L1717" t="s">
        <v>63</v>
      </c>
      <c r="M1717">
        <v>3</v>
      </c>
      <c r="N1717" t="s">
        <v>91</v>
      </c>
      <c r="O1717" t="s">
        <v>69</v>
      </c>
      <c r="P1717" t="s">
        <v>50</v>
      </c>
      <c r="Q1717" s="2">
        <v>15249.22</v>
      </c>
      <c r="R1717" s="2">
        <v>921.15</v>
      </c>
      <c r="S1717" t="s">
        <v>51</v>
      </c>
      <c r="T1717" t="s">
        <v>52</v>
      </c>
      <c r="U1717" t="s">
        <v>75</v>
      </c>
      <c r="V1717">
        <v>1.6</v>
      </c>
      <c r="W1717" t="s">
        <v>124</v>
      </c>
      <c r="X1717" t="s">
        <v>65</v>
      </c>
      <c r="Y1717" t="s">
        <v>41</v>
      </c>
    </row>
    <row r="1718" spans="1:25" x14ac:dyDescent="0.3">
      <c r="A1718" t="s">
        <v>3513</v>
      </c>
      <c r="B1718" s="1">
        <v>46642</v>
      </c>
      <c r="C1718" t="s">
        <v>78</v>
      </c>
      <c r="D1718" t="s">
        <v>58</v>
      </c>
      <c r="E1718" t="s">
        <v>45</v>
      </c>
      <c r="F1718" t="s">
        <v>28</v>
      </c>
      <c r="G1718" t="s">
        <v>29</v>
      </c>
      <c r="H1718" t="s">
        <v>67</v>
      </c>
      <c r="I1718">
        <v>3</v>
      </c>
      <c r="J1718" t="s">
        <v>3514</v>
      </c>
      <c r="K1718">
        <v>53</v>
      </c>
      <c r="L1718" t="s">
        <v>63</v>
      </c>
      <c r="M1718">
        <v>6</v>
      </c>
      <c r="N1718" t="s">
        <v>64</v>
      </c>
      <c r="O1718" t="s">
        <v>69</v>
      </c>
      <c r="P1718" t="s">
        <v>50</v>
      </c>
      <c r="Q1718" s="2">
        <v>9582.68</v>
      </c>
      <c r="R1718" s="2">
        <v>3067.75</v>
      </c>
      <c r="S1718" t="s">
        <v>94</v>
      </c>
      <c r="T1718" t="s">
        <v>37</v>
      </c>
      <c r="U1718" t="s">
        <v>83</v>
      </c>
      <c r="V1718">
        <v>4.3</v>
      </c>
      <c r="W1718" t="s">
        <v>54</v>
      </c>
      <c r="X1718" t="s">
        <v>65</v>
      </c>
      <c r="Y1718" t="s">
        <v>72</v>
      </c>
    </row>
    <row r="1719" spans="1:25" x14ac:dyDescent="0.3">
      <c r="A1719" t="s">
        <v>3515</v>
      </c>
      <c r="B1719" s="1">
        <v>46643</v>
      </c>
      <c r="C1719" t="s">
        <v>57</v>
      </c>
      <c r="D1719" t="s">
        <v>44</v>
      </c>
      <c r="E1719" t="s">
        <v>45</v>
      </c>
      <c r="F1719" t="s">
        <v>28</v>
      </c>
      <c r="G1719" t="s">
        <v>29</v>
      </c>
      <c r="H1719" t="s">
        <v>67</v>
      </c>
      <c r="I1719">
        <v>7</v>
      </c>
      <c r="J1719" t="s">
        <v>3516</v>
      </c>
      <c r="K1719">
        <v>44</v>
      </c>
      <c r="L1719" t="s">
        <v>63</v>
      </c>
      <c r="M1719">
        <v>6</v>
      </c>
      <c r="N1719" t="s">
        <v>91</v>
      </c>
      <c r="O1719" t="s">
        <v>34</v>
      </c>
      <c r="P1719" t="s">
        <v>50</v>
      </c>
      <c r="Q1719" s="2">
        <v>37801.99</v>
      </c>
      <c r="R1719" s="2">
        <v>260.56</v>
      </c>
      <c r="S1719" t="s">
        <v>94</v>
      </c>
      <c r="T1719" t="s">
        <v>52</v>
      </c>
      <c r="U1719" t="s">
        <v>83</v>
      </c>
      <c r="V1719">
        <v>3.4</v>
      </c>
      <c r="W1719" t="s">
        <v>76</v>
      </c>
      <c r="X1719" t="s">
        <v>65</v>
      </c>
      <c r="Y1719" t="s">
        <v>41</v>
      </c>
    </row>
    <row r="1720" spans="1:25" x14ac:dyDescent="0.3">
      <c r="A1720" t="s">
        <v>3517</v>
      </c>
      <c r="B1720" s="1">
        <v>46644</v>
      </c>
      <c r="C1720" t="s">
        <v>57</v>
      </c>
      <c r="D1720" t="s">
        <v>44</v>
      </c>
      <c r="E1720" t="s">
        <v>89</v>
      </c>
      <c r="F1720" t="s">
        <v>28</v>
      </c>
      <c r="G1720" t="s">
        <v>29</v>
      </c>
      <c r="H1720" t="s">
        <v>61</v>
      </c>
      <c r="I1720">
        <v>12</v>
      </c>
      <c r="J1720" t="s">
        <v>3518</v>
      </c>
      <c r="K1720">
        <v>25</v>
      </c>
      <c r="L1720" t="s">
        <v>63</v>
      </c>
      <c r="M1720">
        <v>1</v>
      </c>
      <c r="N1720" t="s">
        <v>64</v>
      </c>
      <c r="O1720" t="s">
        <v>49</v>
      </c>
      <c r="P1720" t="s">
        <v>82</v>
      </c>
      <c r="Q1720" s="2">
        <v>13125.43</v>
      </c>
      <c r="R1720" s="2">
        <v>510.58</v>
      </c>
      <c r="S1720" t="s">
        <v>36</v>
      </c>
      <c r="T1720" t="s">
        <v>52</v>
      </c>
      <c r="U1720" t="s">
        <v>53</v>
      </c>
      <c r="V1720">
        <v>4.9000000000000004</v>
      </c>
      <c r="W1720" t="s">
        <v>103</v>
      </c>
      <c r="X1720" t="s">
        <v>106</v>
      </c>
      <c r="Y1720" t="s">
        <v>72</v>
      </c>
    </row>
    <row r="1721" spans="1:25" x14ac:dyDescent="0.3">
      <c r="A1721" t="s">
        <v>3519</v>
      </c>
      <c r="B1721" s="1">
        <v>46645</v>
      </c>
      <c r="C1721" t="s">
        <v>78</v>
      </c>
      <c r="D1721" t="s">
        <v>58</v>
      </c>
      <c r="E1721" t="s">
        <v>4085</v>
      </c>
      <c r="F1721" t="s">
        <v>60</v>
      </c>
      <c r="G1721" t="s">
        <v>29</v>
      </c>
      <c r="H1721" t="s">
        <v>59</v>
      </c>
      <c r="I1721">
        <v>14</v>
      </c>
      <c r="J1721" t="s">
        <v>3520</v>
      </c>
      <c r="K1721">
        <v>49</v>
      </c>
      <c r="L1721" t="s">
        <v>63</v>
      </c>
      <c r="M1721">
        <v>7</v>
      </c>
      <c r="N1721" t="s">
        <v>64</v>
      </c>
      <c r="O1721" t="s">
        <v>49</v>
      </c>
      <c r="P1721" t="s">
        <v>35</v>
      </c>
      <c r="Q1721" s="2">
        <v>8134.17</v>
      </c>
      <c r="R1721" s="2">
        <v>3372.97</v>
      </c>
      <c r="S1721" t="s">
        <v>94</v>
      </c>
      <c r="T1721" t="s">
        <v>37</v>
      </c>
      <c r="U1721" t="s">
        <v>83</v>
      </c>
      <c r="V1721">
        <v>4.9000000000000004</v>
      </c>
      <c r="W1721" t="s">
        <v>103</v>
      </c>
      <c r="X1721" t="s">
        <v>106</v>
      </c>
      <c r="Y1721" t="s">
        <v>41</v>
      </c>
    </row>
    <row r="1722" spans="1:25" x14ac:dyDescent="0.3">
      <c r="A1722" t="s">
        <v>3521</v>
      </c>
      <c r="B1722" s="1">
        <v>46646</v>
      </c>
      <c r="C1722" t="s">
        <v>43</v>
      </c>
      <c r="D1722" t="s">
        <v>58</v>
      </c>
      <c r="E1722" t="s">
        <v>4085</v>
      </c>
      <c r="F1722" t="s">
        <v>60</v>
      </c>
      <c r="G1722" t="s">
        <v>29</v>
      </c>
      <c r="H1722" t="s">
        <v>46</v>
      </c>
      <c r="I1722">
        <v>12</v>
      </c>
      <c r="J1722" t="s">
        <v>3522</v>
      </c>
      <c r="K1722">
        <v>18</v>
      </c>
      <c r="L1722" t="s">
        <v>80</v>
      </c>
      <c r="M1722">
        <v>1</v>
      </c>
      <c r="N1722" t="s">
        <v>33</v>
      </c>
      <c r="O1722" t="s">
        <v>69</v>
      </c>
      <c r="P1722" t="s">
        <v>35</v>
      </c>
      <c r="Q1722" s="2">
        <v>24212.95</v>
      </c>
      <c r="R1722" s="2">
        <v>354.69</v>
      </c>
      <c r="S1722" t="s">
        <v>115</v>
      </c>
      <c r="T1722" t="s">
        <v>71</v>
      </c>
      <c r="U1722" t="s">
        <v>38</v>
      </c>
      <c r="V1722">
        <v>2.4</v>
      </c>
      <c r="W1722" t="s">
        <v>76</v>
      </c>
      <c r="X1722" t="s">
        <v>106</v>
      </c>
      <c r="Y1722" t="s">
        <v>41</v>
      </c>
    </row>
    <row r="1723" spans="1:25" x14ac:dyDescent="0.3">
      <c r="A1723" t="s">
        <v>3523</v>
      </c>
      <c r="B1723" s="1">
        <v>46647</v>
      </c>
      <c r="C1723" t="s">
        <v>26</v>
      </c>
      <c r="D1723" t="s">
        <v>26</v>
      </c>
      <c r="E1723" t="s">
        <v>45</v>
      </c>
      <c r="F1723" t="s">
        <v>28</v>
      </c>
      <c r="G1723" t="s">
        <v>29</v>
      </c>
      <c r="H1723" t="s">
        <v>67</v>
      </c>
      <c r="I1723">
        <v>6</v>
      </c>
      <c r="J1723" t="s">
        <v>3524</v>
      </c>
      <c r="K1723">
        <v>34</v>
      </c>
      <c r="L1723" t="s">
        <v>80</v>
      </c>
      <c r="M1723">
        <v>3</v>
      </c>
      <c r="N1723" t="s">
        <v>91</v>
      </c>
      <c r="O1723" t="s">
        <v>34</v>
      </c>
      <c r="P1723" t="s">
        <v>35</v>
      </c>
      <c r="Q1723" s="2">
        <v>6780.69</v>
      </c>
      <c r="R1723" s="2">
        <v>2976.79</v>
      </c>
      <c r="S1723" t="s">
        <v>51</v>
      </c>
      <c r="T1723" t="s">
        <v>71</v>
      </c>
      <c r="U1723" t="s">
        <v>38</v>
      </c>
      <c r="V1723">
        <v>5</v>
      </c>
      <c r="W1723" t="s">
        <v>103</v>
      </c>
      <c r="X1723" t="s">
        <v>40</v>
      </c>
      <c r="Y1723" t="s">
        <v>72</v>
      </c>
    </row>
    <row r="1724" spans="1:25" x14ac:dyDescent="0.3">
      <c r="A1724" t="s">
        <v>3525</v>
      </c>
      <c r="B1724" s="1">
        <v>46648</v>
      </c>
      <c r="C1724" t="s">
        <v>57</v>
      </c>
      <c r="D1724" t="s">
        <v>44</v>
      </c>
      <c r="E1724" t="s">
        <v>45</v>
      </c>
      <c r="F1724" t="s">
        <v>28</v>
      </c>
      <c r="G1724" t="s">
        <v>29</v>
      </c>
      <c r="H1724" t="s">
        <v>67</v>
      </c>
      <c r="I1724">
        <v>13</v>
      </c>
      <c r="J1724" t="s">
        <v>3526</v>
      </c>
      <c r="K1724">
        <v>26</v>
      </c>
      <c r="L1724" t="s">
        <v>63</v>
      </c>
      <c r="M1724">
        <v>7</v>
      </c>
      <c r="N1724" t="s">
        <v>91</v>
      </c>
      <c r="O1724" t="s">
        <v>69</v>
      </c>
      <c r="P1724" t="s">
        <v>82</v>
      </c>
      <c r="Q1724" s="2">
        <v>48424.91</v>
      </c>
      <c r="R1724" s="2">
        <v>1100.06</v>
      </c>
      <c r="S1724" t="s">
        <v>115</v>
      </c>
      <c r="T1724" t="s">
        <v>37</v>
      </c>
      <c r="U1724" t="s">
        <v>53</v>
      </c>
      <c r="V1724">
        <v>4.8</v>
      </c>
      <c r="W1724" t="s">
        <v>103</v>
      </c>
      <c r="X1724" t="s">
        <v>106</v>
      </c>
      <c r="Y1724" t="s">
        <v>72</v>
      </c>
    </row>
    <row r="1725" spans="1:25" x14ac:dyDescent="0.3">
      <c r="A1725" t="s">
        <v>3527</v>
      </c>
      <c r="B1725" s="1">
        <v>46649</v>
      </c>
      <c r="C1725" t="s">
        <v>43</v>
      </c>
      <c r="D1725" t="s">
        <v>58</v>
      </c>
      <c r="E1725" t="s">
        <v>89</v>
      </c>
      <c r="F1725" t="s">
        <v>28</v>
      </c>
      <c r="G1725" t="s">
        <v>29</v>
      </c>
      <c r="H1725" t="s">
        <v>61</v>
      </c>
      <c r="I1725">
        <v>9</v>
      </c>
      <c r="J1725" t="s">
        <v>3528</v>
      </c>
      <c r="K1725">
        <v>37</v>
      </c>
      <c r="L1725" t="s">
        <v>80</v>
      </c>
      <c r="M1725">
        <v>3</v>
      </c>
      <c r="N1725" t="s">
        <v>64</v>
      </c>
      <c r="O1725" t="s">
        <v>69</v>
      </c>
      <c r="P1725" t="s">
        <v>82</v>
      </c>
      <c r="Q1725" s="2">
        <v>33228.18</v>
      </c>
      <c r="R1725" s="2">
        <v>1520.42</v>
      </c>
      <c r="S1725" t="s">
        <v>36</v>
      </c>
      <c r="T1725" t="s">
        <v>37</v>
      </c>
      <c r="U1725" t="s">
        <v>53</v>
      </c>
      <c r="V1725">
        <v>3.6</v>
      </c>
      <c r="W1725" t="s">
        <v>54</v>
      </c>
      <c r="X1725" t="s">
        <v>84</v>
      </c>
      <c r="Y1725" t="s">
        <v>72</v>
      </c>
    </row>
    <row r="1726" spans="1:25" x14ac:dyDescent="0.3">
      <c r="A1726" t="s">
        <v>3529</v>
      </c>
      <c r="B1726" s="1">
        <v>46650</v>
      </c>
      <c r="C1726" t="s">
        <v>78</v>
      </c>
      <c r="D1726" t="s">
        <v>58</v>
      </c>
      <c r="E1726" t="s">
        <v>4085</v>
      </c>
      <c r="F1726" t="s">
        <v>60</v>
      </c>
      <c r="G1726" t="s">
        <v>29</v>
      </c>
      <c r="H1726" t="s">
        <v>46</v>
      </c>
      <c r="I1726">
        <v>11</v>
      </c>
      <c r="J1726" t="s">
        <v>3530</v>
      </c>
      <c r="K1726">
        <v>62</v>
      </c>
      <c r="L1726" t="s">
        <v>63</v>
      </c>
      <c r="M1726">
        <v>2</v>
      </c>
      <c r="N1726" t="s">
        <v>64</v>
      </c>
      <c r="O1726" t="s">
        <v>81</v>
      </c>
      <c r="P1726" t="s">
        <v>82</v>
      </c>
      <c r="Q1726" s="2">
        <v>11871.36</v>
      </c>
      <c r="R1726" s="2">
        <v>648.17999999999995</v>
      </c>
      <c r="S1726" t="s">
        <v>36</v>
      </c>
      <c r="T1726" t="s">
        <v>37</v>
      </c>
      <c r="U1726" t="s">
        <v>38</v>
      </c>
      <c r="V1726">
        <v>2.2999999999999998</v>
      </c>
      <c r="W1726" t="s">
        <v>76</v>
      </c>
      <c r="X1726" t="s">
        <v>40</v>
      </c>
      <c r="Y1726" t="s">
        <v>41</v>
      </c>
    </row>
    <row r="1727" spans="1:25" x14ac:dyDescent="0.3">
      <c r="A1727" t="s">
        <v>3531</v>
      </c>
      <c r="B1727" s="1">
        <v>46651</v>
      </c>
      <c r="C1727" t="s">
        <v>43</v>
      </c>
      <c r="D1727" t="s">
        <v>58</v>
      </c>
      <c r="E1727" t="s">
        <v>45</v>
      </c>
      <c r="F1727" t="s">
        <v>28</v>
      </c>
      <c r="G1727" t="s">
        <v>29</v>
      </c>
      <c r="H1727" t="s">
        <v>67</v>
      </c>
      <c r="I1727">
        <v>7</v>
      </c>
      <c r="J1727" t="s">
        <v>3532</v>
      </c>
      <c r="K1727">
        <v>49</v>
      </c>
      <c r="L1727" t="s">
        <v>80</v>
      </c>
      <c r="M1727">
        <v>7</v>
      </c>
      <c r="N1727" t="s">
        <v>33</v>
      </c>
      <c r="O1727" t="s">
        <v>69</v>
      </c>
      <c r="P1727" t="s">
        <v>82</v>
      </c>
      <c r="Q1727" s="2">
        <v>12760.43</v>
      </c>
      <c r="R1727" s="2">
        <v>1243.3399999999999</v>
      </c>
      <c r="S1727" t="s">
        <v>36</v>
      </c>
      <c r="T1727" t="s">
        <v>37</v>
      </c>
      <c r="U1727" t="s">
        <v>53</v>
      </c>
      <c r="V1727">
        <v>4</v>
      </c>
      <c r="W1727" t="s">
        <v>54</v>
      </c>
      <c r="X1727" t="s">
        <v>65</v>
      </c>
      <c r="Y1727" t="s">
        <v>72</v>
      </c>
    </row>
    <row r="1728" spans="1:25" x14ac:dyDescent="0.3">
      <c r="A1728" t="s">
        <v>3533</v>
      </c>
      <c r="B1728" s="1">
        <v>46652</v>
      </c>
      <c r="C1728" t="s">
        <v>117</v>
      </c>
      <c r="D1728" t="s">
        <v>4083</v>
      </c>
      <c r="E1728" t="s">
        <v>4085</v>
      </c>
      <c r="F1728" t="s">
        <v>60</v>
      </c>
      <c r="G1728" t="s">
        <v>29</v>
      </c>
      <c r="H1728" t="s">
        <v>46</v>
      </c>
      <c r="I1728">
        <v>6</v>
      </c>
      <c r="J1728" t="s">
        <v>3534</v>
      </c>
      <c r="K1728">
        <v>19</v>
      </c>
      <c r="L1728" t="s">
        <v>32</v>
      </c>
      <c r="M1728">
        <v>3</v>
      </c>
      <c r="N1728" t="s">
        <v>48</v>
      </c>
      <c r="O1728" t="s">
        <v>49</v>
      </c>
      <c r="P1728" t="s">
        <v>82</v>
      </c>
      <c r="Q1728" s="2">
        <v>30642.28</v>
      </c>
      <c r="R1728" s="2">
        <v>4106.46</v>
      </c>
      <c r="S1728" t="s">
        <v>51</v>
      </c>
      <c r="T1728" t="s">
        <v>37</v>
      </c>
      <c r="U1728" t="s">
        <v>83</v>
      </c>
      <c r="V1728">
        <v>2.1</v>
      </c>
      <c r="W1728" t="s">
        <v>76</v>
      </c>
      <c r="X1728" t="s">
        <v>55</v>
      </c>
      <c r="Y1728" t="s">
        <v>41</v>
      </c>
    </row>
    <row r="1729" spans="1:25" x14ac:dyDescent="0.3">
      <c r="A1729" t="s">
        <v>3535</v>
      </c>
      <c r="B1729" s="1">
        <v>46653</v>
      </c>
      <c r="C1729" t="s">
        <v>57</v>
      </c>
      <c r="D1729" t="s">
        <v>44</v>
      </c>
      <c r="E1729" t="s">
        <v>45</v>
      </c>
      <c r="F1729" t="s">
        <v>28</v>
      </c>
      <c r="G1729" t="s">
        <v>29</v>
      </c>
      <c r="H1729" t="s">
        <v>67</v>
      </c>
      <c r="I1729">
        <v>11</v>
      </c>
      <c r="J1729" t="s">
        <v>3536</v>
      </c>
      <c r="K1729">
        <v>49</v>
      </c>
      <c r="L1729" t="s">
        <v>63</v>
      </c>
      <c r="M1729">
        <v>4</v>
      </c>
      <c r="N1729" t="s">
        <v>91</v>
      </c>
      <c r="O1729" t="s">
        <v>34</v>
      </c>
      <c r="P1729" t="s">
        <v>35</v>
      </c>
      <c r="Q1729" s="2">
        <v>21045.46</v>
      </c>
      <c r="R1729" s="2">
        <v>3194.39</v>
      </c>
      <c r="S1729" t="s">
        <v>94</v>
      </c>
      <c r="T1729" t="s">
        <v>71</v>
      </c>
      <c r="U1729" t="s">
        <v>75</v>
      </c>
      <c r="V1729">
        <v>3.5</v>
      </c>
      <c r="W1729" t="s">
        <v>54</v>
      </c>
      <c r="X1729" t="s">
        <v>40</v>
      </c>
      <c r="Y1729" t="s">
        <v>72</v>
      </c>
    </row>
    <row r="1730" spans="1:25" x14ac:dyDescent="0.3">
      <c r="A1730" t="s">
        <v>3537</v>
      </c>
      <c r="B1730" s="1">
        <v>46654</v>
      </c>
      <c r="C1730" t="s">
        <v>78</v>
      </c>
      <c r="D1730" t="s">
        <v>58</v>
      </c>
      <c r="E1730" t="s">
        <v>120</v>
      </c>
      <c r="F1730" t="s">
        <v>28</v>
      </c>
      <c r="G1730" t="s">
        <v>29</v>
      </c>
      <c r="H1730" t="s">
        <v>86</v>
      </c>
      <c r="I1730">
        <v>7</v>
      </c>
      <c r="J1730" t="s">
        <v>3538</v>
      </c>
      <c r="K1730">
        <v>62</v>
      </c>
      <c r="L1730" t="s">
        <v>32</v>
      </c>
      <c r="M1730">
        <v>4</v>
      </c>
      <c r="N1730" t="s">
        <v>91</v>
      </c>
      <c r="O1730" t="s">
        <v>34</v>
      </c>
      <c r="P1730" t="s">
        <v>82</v>
      </c>
      <c r="Q1730" s="2">
        <v>39842</v>
      </c>
      <c r="R1730" s="2">
        <v>4748.8</v>
      </c>
      <c r="S1730" t="s">
        <v>115</v>
      </c>
      <c r="T1730" t="s">
        <v>52</v>
      </c>
      <c r="U1730" t="s">
        <v>53</v>
      </c>
      <c r="V1730">
        <v>1.1000000000000001</v>
      </c>
      <c r="W1730" t="s">
        <v>124</v>
      </c>
      <c r="X1730" t="s">
        <v>40</v>
      </c>
      <c r="Y1730" t="s">
        <v>41</v>
      </c>
    </row>
    <row r="1731" spans="1:25" x14ac:dyDescent="0.3">
      <c r="A1731" t="s">
        <v>3539</v>
      </c>
      <c r="B1731" s="1">
        <v>46655</v>
      </c>
      <c r="C1731" t="s">
        <v>26</v>
      </c>
      <c r="D1731" t="s">
        <v>26</v>
      </c>
      <c r="E1731" t="s">
        <v>4084</v>
      </c>
      <c r="F1731" t="s">
        <v>60</v>
      </c>
      <c r="G1731" t="s">
        <v>29</v>
      </c>
      <c r="H1731" t="s">
        <v>30</v>
      </c>
      <c r="I1731">
        <v>11</v>
      </c>
      <c r="J1731" t="s">
        <v>3540</v>
      </c>
      <c r="K1731">
        <v>26</v>
      </c>
      <c r="L1731" t="s">
        <v>63</v>
      </c>
      <c r="M1731">
        <v>6</v>
      </c>
      <c r="N1731" t="s">
        <v>33</v>
      </c>
      <c r="O1731" t="s">
        <v>81</v>
      </c>
      <c r="P1731" t="s">
        <v>35</v>
      </c>
      <c r="Q1731" s="2">
        <v>29561.29</v>
      </c>
      <c r="R1731" s="2">
        <v>243.72</v>
      </c>
      <c r="S1731" t="s">
        <v>94</v>
      </c>
      <c r="T1731" t="s">
        <v>52</v>
      </c>
      <c r="U1731" t="s">
        <v>38</v>
      </c>
      <c r="V1731">
        <v>3.5</v>
      </c>
      <c r="W1731" t="s">
        <v>54</v>
      </c>
      <c r="X1731" t="s">
        <v>65</v>
      </c>
      <c r="Y1731" t="s">
        <v>72</v>
      </c>
    </row>
    <row r="1732" spans="1:25" x14ac:dyDescent="0.3">
      <c r="A1732" t="s">
        <v>3541</v>
      </c>
      <c r="B1732" s="1">
        <v>46656</v>
      </c>
      <c r="C1732" t="s">
        <v>78</v>
      </c>
      <c r="D1732" t="s">
        <v>58</v>
      </c>
      <c r="E1732" t="s">
        <v>120</v>
      </c>
      <c r="F1732" t="s">
        <v>28</v>
      </c>
      <c r="G1732" t="s">
        <v>29</v>
      </c>
      <c r="H1732" t="s">
        <v>86</v>
      </c>
      <c r="I1732">
        <v>10</v>
      </c>
      <c r="J1732" t="s">
        <v>3542</v>
      </c>
      <c r="K1732">
        <v>47</v>
      </c>
      <c r="L1732" t="s">
        <v>63</v>
      </c>
      <c r="M1732">
        <v>4</v>
      </c>
      <c r="N1732" t="s">
        <v>33</v>
      </c>
      <c r="O1732" t="s">
        <v>81</v>
      </c>
      <c r="P1732" t="s">
        <v>82</v>
      </c>
      <c r="Q1732" s="2">
        <v>24500.02</v>
      </c>
      <c r="R1732" s="2">
        <v>3962.06</v>
      </c>
      <c r="S1732" t="s">
        <v>36</v>
      </c>
      <c r="T1732" t="s">
        <v>71</v>
      </c>
      <c r="U1732" t="s">
        <v>75</v>
      </c>
      <c r="V1732">
        <v>4.8</v>
      </c>
      <c r="W1732" t="s">
        <v>103</v>
      </c>
      <c r="X1732" t="s">
        <v>106</v>
      </c>
      <c r="Y1732" t="s">
        <v>72</v>
      </c>
    </row>
    <row r="1733" spans="1:25" x14ac:dyDescent="0.3">
      <c r="A1733" t="s">
        <v>3543</v>
      </c>
      <c r="B1733" s="1">
        <v>46657</v>
      </c>
      <c r="C1733" t="s">
        <v>26</v>
      </c>
      <c r="D1733" t="s">
        <v>26</v>
      </c>
      <c r="E1733" t="s">
        <v>45</v>
      </c>
      <c r="F1733" t="s">
        <v>28</v>
      </c>
      <c r="G1733" t="s">
        <v>29</v>
      </c>
      <c r="H1733" t="s">
        <v>67</v>
      </c>
      <c r="I1733">
        <v>6</v>
      </c>
      <c r="J1733" t="s">
        <v>3544</v>
      </c>
      <c r="K1733">
        <v>37</v>
      </c>
      <c r="L1733" t="s">
        <v>32</v>
      </c>
      <c r="M1733">
        <v>7</v>
      </c>
      <c r="N1733" t="s">
        <v>91</v>
      </c>
      <c r="O1733" t="s">
        <v>49</v>
      </c>
      <c r="P1733" t="s">
        <v>35</v>
      </c>
      <c r="Q1733" s="2">
        <v>48334.11</v>
      </c>
      <c r="R1733" s="2">
        <v>3495.39</v>
      </c>
      <c r="S1733" t="s">
        <v>94</v>
      </c>
      <c r="T1733" t="s">
        <v>71</v>
      </c>
      <c r="U1733" t="s">
        <v>83</v>
      </c>
      <c r="V1733">
        <v>1.9</v>
      </c>
      <c r="W1733" t="s">
        <v>124</v>
      </c>
      <c r="X1733" t="s">
        <v>106</v>
      </c>
      <c r="Y1733" t="s">
        <v>72</v>
      </c>
    </row>
    <row r="1734" spans="1:25" x14ac:dyDescent="0.3">
      <c r="A1734" t="s">
        <v>3545</v>
      </c>
      <c r="B1734" s="1">
        <v>46658</v>
      </c>
      <c r="C1734" t="s">
        <v>78</v>
      </c>
      <c r="D1734" t="s">
        <v>58</v>
      </c>
      <c r="E1734" t="s">
        <v>4084</v>
      </c>
      <c r="F1734" t="s">
        <v>60</v>
      </c>
      <c r="G1734" t="s">
        <v>29</v>
      </c>
      <c r="H1734" t="s">
        <v>27</v>
      </c>
      <c r="I1734">
        <v>13</v>
      </c>
      <c r="J1734" t="s">
        <v>3546</v>
      </c>
      <c r="K1734">
        <v>55</v>
      </c>
      <c r="L1734" t="s">
        <v>32</v>
      </c>
      <c r="M1734">
        <v>4</v>
      </c>
      <c r="N1734" t="s">
        <v>91</v>
      </c>
      <c r="O1734" t="s">
        <v>81</v>
      </c>
      <c r="P1734" t="s">
        <v>70</v>
      </c>
      <c r="Q1734" s="2">
        <v>22582.81</v>
      </c>
      <c r="R1734" s="2">
        <v>1304.46</v>
      </c>
      <c r="S1734" t="s">
        <v>51</v>
      </c>
      <c r="T1734" t="s">
        <v>52</v>
      </c>
      <c r="U1734" t="s">
        <v>75</v>
      </c>
      <c r="V1734">
        <v>4.0999999999999996</v>
      </c>
      <c r="W1734" t="s">
        <v>39</v>
      </c>
      <c r="X1734" t="s">
        <v>40</v>
      </c>
      <c r="Y1734" t="s">
        <v>72</v>
      </c>
    </row>
    <row r="1735" spans="1:25" x14ac:dyDescent="0.3">
      <c r="A1735" t="s">
        <v>3547</v>
      </c>
      <c r="B1735" s="1">
        <v>46659</v>
      </c>
      <c r="C1735" t="s">
        <v>43</v>
      </c>
      <c r="D1735" t="s">
        <v>58</v>
      </c>
      <c r="E1735" t="s">
        <v>4084</v>
      </c>
      <c r="F1735" t="s">
        <v>60</v>
      </c>
      <c r="G1735" t="s">
        <v>29</v>
      </c>
      <c r="H1735" t="s">
        <v>30</v>
      </c>
      <c r="I1735">
        <v>13</v>
      </c>
      <c r="J1735" t="s">
        <v>3548</v>
      </c>
      <c r="K1735">
        <v>18</v>
      </c>
      <c r="L1735" t="s">
        <v>32</v>
      </c>
      <c r="M1735">
        <v>4</v>
      </c>
      <c r="N1735" t="s">
        <v>64</v>
      </c>
      <c r="O1735" t="s">
        <v>69</v>
      </c>
      <c r="P1735" t="s">
        <v>70</v>
      </c>
      <c r="Q1735" s="2">
        <v>23027.49</v>
      </c>
      <c r="R1735" s="2">
        <v>3645.83</v>
      </c>
      <c r="S1735" t="s">
        <v>36</v>
      </c>
      <c r="T1735" t="s">
        <v>71</v>
      </c>
      <c r="U1735" t="s">
        <v>38</v>
      </c>
      <c r="V1735">
        <v>2.2000000000000002</v>
      </c>
      <c r="W1735" t="s">
        <v>76</v>
      </c>
      <c r="X1735" t="s">
        <v>106</v>
      </c>
      <c r="Y1735" t="s">
        <v>41</v>
      </c>
    </row>
    <row r="1736" spans="1:25" x14ac:dyDescent="0.3">
      <c r="A1736" t="s">
        <v>3549</v>
      </c>
      <c r="B1736" s="1">
        <v>46660</v>
      </c>
      <c r="C1736" t="s">
        <v>43</v>
      </c>
      <c r="D1736" t="s">
        <v>58</v>
      </c>
      <c r="E1736" t="s">
        <v>45</v>
      </c>
      <c r="F1736" t="s">
        <v>28</v>
      </c>
      <c r="G1736" t="s">
        <v>29</v>
      </c>
      <c r="H1736" t="s">
        <v>67</v>
      </c>
      <c r="I1736">
        <v>9</v>
      </c>
      <c r="J1736" t="s">
        <v>3550</v>
      </c>
      <c r="K1736">
        <v>22</v>
      </c>
      <c r="L1736" t="s">
        <v>63</v>
      </c>
      <c r="M1736">
        <v>2</v>
      </c>
      <c r="N1736" t="s">
        <v>48</v>
      </c>
      <c r="O1736" t="s">
        <v>69</v>
      </c>
      <c r="P1736" t="s">
        <v>35</v>
      </c>
      <c r="Q1736" s="2">
        <v>34959.760000000002</v>
      </c>
      <c r="R1736" s="2">
        <v>3582.74</v>
      </c>
      <c r="S1736" t="s">
        <v>94</v>
      </c>
      <c r="T1736" t="s">
        <v>37</v>
      </c>
      <c r="U1736" t="s">
        <v>75</v>
      </c>
      <c r="V1736">
        <v>3.8</v>
      </c>
      <c r="W1736" t="s">
        <v>39</v>
      </c>
      <c r="X1736" t="s">
        <v>40</v>
      </c>
      <c r="Y1736" t="s">
        <v>41</v>
      </c>
    </row>
    <row r="1737" spans="1:25" x14ac:dyDescent="0.3">
      <c r="A1737" t="s">
        <v>3551</v>
      </c>
      <c r="B1737" s="1">
        <v>46661</v>
      </c>
      <c r="C1737" t="s">
        <v>43</v>
      </c>
      <c r="D1737" t="s">
        <v>58</v>
      </c>
      <c r="E1737" t="s">
        <v>45</v>
      </c>
      <c r="F1737" t="s">
        <v>28</v>
      </c>
      <c r="G1737" t="s">
        <v>29</v>
      </c>
      <c r="H1737" t="s">
        <v>67</v>
      </c>
      <c r="I1737">
        <v>7</v>
      </c>
      <c r="J1737" t="s">
        <v>3552</v>
      </c>
      <c r="K1737">
        <v>52</v>
      </c>
      <c r="L1737" t="s">
        <v>32</v>
      </c>
      <c r="M1737">
        <v>6</v>
      </c>
      <c r="N1737" t="s">
        <v>91</v>
      </c>
      <c r="O1737" t="s">
        <v>49</v>
      </c>
      <c r="P1737" t="s">
        <v>70</v>
      </c>
      <c r="Q1737" s="2">
        <v>41426.54</v>
      </c>
      <c r="R1737" s="2">
        <v>2296.73</v>
      </c>
      <c r="S1737" t="s">
        <v>115</v>
      </c>
      <c r="T1737" t="s">
        <v>71</v>
      </c>
      <c r="U1737" t="s">
        <v>38</v>
      </c>
      <c r="V1737">
        <v>3.8</v>
      </c>
      <c r="W1737" t="s">
        <v>54</v>
      </c>
      <c r="X1737" t="s">
        <v>55</v>
      </c>
      <c r="Y1737" t="s">
        <v>41</v>
      </c>
    </row>
    <row r="1738" spans="1:25" x14ac:dyDescent="0.3">
      <c r="A1738" t="s">
        <v>3553</v>
      </c>
      <c r="B1738" s="1">
        <v>46662</v>
      </c>
      <c r="C1738" t="s">
        <v>117</v>
      </c>
      <c r="D1738" t="s">
        <v>4083</v>
      </c>
      <c r="E1738" t="s">
        <v>4085</v>
      </c>
      <c r="F1738" t="s">
        <v>60</v>
      </c>
      <c r="G1738" t="s">
        <v>29</v>
      </c>
      <c r="H1738" t="s">
        <v>46</v>
      </c>
      <c r="I1738">
        <v>12</v>
      </c>
      <c r="J1738" t="s">
        <v>3554</v>
      </c>
      <c r="K1738">
        <v>53</v>
      </c>
      <c r="L1738" t="s">
        <v>32</v>
      </c>
      <c r="M1738">
        <v>1</v>
      </c>
      <c r="N1738" t="s">
        <v>33</v>
      </c>
      <c r="O1738" t="s">
        <v>34</v>
      </c>
      <c r="P1738" t="s">
        <v>70</v>
      </c>
      <c r="Q1738" s="2">
        <v>33179.67</v>
      </c>
      <c r="R1738" s="2">
        <v>3443.2</v>
      </c>
      <c r="S1738" t="s">
        <v>36</v>
      </c>
      <c r="T1738" t="s">
        <v>71</v>
      </c>
      <c r="U1738" t="s">
        <v>53</v>
      </c>
      <c r="V1738">
        <v>1.7</v>
      </c>
      <c r="W1738" t="s">
        <v>124</v>
      </c>
      <c r="X1738" t="s">
        <v>55</v>
      </c>
      <c r="Y1738" t="s">
        <v>41</v>
      </c>
    </row>
    <row r="1739" spans="1:25" x14ac:dyDescent="0.3">
      <c r="A1739" t="s">
        <v>3555</v>
      </c>
      <c r="B1739" s="1">
        <v>46663</v>
      </c>
      <c r="C1739" t="s">
        <v>26</v>
      </c>
      <c r="D1739" t="s">
        <v>26</v>
      </c>
      <c r="E1739" t="s">
        <v>45</v>
      </c>
      <c r="F1739" t="s">
        <v>28</v>
      </c>
      <c r="G1739" t="s">
        <v>29</v>
      </c>
      <c r="H1739" t="s">
        <v>67</v>
      </c>
      <c r="I1739">
        <v>6</v>
      </c>
      <c r="J1739" t="s">
        <v>3556</v>
      </c>
      <c r="K1739">
        <v>18</v>
      </c>
      <c r="L1739" t="s">
        <v>80</v>
      </c>
      <c r="M1739">
        <v>6</v>
      </c>
      <c r="N1739" t="s">
        <v>64</v>
      </c>
      <c r="O1739" t="s">
        <v>49</v>
      </c>
      <c r="P1739" t="s">
        <v>35</v>
      </c>
      <c r="Q1739" s="2">
        <v>36437.46</v>
      </c>
      <c r="R1739" s="2">
        <v>2222.9</v>
      </c>
      <c r="S1739" t="s">
        <v>36</v>
      </c>
      <c r="T1739" t="s">
        <v>71</v>
      </c>
      <c r="U1739" t="s">
        <v>53</v>
      </c>
      <c r="V1739">
        <v>3.4</v>
      </c>
      <c r="W1739" t="s">
        <v>76</v>
      </c>
      <c r="X1739" t="s">
        <v>65</v>
      </c>
      <c r="Y1739" t="s">
        <v>72</v>
      </c>
    </row>
    <row r="1740" spans="1:25" x14ac:dyDescent="0.3">
      <c r="A1740" t="s">
        <v>3557</v>
      </c>
      <c r="B1740" s="1">
        <v>46664</v>
      </c>
      <c r="C1740" t="s">
        <v>43</v>
      </c>
      <c r="D1740" t="s">
        <v>58</v>
      </c>
      <c r="E1740" t="s">
        <v>89</v>
      </c>
      <c r="F1740" t="s">
        <v>28</v>
      </c>
      <c r="G1740" t="s">
        <v>29</v>
      </c>
      <c r="H1740" t="s">
        <v>61</v>
      </c>
      <c r="I1740">
        <v>7</v>
      </c>
      <c r="J1740" t="s">
        <v>3558</v>
      </c>
      <c r="K1740">
        <v>31</v>
      </c>
      <c r="L1740" t="s">
        <v>80</v>
      </c>
      <c r="M1740">
        <v>6</v>
      </c>
      <c r="N1740" t="s">
        <v>64</v>
      </c>
      <c r="O1740" t="s">
        <v>81</v>
      </c>
      <c r="P1740" t="s">
        <v>82</v>
      </c>
      <c r="Q1740" s="2">
        <v>21781.919999999998</v>
      </c>
      <c r="R1740" s="2">
        <v>1677.73</v>
      </c>
      <c r="S1740" t="s">
        <v>51</v>
      </c>
      <c r="T1740" t="s">
        <v>71</v>
      </c>
      <c r="U1740" t="s">
        <v>38</v>
      </c>
      <c r="V1740">
        <v>4.4000000000000004</v>
      </c>
      <c r="W1740" t="s">
        <v>54</v>
      </c>
      <c r="X1740" t="s">
        <v>84</v>
      </c>
      <c r="Y1740" t="s">
        <v>72</v>
      </c>
    </row>
    <row r="1741" spans="1:25" x14ac:dyDescent="0.3">
      <c r="A1741" t="s">
        <v>3559</v>
      </c>
      <c r="B1741" s="1">
        <v>46665</v>
      </c>
      <c r="C1741" t="s">
        <v>117</v>
      </c>
      <c r="D1741" t="s">
        <v>4083</v>
      </c>
      <c r="E1741" t="s">
        <v>45</v>
      </c>
      <c r="F1741" t="s">
        <v>28</v>
      </c>
      <c r="G1741" t="s">
        <v>29</v>
      </c>
      <c r="H1741" t="s">
        <v>67</v>
      </c>
      <c r="I1741">
        <v>7</v>
      </c>
      <c r="J1741" t="s">
        <v>3560</v>
      </c>
      <c r="K1741">
        <v>26</v>
      </c>
      <c r="L1741" t="s">
        <v>32</v>
      </c>
      <c r="M1741">
        <v>6</v>
      </c>
      <c r="N1741" t="s">
        <v>33</v>
      </c>
      <c r="O1741" t="s">
        <v>34</v>
      </c>
      <c r="P1741" t="s">
        <v>82</v>
      </c>
      <c r="Q1741" s="2">
        <v>26577.360000000001</v>
      </c>
      <c r="R1741" s="2">
        <v>2332.4499999999998</v>
      </c>
      <c r="S1741" t="s">
        <v>51</v>
      </c>
      <c r="T1741" t="s">
        <v>52</v>
      </c>
      <c r="U1741" t="s">
        <v>53</v>
      </c>
      <c r="V1741">
        <v>2.5</v>
      </c>
      <c r="W1741" t="s">
        <v>76</v>
      </c>
      <c r="X1741" t="s">
        <v>84</v>
      </c>
      <c r="Y1741" t="s">
        <v>41</v>
      </c>
    </row>
    <row r="1742" spans="1:25" x14ac:dyDescent="0.3">
      <c r="A1742" t="s">
        <v>3561</v>
      </c>
      <c r="B1742" s="1">
        <v>46666</v>
      </c>
      <c r="C1742" t="s">
        <v>26</v>
      </c>
      <c r="D1742" t="s">
        <v>26</v>
      </c>
      <c r="E1742" t="s">
        <v>89</v>
      </c>
      <c r="F1742" t="s">
        <v>28</v>
      </c>
      <c r="G1742" t="s">
        <v>29</v>
      </c>
      <c r="H1742" t="s">
        <v>61</v>
      </c>
      <c r="I1742">
        <v>13</v>
      </c>
      <c r="J1742" t="s">
        <v>3562</v>
      </c>
      <c r="K1742">
        <v>47</v>
      </c>
      <c r="L1742" t="s">
        <v>32</v>
      </c>
      <c r="M1742">
        <v>3</v>
      </c>
      <c r="N1742" t="s">
        <v>33</v>
      </c>
      <c r="O1742" t="s">
        <v>34</v>
      </c>
      <c r="P1742" t="s">
        <v>35</v>
      </c>
      <c r="Q1742" s="2">
        <v>13866.58</v>
      </c>
      <c r="R1742" s="2">
        <v>4475.6499999999996</v>
      </c>
      <c r="S1742" t="s">
        <v>115</v>
      </c>
      <c r="T1742" t="s">
        <v>52</v>
      </c>
      <c r="U1742" t="s">
        <v>83</v>
      </c>
      <c r="V1742">
        <v>3.8</v>
      </c>
      <c r="W1742" t="s">
        <v>54</v>
      </c>
      <c r="X1742" t="s">
        <v>106</v>
      </c>
      <c r="Y1742" t="s">
        <v>41</v>
      </c>
    </row>
    <row r="1743" spans="1:25" x14ac:dyDescent="0.3">
      <c r="A1743" t="s">
        <v>3563</v>
      </c>
      <c r="B1743" s="1">
        <v>46667</v>
      </c>
      <c r="C1743" t="s">
        <v>78</v>
      </c>
      <c r="D1743" t="s">
        <v>58</v>
      </c>
      <c r="E1743" t="s">
        <v>45</v>
      </c>
      <c r="F1743" t="s">
        <v>28</v>
      </c>
      <c r="G1743" t="s">
        <v>29</v>
      </c>
      <c r="H1743" t="s">
        <v>67</v>
      </c>
      <c r="I1743">
        <v>11</v>
      </c>
      <c r="J1743" t="s">
        <v>3564</v>
      </c>
      <c r="K1743">
        <v>41</v>
      </c>
      <c r="L1743" t="s">
        <v>32</v>
      </c>
      <c r="M1743">
        <v>1</v>
      </c>
      <c r="N1743" t="s">
        <v>64</v>
      </c>
      <c r="O1743" t="s">
        <v>34</v>
      </c>
      <c r="P1743" t="s">
        <v>50</v>
      </c>
      <c r="Q1743" s="2">
        <v>35611.089999999997</v>
      </c>
      <c r="R1743" s="2">
        <v>1922.92</v>
      </c>
      <c r="S1743" t="s">
        <v>94</v>
      </c>
      <c r="T1743" t="s">
        <v>52</v>
      </c>
      <c r="U1743" t="s">
        <v>75</v>
      </c>
      <c r="V1743">
        <v>3.7</v>
      </c>
      <c r="W1743" t="s">
        <v>54</v>
      </c>
      <c r="X1743" t="s">
        <v>84</v>
      </c>
      <c r="Y1743" t="s">
        <v>41</v>
      </c>
    </row>
    <row r="1744" spans="1:25" x14ac:dyDescent="0.3">
      <c r="A1744" t="s">
        <v>3565</v>
      </c>
      <c r="B1744" s="1">
        <v>46668</v>
      </c>
      <c r="C1744" t="s">
        <v>117</v>
      </c>
      <c r="D1744" t="s">
        <v>4083</v>
      </c>
      <c r="E1744" t="s">
        <v>4085</v>
      </c>
      <c r="F1744" t="s">
        <v>60</v>
      </c>
      <c r="G1744" t="s">
        <v>29</v>
      </c>
      <c r="H1744" t="s">
        <v>46</v>
      </c>
      <c r="I1744">
        <v>14</v>
      </c>
      <c r="J1744" t="s">
        <v>3566</v>
      </c>
      <c r="K1744">
        <v>21</v>
      </c>
      <c r="L1744" t="s">
        <v>32</v>
      </c>
      <c r="M1744">
        <v>3</v>
      </c>
      <c r="N1744" t="s">
        <v>33</v>
      </c>
      <c r="O1744" t="s">
        <v>81</v>
      </c>
      <c r="P1744" t="s">
        <v>50</v>
      </c>
      <c r="Q1744" s="2">
        <v>14965.34</v>
      </c>
      <c r="R1744" s="2">
        <v>2018.44</v>
      </c>
      <c r="S1744" t="s">
        <v>94</v>
      </c>
      <c r="T1744" t="s">
        <v>52</v>
      </c>
      <c r="U1744" t="s">
        <v>38</v>
      </c>
      <c r="V1744">
        <v>2</v>
      </c>
      <c r="W1744" t="s">
        <v>76</v>
      </c>
      <c r="X1744" t="s">
        <v>55</v>
      </c>
      <c r="Y1744" t="s">
        <v>41</v>
      </c>
    </row>
    <row r="1745" spans="1:25" x14ac:dyDescent="0.3">
      <c r="A1745" t="s">
        <v>3567</v>
      </c>
      <c r="B1745" s="1">
        <v>46669</v>
      </c>
      <c r="C1745" t="s">
        <v>57</v>
      </c>
      <c r="D1745" t="s">
        <v>44</v>
      </c>
      <c r="E1745" t="s">
        <v>89</v>
      </c>
      <c r="F1745" t="s">
        <v>28</v>
      </c>
      <c r="G1745" t="s">
        <v>29</v>
      </c>
      <c r="H1745" t="s">
        <v>61</v>
      </c>
      <c r="I1745">
        <v>11</v>
      </c>
      <c r="J1745" t="s">
        <v>3568</v>
      </c>
      <c r="K1745">
        <v>67</v>
      </c>
      <c r="L1745" t="s">
        <v>80</v>
      </c>
      <c r="M1745">
        <v>2</v>
      </c>
      <c r="N1745" t="s">
        <v>64</v>
      </c>
      <c r="O1745" t="s">
        <v>69</v>
      </c>
      <c r="P1745" t="s">
        <v>70</v>
      </c>
      <c r="Q1745" s="2">
        <v>5056.5600000000004</v>
      </c>
      <c r="R1745" s="2">
        <v>3042.02</v>
      </c>
      <c r="S1745" t="s">
        <v>36</v>
      </c>
      <c r="T1745" t="s">
        <v>37</v>
      </c>
      <c r="U1745" t="s">
        <v>38</v>
      </c>
      <c r="V1745">
        <v>4.7</v>
      </c>
      <c r="W1745" t="s">
        <v>103</v>
      </c>
      <c r="X1745" t="s">
        <v>65</v>
      </c>
      <c r="Y1745" t="s">
        <v>41</v>
      </c>
    </row>
    <row r="1746" spans="1:25" x14ac:dyDescent="0.3">
      <c r="A1746" t="s">
        <v>3569</v>
      </c>
      <c r="B1746" s="1">
        <v>46670</v>
      </c>
      <c r="C1746" t="s">
        <v>117</v>
      </c>
      <c r="D1746" t="s">
        <v>4083</v>
      </c>
      <c r="E1746" t="s">
        <v>120</v>
      </c>
      <c r="F1746" t="s">
        <v>28</v>
      </c>
      <c r="G1746" t="s">
        <v>29</v>
      </c>
      <c r="H1746" t="s">
        <v>86</v>
      </c>
      <c r="I1746">
        <v>8</v>
      </c>
      <c r="J1746" t="s">
        <v>3570</v>
      </c>
      <c r="K1746">
        <v>31</v>
      </c>
      <c r="L1746" t="s">
        <v>63</v>
      </c>
      <c r="M1746">
        <v>2</v>
      </c>
      <c r="N1746" t="s">
        <v>33</v>
      </c>
      <c r="O1746" t="s">
        <v>69</v>
      </c>
      <c r="P1746" t="s">
        <v>50</v>
      </c>
      <c r="Q1746" s="2">
        <v>47019.3</v>
      </c>
      <c r="R1746" s="2">
        <v>3765</v>
      </c>
      <c r="S1746" t="s">
        <v>36</v>
      </c>
      <c r="T1746" t="s">
        <v>37</v>
      </c>
      <c r="U1746" t="s">
        <v>38</v>
      </c>
      <c r="V1746">
        <v>3.3</v>
      </c>
      <c r="W1746" t="s">
        <v>76</v>
      </c>
      <c r="X1746" t="s">
        <v>55</v>
      </c>
      <c r="Y1746" t="s">
        <v>72</v>
      </c>
    </row>
    <row r="1747" spans="1:25" x14ac:dyDescent="0.3">
      <c r="A1747" t="s">
        <v>3571</v>
      </c>
      <c r="B1747" s="1">
        <v>46671</v>
      </c>
      <c r="C1747" t="s">
        <v>117</v>
      </c>
      <c r="D1747" t="s">
        <v>4083</v>
      </c>
      <c r="E1747" t="s">
        <v>89</v>
      </c>
      <c r="F1747" t="s">
        <v>28</v>
      </c>
      <c r="G1747" t="s">
        <v>29</v>
      </c>
      <c r="H1747" t="s">
        <v>61</v>
      </c>
      <c r="I1747">
        <v>6</v>
      </c>
      <c r="J1747" t="s">
        <v>3572</v>
      </c>
      <c r="K1747">
        <v>42</v>
      </c>
      <c r="L1747" t="s">
        <v>32</v>
      </c>
      <c r="M1747">
        <v>5</v>
      </c>
      <c r="N1747" t="s">
        <v>64</v>
      </c>
      <c r="O1747" t="s">
        <v>81</v>
      </c>
      <c r="P1747" t="s">
        <v>70</v>
      </c>
      <c r="Q1747" s="2">
        <v>18770.689999999999</v>
      </c>
      <c r="R1747" s="2">
        <v>3673.1</v>
      </c>
      <c r="S1747" t="s">
        <v>94</v>
      </c>
      <c r="T1747" t="s">
        <v>52</v>
      </c>
      <c r="U1747" t="s">
        <v>83</v>
      </c>
      <c r="V1747">
        <v>2.4</v>
      </c>
      <c r="W1747" t="s">
        <v>76</v>
      </c>
      <c r="X1747" t="s">
        <v>40</v>
      </c>
      <c r="Y1747" t="s">
        <v>72</v>
      </c>
    </row>
    <row r="1748" spans="1:25" x14ac:dyDescent="0.3">
      <c r="A1748" t="s">
        <v>3573</v>
      </c>
      <c r="B1748" s="1">
        <v>46672</v>
      </c>
      <c r="C1748" t="s">
        <v>26</v>
      </c>
      <c r="D1748" t="s">
        <v>26</v>
      </c>
      <c r="E1748" t="s">
        <v>4085</v>
      </c>
      <c r="F1748" t="s">
        <v>60</v>
      </c>
      <c r="G1748" t="s">
        <v>29</v>
      </c>
      <c r="H1748" t="s">
        <v>46</v>
      </c>
      <c r="I1748">
        <v>4</v>
      </c>
      <c r="J1748" t="s">
        <v>3574</v>
      </c>
      <c r="K1748">
        <v>21</v>
      </c>
      <c r="L1748" t="s">
        <v>32</v>
      </c>
      <c r="M1748">
        <v>5</v>
      </c>
      <c r="N1748" t="s">
        <v>91</v>
      </c>
      <c r="O1748" t="s">
        <v>81</v>
      </c>
      <c r="P1748" t="s">
        <v>82</v>
      </c>
      <c r="Q1748" s="2">
        <v>13848.44</v>
      </c>
      <c r="R1748" s="2">
        <v>98.99</v>
      </c>
      <c r="S1748" t="s">
        <v>94</v>
      </c>
      <c r="T1748" t="s">
        <v>52</v>
      </c>
      <c r="U1748" t="s">
        <v>83</v>
      </c>
      <c r="V1748">
        <v>1.7</v>
      </c>
      <c r="W1748" t="s">
        <v>124</v>
      </c>
      <c r="X1748" t="s">
        <v>106</v>
      </c>
      <c r="Y1748" t="s">
        <v>41</v>
      </c>
    </row>
    <row r="1749" spans="1:25" x14ac:dyDescent="0.3">
      <c r="A1749" t="s">
        <v>3575</v>
      </c>
      <c r="B1749" s="1">
        <v>46673</v>
      </c>
      <c r="C1749" t="s">
        <v>78</v>
      </c>
      <c r="D1749" t="s">
        <v>58</v>
      </c>
      <c r="E1749" t="s">
        <v>89</v>
      </c>
      <c r="F1749" t="s">
        <v>28</v>
      </c>
      <c r="G1749" t="s">
        <v>29</v>
      </c>
      <c r="H1749" t="s">
        <v>61</v>
      </c>
      <c r="I1749">
        <v>5</v>
      </c>
      <c r="J1749" t="s">
        <v>3576</v>
      </c>
      <c r="K1749">
        <v>42</v>
      </c>
      <c r="L1749" t="s">
        <v>80</v>
      </c>
      <c r="M1749">
        <v>2</v>
      </c>
      <c r="N1749" t="s">
        <v>91</v>
      </c>
      <c r="O1749" t="s">
        <v>49</v>
      </c>
      <c r="P1749" t="s">
        <v>35</v>
      </c>
      <c r="Q1749" s="2">
        <v>17066.599999999999</v>
      </c>
      <c r="R1749" s="2">
        <v>3437.08</v>
      </c>
      <c r="S1749" t="s">
        <v>94</v>
      </c>
      <c r="T1749" t="s">
        <v>52</v>
      </c>
      <c r="U1749" t="s">
        <v>83</v>
      </c>
      <c r="V1749">
        <v>2.9</v>
      </c>
      <c r="W1749" t="s">
        <v>76</v>
      </c>
      <c r="X1749" t="s">
        <v>106</v>
      </c>
      <c r="Y1749" t="s">
        <v>41</v>
      </c>
    </row>
    <row r="1750" spans="1:25" x14ac:dyDescent="0.3">
      <c r="A1750" t="s">
        <v>3577</v>
      </c>
      <c r="B1750" s="1">
        <v>46674</v>
      </c>
      <c r="C1750" t="s">
        <v>57</v>
      </c>
      <c r="D1750" t="s">
        <v>44</v>
      </c>
      <c r="E1750" t="s">
        <v>45</v>
      </c>
      <c r="F1750" t="s">
        <v>28</v>
      </c>
      <c r="G1750" t="s">
        <v>29</v>
      </c>
      <c r="H1750" t="s">
        <v>67</v>
      </c>
      <c r="I1750">
        <v>4</v>
      </c>
      <c r="J1750" t="s">
        <v>3578</v>
      </c>
      <c r="K1750">
        <v>27</v>
      </c>
      <c r="L1750" t="s">
        <v>32</v>
      </c>
      <c r="M1750">
        <v>2</v>
      </c>
      <c r="N1750" t="s">
        <v>33</v>
      </c>
      <c r="O1750" t="s">
        <v>49</v>
      </c>
      <c r="P1750" t="s">
        <v>82</v>
      </c>
      <c r="Q1750" s="2">
        <v>19870.150000000001</v>
      </c>
      <c r="R1750" s="2">
        <v>2252.77</v>
      </c>
      <c r="S1750" t="s">
        <v>36</v>
      </c>
      <c r="T1750" t="s">
        <v>71</v>
      </c>
      <c r="U1750" t="s">
        <v>38</v>
      </c>
      <c r="V1750">
        <v>3.9</v>
      </c>
      <c r="W1750" t="s">
        <v>54</v>
      </c>
      <c r="X1750" t="s">
        <v>84</v>
      </c>
      <c r="Y1750" t="s">
        <v>72</v>
      </c>
    </row>
    <row r="1751" spans="1:25" x14ac:dyDescent="0.3">
      <c r="A1751" t="s">
        <v>3579</v>
      </c>
      <c r="B1751" s="1">
        <v>46675</v>
      </c>
      <c r="C1751" t="s">
        <v>43</v>
      </c>
      <c r="D1751" t="s">
        <v>58</v>
      </c>
      <c r="E1751" t="s">
        <v>45</v>
      </c>
      <c r="F1751" t="s">
        <v>28</v>
      </c>
      <c r="G1751" t="s">
        <v>29</v>
      </c>
      <c r="H1751" t="s">
        <v>67</v>
      </c>
      <c r="I1751">
        <v>7</v>
      </c>
      <c r="J1751" t="s">
        <v>3580</v>
      </c>
      <c r="K1751">
        <v>52</v>
      </c>
      <c r="L1751" t="s">
        <v>32</v>
      </c>
      <c r="M1751">
        <v>3</v>
      </c>
      <c r="N1751" t="s">
        <v>48</v>
      </c>
      <c r="O1751" t="s">
        <v>69</v>
      </c>
      <c r="P1751" t="s">
        <v>35</v>
      </c>
      <c r="Q1751" s="2">
        <v>26354.59</v>
      </c>
      <c r="R1751" s="2">
        <v>2620.4499999999998</v>
      </c>
      <c r="S1751" t="s">
        <v>51</v>
      </c>
      <c r="T1751" t="s">
        <v>37</v>
      </c>
      <c r="U1751" t="s">
        <v>83</v>
      </c>
      <c r="V1751">
        <v>3.5</v>
      </c>
      <c r="W1751" t="s">
        <v>54</v>
      </c>
      <c r="X1751" t="s">
        <v>40</v>
      </c>
      <c r="Y1751" t="s">
        <v>41</v>
      </c>
    </row>
    <row r="1752" spans="1:25" x14ac:dyDescent="0.3">
      <c r="A1752" t="s">
        <v>3581</v>
      </c>
      <c r="B1752" s="1">
        <v>46676</v>
      </c>
      <c r="C1752" t="s">
        <v>43</v>
      </c>
      <c r="D1752" t="s">
        <v>58</v>
      </c>
      <c r="E1752" t="s">
        <v>4085</v>
      </c>
      <c r="F1752" t="s">
        <v>60</v>
      </c>
      <c r="G1752" t="s">
        <v>29</v>
      </c>
      <c r="H1752" t="s">
        <v>59</v>
      </c>
      <c r="I1752">
        <v>8</v>
      </c>
      <c r="J1752" t="s">
        <v>3582</v>
      </c>
      <c r="K1752">
        <v>24</v>
      </c>
      <c r="L1752" t="s">
        <v>80</v>
      </c>
      <c r="M1752">
        <v>2</v>
      </c>
      <c r="N1752" t="s">
        <v>91</v>
      </c>
      <c r="O1752" t="s">
        <v>81</v>
      </c>
      <c r="P1752" t="s">
        <v>50</v>
      </c>
      <c r="Q1752" s="2">
        <v>8120.83</v>
      </c>
      <c r="R1752" s="2">
        <v>2808.32</v>
      </c>
      <c r="S1752" t="s">
        <v>51</v>
      </c>
      <c r="T1752" t="s">
        <v>37</v>
      </c>
      <c r="U1752" t="s">
        <v>53</v>
      </c>
      <c r="V1752">
        <v>3.9</v>
      </c>
      <c r="W1752" t="s">
        <v>54</v>
      </c>
      <c r="X1752" t="s">
        <v>84</v>
      </c>
      <c r="Y1752" t="s">
        <v>41</v>
      </c>
    </row>
    <row r="1753" spans="1:25" x14ac:dyDescent="0.3">
      <c r="A1753" t="s">
        <v>3583</v>
      </c>
      <c r="B1753" s="1">
        <v>46677</v>
      </c>
      <c r="C1753" t="s">
        <v>117</v>
      </c>
      <c r="D1753" t="s">
        <v>4083</v>
      </c>
      <c r="E1753" t="s">
        <v>4084</v>
      </c>
      <c r="F1753" t="s">
        <v>60</v>
      </c>
      <c r="G1753" t="s">
        <v>29</v>
      </c>
      <c r="H1753" t="s">
        <v>30</v>
      </c>
      <c r="I1753">
        <v>13</v>
      </c>
      <c r="J1753" t="s">
        <v>3584</v>
      </c>
      <c r="K1753">
        <v>59</v>
      </c>
      <c r="L1753" t="s">
        <v>32</v>
      </c>
      <c r="M1753">
        <v>7</v>
      </c>
      <c r="N1753" t="s">
        <v>64</v>
      </c>
      <c r="O1753" t="s">
        <v>49</v>
      </c>
      <c r="P1753" t="s">
        <v>82</v>
      </c>
      <c r="Q1753" s="2">
        <v>7370.29</v>
      </c>
      <c r="R1753" s="2">
        <v>3658.6</v>
      </c>
      <c r="S1753" t="s">
        <v>115</v>
      </c>
      <c r="T1753" t="s">
        <v>71</v>
      </c>
      <c r="U1753" t="s">
        <v>75</v>
      </c>
      <c r="V1753">
        <v>4.2</v>
      </c>
      <c r="W1753" t="s">
        <v>54</v>
      </c>
      <c r="X1753" t="s">
        <v>84</v>
      </c>
      <c r="Y1753" t="s">
        <v>72</v>
      </c>
    </row>
    <row r="1754" spans="1:25" x14ac:dyDescent="0.3">
      <c r="A1754" t="s">
        <v>3585</v>
      </c>
      <c r="B1754" s="1">
        <v>46678</v>
      </c>
      <c r="C1754" t="s">
        <v>26</v>
      </c>
      <c r="D1754" t="s">
        <v>26</v>
      </c>
      <c r="E1754" t="s">
        <v>45</v>
      </c>
      <c r="F1754" t="s">
        <v>28</v>
      </c>
      <c r="G1754" t="s">
        <v>29</v>
      </c>
      <c r="H1754" t="s">
        <v>67</v>
      </c>
      <c r="I1754">
        <v>7</v>
      </c>
      <c r="J1754" t="s">
        <v>3586</v>
      </c>
      <c r="K1754">
        <v>30</v>
      </c>
      <c r="L1754" t="s">
        <v>32</v>
      </c>
      <c r="M1754">
        <v>1</v>
      </c>
      <c r="N1754" t="s">
        <v>48</v>
      </c>
      <c r="O1754" t="s">
        <v>81</v>
      </c>
      <c r="P1754" t="s">
        <v>82</v>
      </c>
      <c r="Q1754" s="2">
        <v>18180.98</v>
      </c>
      <c r="R1754" s="2">
        <v>4156.66</v>
      </c>
      <c r="S1754" t="s">
        <v>94</v>
      </c>
      <c r="T1754" t="s">
        <v>71</v>
      </c>
      <c r="U1754" t="s">
        <v>53</v>
      </c>
      <c r="V1754">
        <v>2.8</v>
      </c>
      <c r="W1754" t="s">
        <v>76</v>
      </c>
      <c r="X1754" t="s">
        <v>84</v>
      </c>
      <c r="Y1754" t="s">
        <v>72</v>
      </c>
    </row>
    <row r="1755" spans="1:25" x14ac:dyDescent="0.3">
      <c r="A1755" t="s">
        <v>3587</v>
      </c>
      <c r="B1755" s="1">
        <v>46679</v>
      </c>
      <c r="C1755" t="s">
        <v>26</v>
      </c>
      <c r="D1755" t="s">
        <v>26</v>
      </c>
      <c r="E1755" t="s">
        <v>120</v>
      </c>
      <c r="F1755" t="s">
        <v>28</v>
      </c>
      <c r="G1755" t="s">
        <v>29</v>
      </c>
      <c r="H1755" t="s">
        <v>86</v>
      </c>
      <c r="I1755">
        <v>4</v>
      </c>
      <c r="J1755" t="s">
        <v>3588</v>
      </c>
      <c r="K1755">
        <v>21</v>
      </c>
      <c r="L1755" t="s">
        <v>80</v>
      </c>
      <c r="M1755">
        <v>3</v>
      </c>
      <c r="N1755" t="s">
        <v>64</v>
      </c>
      <c r="O1755" t="s">
        <v>81</v>
      </c>
      <c r="P1755" t="s">
        <v>70</v>
      </c>
      <c r="Q1755" s="2">
        <v>18309.48</v>
      </c>
      <c r="R1755" s="2">
        <v>3231.3</v>
      </c>
      <c r="S1755" t="s">
        <v>94</v>
      </c>
      <c r="T1755" t="s">
        <v>71</v>
      </c>
      <c r="U1755" t="s">
        <v>53</v>
      </c>
      <c r="V1755">
        <v>3.1</v>
      </c>
      <c r="W1755" t="s">
        <v>76</v>
      </c>
      <c r="X1755" t="s">
        <v>40</v>
      </c>
      <c r="Y1755" t="s">
        <v>72</v>
      </c>
    </row>
    <row r="1756" spans="1:25" x14ac:dyDescent="0.3">
      <c r="A1756" t="s">
        <v>3589</v>
      </c>
      <c r="B1756" s="1">
        <v>46680</v>
      </c>
      <c r="C1756" t="s">
        <v>43</v>
      </c>
      <c r="D1756" t="s">
        <v>58</v>
      </c>
      <c r="E1756" t="s">
        <v>4085</v>
      </c>
      <c r="F1756" t="s">
        <v>60</v>
      </c>
      <c r="G1756" t="s">
        <v>29</v>
      </c>
      <c r="H1756" t="s">
        <v>59</v>
      </c>
      <c r="I1756">
        <v>14</v>
      </c>
      <c r="J1756" t="s">
        <v>3590</v>
      </c>
      <c r="K1756">
        <v>67</v>
      </c>
      <c r="L1756" t="s">
        <v>63</v>
      </c>
      <c r="M1756">
        <v>2</v>
      </c>
      <c r="N1756" t="s">
        <v>64</v>
      </c>
      <c r="O1756" t="s">
        <v>69</v>
      </c>
      <c r="P1756" t="s">
        <v>35</v>
      </c>
      <c r="Q1756" s="2">
        <v>10294.08</v>
      </c>
      <c r="R1756" s="2">
        <v>2819.54</v>
      </c>
      <c r="S1756" t="s">
        <v>94</v>
      </c>
      <c r="T1756" t="s">
        <v>37</v>
      </c>
      <c r="U1756" t="s">
        <v>83</v>
      </c>
      <c r="V1756">
        <v>4.9000000000000004</v>
      </c>
      <c r="W1756" t="s">
        <v>103</v>
      </c>
      <c r="X1756" t="s">
        <v>84</v>
      </c>
      <c r="Y1756" t="s">
        <v>41</v>
      </c>
    </row>
    <row r="1757" spans="1:25" x14ac:dyDescent="0.3">
      <c r="A1757" t="s">
        <v>3591</v>
      </c>
      <c r="B1757" s="1">
        <v>46681</v>
      </c>
      <c r="C1757" t="s">
        <v>57</v>
      </c>
      <c r="D1757" t="s">
        <v>44</v>
      </c>
      <c r="E1757" t="s">
        <v>89</v>
      </c>
      <c r="F1757" t="s">
        <v>28</v>
      </c>
      <c r="G1757" t="s">
        <v>29</v>
      </c>
      <c r="H1757" t="s">
        <v>61</v>
      </c>
      <c r="I1757">
        <v>7</v>
      </c>
      <c r="J1757" t="s">
        <v>3592</v>
      </c>
      <c r="K1757">
        <v>60</v>
      </c>
      <c r="L1757" t="s">
        <v>32</v>
      </c>
      <c r="M1757">
        <v>3</v>
      </c>
      <c r="N1757" t="s">
        <v>91</v>
      </c>
      <c r="O1757" t="s">
        <v>69</v>
      </c>
      <c r="P1757" t="s">
        <v>50</v>
      </c>
      <c r="Q1757" s="2">
        <v>23215.62</v>
      </c>
      <c r="R1757" s="2">
        <v>1868.85</v>
      </c>
      <c r="S1757" t="s">
        <v>115</v>
      </c>
      <c r="T1757" t="s">
        <v>71</v>
      </c>
      <c r="U1757" t="s">
        <v>38</v>
      </c>
      <c r="V1757">
        <v>4.9000000000000004</v>
      </c>
      <c r="W1757" t="s">
        <v>103</v>
      </c>
      <c r="X1757" t="s">
        <v>106</v>
      </c>
      <c r="Y1757" t="s">
        <v>41</v>
      </c>
    </row>
    <row r="1758" spans="1:25" x14ac:dyDescent="0.3">
      <c r="A1758" t="s">
        <v>3593</v>
      </c>
      <c r="B1758" s="1">
        <v>46682</v>
      </c>
      <c r="C1758" t="s">
        <v>78</v>
      </c>
      <c r="D1758" t="s">
        <v>58</v>
      </c>
      <c r="E1758" t="s">
        <v>89</v>
      </c>
      <c r="F1758" t="s">
        <v>28</v>
      </c>
      <c r="G1758" t="s">
        <v>29</v>
      </c>
      <c r="H1758" t="s">
        <v>61</v>
      </c>
      <c r="I1758">
        <v>11</v>
      </c>
      <c r="J1758" t="s">
        <v>3594</v>
      </c>
      <c r="K1758">
        <v>53</v>
      </c>
      <c r="L1758" t="s">
        <v>32</v>
      </c>
      <c r="M1758">
        <v>3</v>
      </c>
      <c r="N1758" t="s">
        <v>33</v>
      </c>
      <c r="O1758" t="s">
        <v>81</v>
      </c>
      <c r="P1758" t="s">
        <v>82</v>
      </c>
      <c r="Q1758" s="2">
        <v>17781.29</v>
      </c>
      <c r="R1758" s="2">
        <v>689.39</v>
      </c>
      <c r="S1758" t="s">
        <v>94</v>
      </c>
      <c r="T1758" t="s">
        <v>71</v>
      </c>
      <c r="U1758" t="s">
        <v>53</v>
      </c>
      <c r="V1758">
        <v>2.7</v>
      </c>
      <c r="W1758" t="s">
        <v>76</v>
      </c>
      <c r="X1758" t="s">
        <v>84</v>
      </c>
      <c r="Y1758" t="s">
        <v>72</v>
      </c>
    </row>
    <row r="1759" spans="1:25" x14ac:dyDescent="0.3">
      <c r="A1759" t="s">
        <v>3595</v>
      </c>
      <c r="B1759" s="1">
        <v>46683</v>
      </c>
      <c r="C1759" t="s">
        <v>57</v>
      </c>
      <c r="D1759" t="s">
        <v>44</v>
      </c>
      <c r="E1759" t="s">
        <v>120</v>
      </c>
      <c r="F1759" t="s">
        <v>28</v>
      </c>
      <c r="G1759" t="s">
        <v>29</v>
      </c>
      <c r="H1759" t="s">
        <v>86</v>
      </c>
      <c r="I1759">
        <v>6</v>
      </c>
      <c r="J1759" t="s">
        <v>3596</v>
      </c>
      <c r="K1759">
        <v>31</v>
      </c>
      <c r="L1759" t="s">
        <v>63</v>
      </c>
      <c r="M1759">
        <v>4</v>
      </c>
      <c r="N1759" t="s">
        <v>33</v>
      </c>
      <c r="O1759" t="s">
        <v>34</v>
      </c>
      <c r="P1759" t="s">
        <v>35</v>
      </c>
      <c r="Q1759" s="2">
        <v>6172.5</v>
      </c>
      <c r="R1759" s="2">
        <v>4792.8900000000003</v>
      </c>
      <c r="S1759" t="s">
        <v>51</v>
      </c>
      <c r="T1759" t="s">
        <v>71</v>
      </c>
      <c r="U1759" t="s">
        <v>75</v>
      </c>
      <c r="V1759">
        <v>3.7</v>
      </c>
      <c r="W1759" t="s">
        <v>39</v>
      </c>
      <c r="X1759" t="s">
        <v>40</v>
      </c>
      <c r="Y1759" t="s">
        <v>41</v>
      </c>
    </row>
    <row r="1760" spans="1:25" x14ac:dyDescent="0.3">
      <c r="A1760" t="s">
        <v>3597</v>
      </c>
      <c r="B1760" s="1">
        <v>46684</v>
      </c>
      <c r="C1760" t="s">
        <v>78</v>
      </c>
      <c r="D1760" t="s">
        <v>58</v>
      </c>
      <c r="E1760" t="s">
        <v>45</v>
      </c>
      <c r="F1760" t="s">
        <v>28</v>
      </c>
      <c r="G1760" t="s">
        <v>29</v>
      </c>
      <c r="H1760" t="s">
        <v>67</v>
      </c>
      <c r="I1760">
        <v>14</v>
      </c>
      <c r="J1760" t="s">
        <v>3598</v>
      </c>
      <c r="K1760">
        <v>35</v>
      </c>
      <c r="L1760" t="s">
        <v>80</v>
      </c>
      <c r="M1760">
        <v>5</v>
      </c>
      <c r="N1760" t="s">
        <v>64</v>
      </c>
      <c r="O1760" t="s">
        <v>34</v>
      </c>
      <c r="P1760" t="s">
        <v>50</v>
      </c>
      <c r="Q1760" s="2">
        <v>44857.440000000002</v>
      </c>
      <c r="R1760" s="2">
        <v>2309.21</v>
      </c>
      <c r="S1760" t="s">
        <v>94</v>
      </c>
      <c r="T1760" t="s">
        <v>52</v>
      </c>
      <c r="U1760" t="s">
        <v>83</v>
      </c>
      <c r="V1760">
        <v>2.1</v>
      </c>
      <c r="W1760" t="s">
        <v>76</v>
      </c>
      <c r="X1760" t="s">
        <v>40</v>
      </c>
      <c r="Y1760" t="s">
        <v>41</v>
      </c>
    </row>
    <row r="1761" spans="1:25" x14ac:dyDescent="0.3">
      <c r="A1761" t="s">
        <v>3599</v>
      </c>
      <c r="B1761" s="1">
        <v>46685</v>
      </c>
      <c r="C1761" t="s">
        <v>43</v>
      </c>
      <c r="D1761" t="s">
        <v>58</v>
      </c>
      <c r="E1761" t="s">
        <v>4085</v>
      </c>
      <c r="F1761" t="s">
        <v>60</v>
      </c>
      <c r="G1761" t="s">
        <v>29</v>
      </c>
      <c r="H1761" t="s">
        <v>46</v>
      </c>
      <c r="I1761">
        <v>12</v>
      </c>
      <c r="J1761" t="s">
        <v>3600</v>
      </c>
      <c r="K1761">
        <v>25</v>
      </c>
      <c r="L1761" t="s">
        <v>63</v>
      </c>
      <c r="M1761">
        <v>3</v>
      </c>
      <c r="N1761" t="s">
        <v>91</v>
      </c>
      <c r="O1761" t="s">
        <v>81</v>
      </c>
      <c r="P1761" t="s">
        <v>82</v>
      </c>
      <c r="Q1761" s="2">
        <v>44870.86</v>
      </c>
      <c r="R1761" s="2">
        <v>2831.06</v>
      </c>
      <c r="S1761" t="s">
        <v>115</v>
      </c>
      <c r="T1761" t="s">
        <v>71</v>
      </c>
      <c r="U1761" t="s">
        <v>53</v>
      </c>
      <c r="V1761">
        <v>1.6</v>
      </c>
      <c r="W1761" t="s">
        <v>124</v>
      </c>
      <c r="X1761" t="s">
        <v>55</v>
      </c>
      <c r="Y1761" t="s">
        <v>41</v>
      </c>
    </row>
    <row r="1762" spans="1:25" x14ac:dyDescent="0.3">
      <c r="A1762" t="s">
        <v>3601</v>
      </c>
      <c r="B1762" s="1">
        <v>46686</v>
      </c>
      <c r="C1762" t="s">
        <v>78</v>
      </c>
      <c r="D1762" t="s">
        <v>58</v>
      </c>
      <c r="E1762" t="s">
        <v>120</v>
      </c>
      <c r="F1762" t="s">
        <v>28</v>
      </c>
      <c r="G1762" t="s">
        <v>29</v>
      </c>
      <c r="H1762" t="s">
        <v>86</v>
      </c>
      <c r="I1762">
        <v>4</v>
      </c>
      <c r="J1762" t="s">
        <v>3602</v>
      </c>
      <c r="K1762">
        <v>49</v>
      </c>
      <c r="L1762" t="s">
        <v>32</v>
      </c>
      <c r="M1762">
        <v>6</v>
      </c>
      <c r="N1762" t="s">
        <v>64</v>
      </c>
      <c r="O1762" t="s">
        <v>69</v>
      </c>
      <c r="P1762" t="s">
        <v>35</v>
      </c>
      <c r="Q1762" s="2">
        <v>14413.2</v>
      </c>
      <c r="R1762" s="2">
        <v>3755.37</v>
      </c>
      <c r="S1762" t="s">
        <v>36</v>
      </c>
      <c r="T1762" t="s">
        <v>52</v>
      </c>
      <c r="U1762" t="s">
        <v>83</v>
      </c>
      <c r="V1762">
        <v>4.0999999999999996</v>
      </c>
      <c r="W1762" t="s">
        <v>54</v>
      </c>
      <c r="X1762" t="s">
        <v>84</v>
      </c>
      <c r="Y1762" t="s">
        <v>41</v>
      </c>
    </row>
    <row r="1763" spans="1:25" x14ac:dyDescent="0.3">
      <c r="A1763" t="s">
        <v>3603</v>
      </c>
      <c r="B1763" s="1">
        <v>46687</v>
      </c>
      <c r="C1763" t="s">
        <v>26</v>
      </c>
      <c r="D1763" t="s">
        <v>26</v>
      </c>
      <c r="E1763" t="s">
        <v>45</v>
      </c>
      <c r="F1763" t="s">
        <v>28</v>
      </c>
      <c r="G1763" t="s">
        <v>29</v>
      </c>
      <c r="H1763" t="s">
        <v>67</v>
      </c>
      <c r="I1763">
        <v>5</v>
      </c>
      <c r="J1763" t="s">
        <v>3604</v>
      </c>
      <c r="K1763">
        <v>44</v>
      </c>
      <c r="L1763" t="s">
        <v>63</v>
      </c>
      <c r="M1763">
        <v>7</v>
      </c>
      <c r="N1763" t="s">
        <v>48</v>
      </c>
      <c r="O1763" t="s">
        <v>34</v>
      </c>
      <c r="P1763" t="s">
        <v>70</v>
      </c>
      <c r="Q1763" s="2">
        <v>12329.25</v>
      </c>
      <c r="R1763" s="2">
        <v>342.05</v>
      </c>
      <c r="S1763" t="s">
        <v>36</v>
      </c>
      <c r="T1763" t="s">
        <v>37</v>
      </c>
      <c r="U1763" t="s">
        <v>75</v>
      </c>
      <c r="V1763">
        <v>2.7</v>
      </c>
      <c r="W1763" t="s">
        <v>76</v>
      </c>
      <c r="X1763" t="s">
        <v>40</v>
      </c>
      <c r="Y1763" t="s">
        <v>41</v>
      </c>
    </row>
    <row r="1764" spans="1:25" x14ac:dyDescent="0.3">
      <c r="A1764" t="s">
        <v>3605</v>
      </c>
      <c r="B1764" s="1">
        <v>46688</v>
      </c>
      <c r="C1764" t="s">
        <v>117</v>
      </c>
      <c r="D1764" t="s">
        <v>4083</v>
      </c>
      <c r="E1764" t="s">
        <v>4085</v>
      </c>
      <c r="F1764" t="s">
        <v>60</v>
      </c>
      <c r="G1764" t="s">
        <v>29</v>
      </c>
      <c r="H1764" t="s">
        <v>59</v>
      </c>
      <c r="I1764">
        <v>5</v>
      </c>
      <c r="J1764" t="s">
        <v>3606</v>
      </c>
      <c r="K1764">
        <v>59</v>
      </c>
      <c r="L1764" t="s">
        <v>80</v>
      </c>
      <c r="M1764">
        <v>7</v>
      </c>
      <c r="N1764" t="s">
        <v>64</v>
      </c>
      <c r="O1764" t="s">
        <v>69</v>
      </c>
      <c r="P1764" t="s">
        <v>82</v>
      </c>
      <c r="Q1764" s="2">
        <v>29628.17</v>
      </c>
      <c r="R1764" s="2">
        <v>4275.0600000000004</v>
      </c>
      <c r="S1764" t="s">
        <v>51</v>
      </c>
      <c r="T1764" t="s">
        <v>37</v>
      </c>
      <c r="U1764" t="s">
        <v>83</v>
      </c>
      <c r="V1764">
        <v>1.7</v>
      </c>
      <c r="W1764" t="s">
        <v>124</v>
      </c>
      <c r="X1764" t="s">
        <v>84</v>
      </c>
      <c r="Y1764" t="s">
        <v>72</v>
      </c>
    </row>
    <row r="1765" spans="1:25" x14ac:dyDescent="0.3">
      <c r="A1765" t="s">
        <v>3607</v>
      </c>
      <c r="B1765" s="1">
        <v>46689</v>
      </c>
      <c r="C1765" t="s">
        <v>117</v>
      </c>
      <c r="D1765" t="s">
        <v>4083</v>
      </c>
      <c r="E1765" t="s">
        <v>89</v>
      </c>
      <c r="F1765" t="s">
        <v>28</v>
      </c>
      <c r="G1765" t="s">
        <v>29</v>
      </c>
      <c r="H1765" t="s">
        <v>61</v>
      </c>
      <c r="I1765">
        <v>11</v>
      </c>
      <c r="J1765" t="s">
        <v>3608</v>
      </c>
      <c r="K1765">
        <v>54</v>
      </c>
      <c r="L1765" t="s">
        <v>32</v>
      </c>
      <c r="M1765">
        <v>3</v>
      </c>
      <c r="N1765" t="s">
        <v>91</v>
      </c>
      <c r="O1765" t="s">
        <v>34</v>
      </c>
      <c r="P1765" t="s">
        <v>35</v>
      </c>
      <c r="Q1765" s="2">
        <v>33383.910000000003</v>
      </c>
      <c r="R1765" s="2">
        <v>3985.13</v>
      </c>
      <c r="S1765" t="s">
        <v>51</v>
      </c>
      <c r="T1765" t="s">
        <v>37</v>
      </c>
      <c r="U1765" t="s">
        <v>38</v>
      </c>
      <c r="V1765">
        <v>4</v>
      </c>
      <c r="W1765" t="s">
        <v>54</v>
      </c>
      <c r="X1765" t="s">
        <v>65</v>
      </c>
      <c r="Y1765" t="s">
        <v>41</v>
      </c>
    </row>
    <row r="1766" spans="1:25" x14ac:dyDescent="0.3">
      <c r="A1766" t="s">
        <v>3609</v>
      </c>
      <c r="B1766" s="1">
        <v>46690</v>
      </c>
      <c r="C1766" t="s">
        <v>43</v>
      </c>
      <c r="D1766" t="s">
        <v>58</v>
      </c>
      <c r="E1766" t="s">
        <v>4085</v>
      </c>
      <c r="F1766" t="s">
        <v>60</v>
      </c>
      <c r="G1766" t="s">
        <v>29</v>
      </c>
      <c r="H1766" t="s">
        <v>46</v>
      </c>
      <c r="I1766">
        <v>6</v>
      </c>
      <c r="J1766" t="s">
        <v>3610</v>
      </c>
      <c r="K1766">
        <v>40</v>
      </c>
      <c r="L1766" t="s">
        <v>80</v>
      </c>
      <c r="M1766">
        <v>6</v>
      </c>
      <c r="N1766" t="s">
        <v>64</v>
      </c>
      <c r="O1766" t="s">
        <v>81</v>
      </c>
      <c r="P1766" t="s">
        <v>50</v>
      </c>
      <c r="Q1766" s="2">
        <v>48089.42</v>
      </c>
      <c r="R1766" s="2">
        <v>3872.14</v>
      </c>
      <c r="S1766" t="s">
        <v>51</v>
      </c>
      <c r="T1766" t="s">
        <v>52</v>
      </c>
      <c r="U1766" t="s">
        <v>53</v>
      </c>
      <c r="V1766">
        <v>4.7</v>
      </c>
      <c r="W1766" t="s">
        <v>103</v>
      </c>
      <c r="X1766" t="s">
        <v>106</v>
      </c>
      <c r="Y1766" t="s">
        <v>72</v>
      </c>
    </row>
    <row r="1767" spans="1:25" x14ac:dyDescent="0.3">
      <c r="A1767" t="s">
        <v>3611</v>
      </c>
      <c r="B1767" s="1">
        <v>46691</v>
      </c>
      <c r="C1767" t="s">
        <v>26</v>
      </c>
      <c r="D1767" t="s">
        <v>26</v>
      </c>
      <c r="E1767" t="s">
        <v>4084</v>
      </c>
      <c r="F1767" t="s">
        <v>60</v>
      </c>
      <c r="G1767" t="s">
        <v>29</v>
      </c>
      <c r="H1767" t="s">
        <v>27</v>
      </c>
      <c r="I1767">
        <v>3</v>
      </c>
      <c r="J1767" t="s">
        <v>3612</v>
      </c>
      <c r="K1767">
        <v>24</v>
      </c>
      <c r="L1767" t="s">
        <v>80</v>
      </c>
      <c r="M1767">
        <v>7</v>
      </c>
      <c r="N1767" t="s">
        <v>91</v>
      </c>
      <c r="O1767" t="s">
        <v>49</v>
      </c>
      <c r="P1767" t="s">
        <v>50</v>
      </c>
      <c r="Q1767" s="2">
        <v>21980.68</v>
      </c>
      <c r="R1767" s="2">
        <v>109.91</v>
      </c>
      <c r="S1767" t="s">
        <v>36</v>
      </c>
      <c r="T1767" t="s">
        <v>71</v>
      </c>
      <c r="U1767" t="s">
        <v>53</v>
      </c>
      <c r="V1767">
        <v>4.7</v>
      </c>
      <c r="W1767" t="s">
        <v>103</v>
      </c>
      <c r="X1767" t="s">
        <v>106</v>
      </c>
      <c r="Y1767" t="s">
        <v>72</v>
      </c>
    </row>
    <row r="1768" spans="1:25" x14ac:dyDescent="0.3">
      <c r="A1768" t="s">
        <v>3613</v>
      </c>
      <c r="B1768" s="1">
        <v>46692</v>
      </c>
      <c r="C1768" t="s">
        <v>57</v>
      </c>
      <c r="D1768" t="s">
        <v>44</v>
      </c>
      <c r="E1768" t="s">
        <v>4085</v>
      </c>
      <c r="F1768" t="s">
        <v>60</v>
      </c>
      <c r="G1768" t="s">
        <v>29</v>
      </c>
      <c r="H1768" t="s">
        <v>46</v>
      </c>
      <c r="I1768">
        <v>3</v>
      </c>
      <c r="J1768" t="s">
        <v>3614</v>
      </c>
      <c r="K1768">
        <v>29</v>
      </c>
      <c r="L1768" t="s">
        <v>63</v>
      </c>
      <c r="M1768">
        <v>4</v>
      </c>
      <c r="N1768" t="s">
        <v>33</v>
      </c>
      <c r="O1768" t="s">
        <v>49</v>
      </c>
      <c r="P1768" t="s">
        <v>70</v>
      </c>
      <c r="Q1768" s="2">
        <v>32819.019999999997</v>
      </c>
      <c r="R1768" s="2">
        <v>2632.59</v>
      </c>
      <c r="S1768" t="s">
        <v>94</v>
      </c>
      <c r="T1768" t="s">
        <v>37</v>
      </c>
      <c r="U1768" t="s">
        <v>38</v>
      </c>
      <c r="V1768">
        <v>3.4</v>
      </c>
      <c r="W1768" t="s">
        <v>76</v>
      </c>
      <c r="X1768" t="s">
        <v>84</v>
      </c>
      <c r="Y1768" t="s">
        <v>41</v>
      </c>
    </row>
    <row r="1769" spans="1:25" x14ac:dyDescent="0.3">
      <c r="A1769" t="s">
        <v>3615</v>
      </c>
      <c r="B1769" s="1">
        <v>46693</v>
      </c>
      <c r="C1769" t="s">
        <v>26</v>
      </c>
      <c r="D1769" t="s">
        <v>26</v>
      </c>
      <c r="E1769" t="s">
        <v>4084</v>
      </c>
      <c r="F1769" t="s">
        <v>60</v>
      </c>
      <c r="G1769" t="s">
        <v>29</v>
      </c>
      <c r="H1769" t="s">
        <v>27</v>
      </c>
      <c r="I1769">
        <v>9</v>
      </c>
      <c r="J1769" t="s">
        <v>3616</v>
      </c>
      <c r="K1769">
        <v>42</v>
      </c>
      <c r="L1769" t="s">
        <v>63</v>
      </c>
      <c r="M1769">
        <v>2</v>
      </c>
      <c r="N1769" t="s">
        <v>91</v>
      </c>
      <c r="O1769" t="s">
        <v>69</v>
      </c>
      <c r="P1769" t="s">
        <v>82</v>
      </c>
      <c r="Q1769" s="2">
        <v>44518.15</v>
      </c>
      <c r="R1769" s="2">
        <v>271.33999999999997</v>
      </c>
      <c r="S1769" t="s">
        <v>115</v>
      </c>
      <c r="T1769" t="s">
        <v>71</v>
      </c>
      <c r="U1769" t="s">
        <v>75</v>
      </c>
      <c r="V1769">
        <v>2.9</v>
      </c>
      <c r="W1769" t="s">
        <v>76</v>
      </c>
      <c r="X1769" t="s">
        <v>106</v>
      </c>
      <c r="Y1769" t="s">
        <v>72</v>
      </c>
    </row>
    <row r="1770" spans="1:25" x14ac:dyDescent="0.3">
      <c r="A1770" t="s">
        <v>3617</v>
      </c>
      <c r="B1770" s="1">
        <v>46694</v>
      </c>
      <c r="C1770" t="s">
        <v>117</v>
      </c>
      <c r="D1770" t="s">
        <v>4083</v>
      </c>
      <c r="E1770" t="s">
        <v>4085</v>
      </c>
      <c r="F1770" t="s">
        <v>60</v>
      </c>
      <c r="G1770" t="s">
        <v>29</v>
      </c>
      <c r="H1770" t="s">
        <v>59</v>
      </c>
      <c r="I1770">
        <v>9</v>
      </c>
      <c r="J1770" t="s">
        <v>3618</v>
      </c>
      <c r="K1770">
        <v>20</v>
      </c>
      <c r="L1770" t="s">
        <v>80</v>
      </c>
      <c r="M1770">
        <v>3</v>
      </c>
      <c r="N1770" t="s">
        <v>48</v>
      </c>
      <c r="O1770" t="s">
        <v>69</v>
      </c>
      <c r="P1770" t="s">
        <v>70</v>
      </c>
      <c r="Q1770" s="2">
        <v>25247.919999999998</v>
      </c>
      <c r="R1770" s="2">
        <v>2754.36</v>
      </c>
      <c r="S1770" t="s">
        <v>115</v>
      </c>
      <c r="T1770" t="s">
        <v>52</v>
      </c>
      <c r="U1770" t="s">
        <v>75</v>
      </c>
      <c r="V1770">
        <v>1.6</v>
      </c>
      <c r="W1770" t="s">
        <v>124</v>
      </c>
      <c r="X1770" t="s">
        <v>106</v>
      </c>
      <c r="Y1770" t="s">
        <v>72</v>
      </c>
    </row>
    <row r="1771" spans="1:25" x14ac:dyDescent="0.3">
      <c r="A1771" t="s">
        <v>3619</v>
      </c>
      <c r="B1771" s="1">
        <v>46695</v>
      </c>
      <c r="C1771" t="s">
        <v>117</v>
      </c>
      <c r="D1771" t="s">
        <v>4083</v>
      </c>
      <c r="E1771" t="s">
        <v>4084</v>
      </c>
      <c r="F1771" t="s">
        <v>60</v>
      </c>
      <c r="G1771" t="s">
        <v>29</v>
      </c>
      <c r="H1771" t="s">
        <v>27</v>
      </c>
      <c r="I1771">
        <v>4</v>
      </c>
      <c r="J1771" t="s">
        <v>3620</v>
      </c>
      <c r="K1771">
        <v>43</v>
      </c>
      <c r="L1771" t="s">
        <v>80</v>
      </c>
      <c r="M1771">
        <v>4</v>
      </c>
      <c r="N1771" t="s">
        <v>91</v>
      </c>
      <c r="O1771" t="s">
        <v>34</v>
      </c>
      <c r="P1771" t="s">
        <v>35</v>
      </c>
      <c r="Q1771" s="2">
        <v>10505.56</v>
      </c>
      <c r="R1771" s="2">
        <v>3592.24</v>
      </c>
      <c r="S1771" t="s">
        <v>94</v>
      </c>
      <c r="T1771" t="s">
        <v>37</v>
      </c>
      <c r="U1771" t="s">
        <v>83</v>
      </c>
      <c r="V1771">
        <v>4.2</v>
      </c>
      <c r="W1771" t="s">
        <v>54</v>
      </c>
      <c r="X1771" t="s">
        <v>65</v>
      </c>
      <c r="Y1771" t="s">
        <v>41</v>
      </c>
    </row>
    <row r="1772" spans="1:25" x14ac:dyDescent="0.3">
      <c r="A1772" t="s">
        <v>3621</v>
      </c>
      <c r="B1772" s="1">
        <v>46696</v>
      </c>
      <c r="C1772" t="s">
        <v>26</v>
      </c>
      <c r="D1772" t="s">
        <v>26</v>
      </c>
      <c r="E1772" t="s">
        <v>89</v>
      </c>
      <c r="F1772" t="s">
        <v>28</v>
      </c>
      <c r="G1772" t="s">
        <v>29</v>
      </c>
      <c r="H1772" t="s">
        <v>61</v>
      </c>
      <c r="I1772">
        <v>11</v>
      </c>
      <c r="J1772" t="s">
        <v>3622</v>
      </c>
      <c r="K1772">
        <v>21</v>
      </c>
      <c r="L1772" t="s">
        <v>32</v>
      </c>
      <c r="M1772">
        <v>1</v>
      </c>
      <c r="N1772" t="s">
        <v>48</v>
      </c>
      <c r="O1772" t="s">
        <v>81</v>
      </c>
      <c r="P1772" t="s">
        <v>50</v>
      </c>
      <c r="Q1772" s="2">
        <v>21985.13</v>
      </c>
      <c r="R1772" s="2">
        <v>609.25</v>
      </c>
      <c r="S1772" t="s">
        <v>36</v>
      </c>
      <c r="T1772" t="s">
        <v>71</v>
      </c>
      <c r="U1772" t="s">
        <v>53</v>
      </c>
      <c r="V1772">
        <v>4.8</v>
      </c>
      <c r="W1772" t="s">
        <v>103</v>
      </c>
      <c r="X1772" t="s">
        <v>106</v>
      </c>
      <c r="Y1772" t="s">
        <v>72</v>
      </c>
    </row>
    <row r="1773" spans="1:25" x14ac:dyDescent="0.3">
      <c r="A1773" t="s">
        <v>3623</v>
      </c>
      <c r="B1773" s="1">
        <v>46697</v>
      </c>
      <c r="C1773" t="s">
        <v>26</v>
      </c>
      <c r="D1773" t="s">
        <v>26</v>
      </c>
      <c r="E1773" t="s">
        <v>45</v>
      </c>
      <c r="F1773" t="s">
        <v>28</v>
      </c>
      <c r="G1773" t="s">
        <v>29</v>
      </c>
      <c r="H1773" t="s">
        <v>67</v>
      </c>
      <c r="I1773">
        <v>11</v>
      </c>
      <c r="J1773" t="s">
        <v>3624</v>
      </c>
      <c r="K1773">
        <v>59</v>
      </c>
      <c r="L1773" t="s">
        <v>80</v>
      </c>
      <c r="M1773">
        <v>4</v>
      </c>
      <c r="N1773" t="s">
        <v>48</v>
      </c>
      <c r="O1773" t="s">
        <v>34</v>
      </c>
      <c r="P1773" t="s">
        <v>70</v>
      </c>
      <c r="Q1773" s="2">
        <v>11145.51</v>
      </c>
      <c r="R1773" s="2">
        <v>3474.42</v>
      </c>
      <c r="S1773" t="s">
        <v>36</v>
      </c>
      <c r="T1773" t="s">
        <v>71</v>
      </c>
      <c r="U1773" t="s">
        <v>75</v>
      </c>
      <c r="V1773">
        <v>4.5999999999999996</v>
      </c>
      <c r="W1773" t="s">
        <v>103</v>
      </c>
      <c r="X1773" t="s">
        <v>106</v>
      </c>
      <c r="Y1773" t="s">
        <v>41</v>
      </c>
    </row>
    <row r="1774" spans="1:25" x14ac:dyDescent="0.3">
      <c r="A1774" t="s">
        <v>3625</v>
      </c>
      <c r="B1774" s="1">
        <v>46698</v>
      </c>
      <c r="C1774" t="s">
        <v>117</v>
      </c>
      <c r="D1774" t="s">
        <v>4083</v>
      </c>
      <c r="E1774" t="s">
        <v>4084</v>
      </c>
      <c r="F1774" t="s">
        <v>60</v>
      </c>
      <c r="G1774" t="s">
        <v>29</v>
      </c>
      <c r="H1774" t="s">
        <v>30</v>
      </c>
      <c r="I1774">
        <v>7</v>
      </c>
      <c r="J1774" t="s">
        <v>3626</v>
      </c>
      <c r="K1774">
        <v>53</v>
      </c>
      <c r="L1774" t="s">
        <v>80</v>
      </c>
      <c r="M1774">
        <v>5</v>
      </c>
      <c r="N1774" t="s">
        <v>64</v>
      </c>
      <c r="O1774" t="s">
        <v>81</v>
      </c>
      <c r="P1774" t="s">
        <v>82</v>
      </c>
      <c r="Q1774" s="2">
        <v>5748.78</v>
      </c>
      <c r="R1774" s="2">
        <v>2247.66</v>
      </c>
      <c r="S1774" t="s">
        <v>115</v>
      </c>
      <c r="T1774" t="s">
        <v>37</v>
      </c>
      <c r="U1774" t="s">
        <v>38</v>
      </c>
      <c r="V1774">
        <v>4</v>
      </c>
      <c r="W1774" t="s">
        <v>54</v>
      </c>
      <c r="X1774" t="s">
        <v>40</v>
      </c>
      <c r="Y1774" t="s">
        <v>41</v>
      </c>
    </row>
    <row r="1775" spans="1:25" x14ac:dyDescent="0.3">
      <c r="A1775" t="s">
        <v>3627</v>
      </c>
      <c r="B1775" s="1">
        <v>46699</v>
      </c>
      <c r="C1775" t="s">
        <v>57</v>
      </c>
      <c r="D1775" t="s">
        <v>44</v>
      </c>
      <c r="E1775" t="s">
        <v>4084</v>
      </c>
      <c r="F1775" t="s">
        <v>60</v>
      </c>
      <c r="G1775" t="s">
        <v>29</v>
      </c>
      <c r="H1775" t="s">
        <v>27</v>
      </c>
      <c r="I1775">
        <v>5</v>
      </c>
      <c r="J1775" t="s">
        <v>3628</v>
      </c>
      <c r="K1775">
        <v>32</v>
      </c>
      <c r="L1775" t="s">
        <v>63</v>
      </c>
      <c r="M1775">
        <v>5</v>
      </c>
      <c r="N1775" t="s">
        <v>48</v>
      </c>
      <c r="O1775" t="s">
        <v>81</v>
      </c>
      <c r="P1775" t="s">
        <v>35</v>
      </c>
      <c r="Q1775" s="2">
        <v>38819.89</v>
      </c>
      <c r="R1775" s="2">
        <v>4057.76</v>
      </c>
      <c r="S1775" t="s">
        <v>51</v>
      </c>
      <c r="T1775" t="s">
        <v>71</v>
      </c>
      <c r="U1775" t="s">
        <v>38</v>
      </c>
      <c r="V1775">
        <v>1</v>
      </c>
      <c r="W1775" t="s">
        <v>124</v>
      </c>
      <c r="X1775" t="s">
        <v>106</v>
      </c>
      <c r="Y1775" t="s">
        <v>72</v>
      </c>
    </row>
    <row r="1776" spans="1:25" x14ac:dyDescent="0.3">
      <c r="A1776" t="s">
        <v>3629</v>
      </c>
      <c r="B1776" s="1">
        <v>46700</v>
      </c>
      <c r="C1776" t="s">
        <v>43</v>
      </c>
      <c r="D1776" t="s">
        <v>58</v>
      </c>
      <c r="E1776" t="s">
        <v>89</v>
      </c>
      <c r="F1776" t="s">
        <v>28</v>
      </c>
      <c r="G1776" t="s">
        <v>29</v>
      </c>
      <c r="H1776" t="s">
        <v>61</v>
      </c>
      <c r="I1776">
        <v>5</v>
      </c>
      <c r="J1776" t="s">
        <v>3630</v>
      </c>
      <c r="K1776">
        <v>49</v>
      </c>
      <c r="L1776" t="s">
        <v>80</v>
      </c>
      <c r="M1776">
        <v>2</v>
      </c>
      <c r="N1776" t="s">
        <v>91</v>
      </c>
      <c r="O1776" t="s">
        <v>69</v>
      </c>
      <c r="P1776" t="s">
        <v>82</v>
      </c>
      <c r="Q1776" s="2">
        <v>15729.07</v>
      </c>
      <c r="R1776" s="2">
        <v>2667.94</v>
      </c>
      <c r="S1776" t="s">
        <v>51</v>
      </c>
      <c r="T1776" t="s">
        <v>52</v>
      </c>
      <c r="U1776" t="s">
        <v>38</v>
      </c>
      <c r="V1776">
        <v>2.6</v>
      </c>
      <c r="W1776" t="s">
        <v>76</v>
      </c>
      <c r="X1776" t="s">
        <v>84</v>
      </c>
      <c r="Y1776" t="s">
        <v>41</v>
      </c>
    </row>
    <row r="1777" spans="1:25" x14ac:dyDescent="0.3">
      <c r="A1777" t="s">
        <v>3631</v>
      </c>
      <c r="B1777" s="1">
        <v>46701</v>
      </c>
      <c r="C1777" t="s">
        <v>43</v>
      </c>
      <c r="D1777" t="s">
        <v>58</v>
      </c>
      <c r="E1777" t="s">
        <v>4084</v>
      </c>
      <c r="F1777" t="s">
        <v>60</v>
      </c>
      <c r="G1777" t="s">
        <v>29</v>
      </c>
      <c r="H1777" t="s">
        <v>27</v>
      </c>
      <c r="I1777">
        <v>14</v>
      </c>
      <c r="J1777" t="s">
        <v>3632</v>
      </c>
      <c r="K1777">
        <v>46</v>
      </c>
      <c r="L1777" t="s">
        <v>80</v>
      </c>
      <c r="M1777">
        <v>6</v>
      </c>
      <c r="N1777" t="s">
        <v>33</v>
      </c>
      <c r="O1777" t="s">
        <v>49</v>
      </c>
      <c r="P1777" t="s">
        <v>70</v>
      </c>
      <c r="Q1777" s="2">
        <v>5090.32</v>
      </c>
      <c r="R1777" s="2">
        <v>1680.61</v>
      </c>
      <c r="S1777" t="s">
        <v>115</v>
      </c>
      <c r="T1777" t="s">
        <v>37</v>
      </c>
      <c r="U1777" t="s">
        <v>75</v>
      </c>
      <c r="V1777">
        <v>2.6</v>
      </c>
      <c r="W1777" t="s">
        <v>76</v>
      </c>
      <c r="X1777" t="s">
        <v>106</v>
      </c>
      <c r="Y1777" t="s">
        <v>72</v>
      </c>
    </row>
    <row r="1778" spans="1:25" x14ac:dyDescent="0.3">
      <c r="A1778" t="s">
        <v>3633</v>
      </c>
      <c r="B1778" s="1">
        <v>46702</v>
      </c>
      <c r="C1778" t="s">
        <v>26</v>
      </c>
      <c r="D1778" t="s">
        <v>26</v>
      </c>
      <c r="E1778" t="s">
        <v>120</v>
      </c>
      <c r="F1778" t="s">
        <v>28</v>
      </c>
      <c r="G1778" t="s">
        <v>29</v>
      </c>
      <c r="H1778" t="s">
        <v>86</v>
      </c>
      <c r="I1778">
        <v>5</v>
      </c>
      <c r="J1778" t="s">
        <v>3634</v>
      </c>
      <c r="K1778">
        <v>27</v>
      </c>
      <c r="L1778" t="s">
        <v>63</v>
      </c>
      <c r="M1778">
        <v>2</v>
      </c>
      <c r="N1778" t="s">
        <v>91</v>
      </c>
      <c r="O1778" t="s">
        <v>49</v>
      </c>
      <c r="P1778" t="s">
        <v>50</v>
      </c>
      <c r="Q1778" s="2">
        <v>44259.46</v>
      </c>
      <c r="R1778" s="2">
        <v>1659.96</v>
      </c>
      <c r="S1778" t="s">
        <v>115</v>
      </c>
      <c r="T1778" t="s">
        <v>37</v>
      </c>
      <c r="U1778" t="s">
        <v>38</v>
      </c>
      <c r="V1778">
        <v>4.5999999999999996</v>
      </c>
      <c r="W1778" t="s">
        <v>103</v>
      </c>
      <c r="X1778" t="s">
        <v>84</v>
      </c>
      <c r="Y1778" t="s">
        <v>72</v>
      </c>
    </row>
    <row r="1779" spans="1:25" x14ac:dyDescent="0.3">
      <c r="A1779" t="s">
        <v>3635</v>
      </c>
      <c r="B1779" s="1">
        <v>46703</v>
      </c>
      <c r="C1779" t="s">
        <v>43</v>
      </c>
      <c r="D1779" t="s">
        <v>58</v>
      </c>
      <c r="E1779" t="s">
        <v>89</v>
      </c>
      <c r="F1779" t="s">
        <v>28</v>
      </c>
      <c r="G1779" t="s">
        <v>29</v>
      </c>
      <c r="H1779" t="s">
        <v>61</v>
      </c>
      <c r="I1779">
        <v>8</v>
      </c>
      <c r="J1779" t="s">
        <v>3636</v>
      </c>
      <c r="K1779">
        <v>38</v>
      </c>
      <c r="L1779" t="s">
        <v>32</v>
      </c>
      <c r="M1779">
        <v>7</v>
      </c>
      <c r="N1779" t="s">
        <v>33</v>
      </c>
      <c r="O1779" t="s">
        <v>69</v>
      </c>
      <c r="P1779" t="s">
        <v>50</v>
      </c>
      <c r="Q1779" s="2">
        <v>24970.5</v>
      </c>
      <c r="R1779" s="2">
        <v>4487.43</v>
      </c>
      <c r="S1779" t="s">
        <v>94</v>
      </c>
      <c r="T1779" t="s">
        <v>37</v>
      </c>
      <c r="U1779" t="s">
        <v>53</v>
      </c>
      <c r="V1779">
        <v>1.3</v>
      </c>
      <c r="W1779" t="s">
        <v>124</v>
      </c>
      <c r="X1779" t="s">
        <v>106</v>
      </c>
      <c r="Y1779" t="s">
        <v>41</v>
      </c>
    </row>
    <row r="1780" spans="1:25" x14ac:dyDescent="0.3">
      <c r="A1780" t="s">
        <v>3637</v>
      </c>
      <c r="B1780" s="1">
        <v>46704</v>
      </c>
      <c r="C1780" t="s">
        <v>117</v>
      </c>
      <c r="D1780" t="s">
        <v>4083</v>
      </c>
      <c r="E1780" t="s">
        <v>120</v>
      </c>
      <c r="F1780" t="s">
        <v>28</v>
      </c>
      <c r="G1780" t="s">
        <v>29</v>
      </c>
      <c r="H1780" t="s">
        <v>86</v>
      </c>
      <c r="I1780">
        <v>6</v>
      </c>
      <c r="J1780" t="s">
        <v>3638</v>
      </c>
      <c r="K1780">
        <v>33</v>
      </c>
      <c r="L1780" t="s">
        <v>63</v>
      </c>
      <c r="M1780">
        <v>6</v>
      </c>
      <c r="N1780" t="s">
        <v>48</v>
      </c>
      <c r="O1780" t="s">
        <v>49</v>
      </c>
      <c r="P1780" t="s">
        <v>70</v>
      </c>
      <c r="Q1780" s="2">
        <v>15748.69</v>
      </c>
      <c r="R1780" s="2">
        <v>2264.36</v>
      </c>
      <c r="S1780" t="s">
        <v>94</v>
      </c>
      <c r="T1780" t="s">
        <v>37</v>
      </c>
      <c r="U1780" t="s">
        <v>75</v>
      </c>
      <c r="V1780">
        <v>3.1</v>
      </c>
      <c r="W1780" t="s">
        <v>76</v>
      </c>
      <c r="X1780" t="s">
        <v>84</v>
      </c>
      <c r="Y1780" t="s">
        <v>41</v>
      </c>
    </row>
    <row r="1781" spans="1:25" x14ac:dyDescent="0.3">
      <c r="A1781" t="s">
        <v>3639</v>
      </c>
      <c r="B1781" s="1">
        <v>46705</v>
      </c>
      <c r="C1781" t="s">
        <v>117</v>
      </c>
      <c r="D1781" t="s">
        <v>4083</v>
      </c>
      <c r="E1781" t="s">
        <v>89</v>
      </c>
      <c r="F1781" t="s">
        <v>28</v>
      </c>
      <c r="G1781" t="s">
        <v>29</v>
      </c>
      <c r="H1781" t="s">
        <v>61</v>
      </c>
      <c r="I1781">
        <v>10</v>
      </c>
      <c r="J1781" t="s">
        <v>3640</v>
      </c>
      <c r="K1781">
        <v>64</v>
      </c>
      <c r="L1781" t="s">
        <v>63</v>
      </c>
      <c r="M1781">
        <v>6</v>
      </c>
      <c r="N1781" t="s">
        <v>64</v>
      </c>
      <c r="O1781" t="s">
        <v>69</v>
      </c>
      <c r="P1781" t="s">
        <v>82</v>
      </c>
      <c r="Q1781" s="2">
        <v>16825.55</v>
      </c>
      <c r="R1781" s="2">
        <v>2028.77</v>
      </c>
      <c r="S1781" t="s">
        <v>94</v>
      </c>
      <c r="T1781" t="s">
        <v>52</v>
      </c>
      <c r="U1781" t="s">
        <v>75</v>
      </c>
      <c r="V1781">
        <v>1.5</v>
      </c>
      <c r="W1781" t="s">
        <v>124</v>
      </c>
      <c r="X1781" t="s">
        <v>106</v>
      </c>
      <c r="Y1781" t="s">
        <v>41</v>
      </c>
    </row>
    <row r="1782" spans="1:25" x14ac:dyDescent="0.3">
      <c r="A1782" t="s">
        <v>3641</v>
      </c>
      <c r="B1782" s="1">
        <v>46706</v>
      </c>
      <c r="C1782" t="s">
        <v>26</v>
      </c>
      <c r="D1782" t="s">
        <v>26</v>
      </c>
      <c r="E1782" t="s">
        <v>4084</v>
      </c>
      <c r="F1782" t="s">
        <v>60</v>
      </c>
      <c r="G1782" t="s">
        <v>29</v>
      </c>
      <c r="H1782" t="s">
        <v>30</v>
      </c>
      <c r="I1782">
        <v>13</v>
      </c>
      <c r="J1782" t="s">
        <v>3642</v>
      </c>
      <c r="K1782">
        <v>36</v>
      </c>
      <c r="L1782" t="s">
        <v>80</v>
      </c>
      <c r="M1782">
        <v>6</v>
      </c>
      <c r="N1782" t="s">
        <v>48</v>
      </c>
      <c r="O1782" t="s">
        <v>34</v>
      </c>
      <c r="P1782" t="s">
        <v>82</v>
      </c>
      <c r="Q1782" s="2">
        <v>15824.21</v>
      </c>
      <c r="R1782" s="2">
        <v>199.37</v>
      </c>
      <c r="S1782" t="s">
        <v>94</v>
      </c>
      <c r="T1782" t="s">
        <v>52</v>
      </c>
      <c r="U1782" t="s">
        <v>53</v>
      </c>
      <c r="V1782">
        <v>3.6</v>
      </c>
      <c r="W1782" t="s">
        <v>54</v>
      </c>
      <c r="X1782" t="s">
        <v>84</v>
      </c>
      <c r="Y1782" t="s">
        <v>41</v>
      </c>
    </row>
    <row r="1783" spans="1:25" x14ac:dyDescent="0.3">
      <c r="A1783" t="s">
        <v>3643</v>
      </c>
      <c r="B1783" s="1">
        <v>46707</v>
      </c>
      <c r="C1783" t="s">
        <v>26</v>
      </c>
      <c r="D1783" t="s">
        <v>26</v>
      </c>
      <c r="E1783" t="s">
        <v>120</v>
      </c>
      <c r="F1783" t="s">
        <v>28</v>
      </c>
      <c r="G1783" t="s">
        <v>29</v>
      </c>
      <c r="H1783" t="s">
        <v>86</v>
      </c>
      <c r="I1783">
        <v>13</v>
      </c>
      <c r="J1783" t="s">
        <v>3644</v>
      </c>
      <c r="K1783">
        <v>46</v>
      </c>
      <c r="L1783" t="s">
        <v>80</v>
      </c>
      <c r="M1783">
        <v>6</v>
      </c>
      <c r="N1783" t="s">
        <v>48</v>
      </c>
      <c r="O1783" t="s">
        <v>81</v>
      </c>
      <c r="P1783" t="s">
        <v>82</v>
      </c>
      <c r="Q1783" s="2">
        <v>13755.03</v>
      </c>
      <c r="R1783" s="2">
        <v>1821.62</v>
      </c>
      <c r="S1783" t="s">
        <v>94</v>
      </c>
      <c r="T1783" t="s">
        <v>71</v>
      </c>
      <c r="U1783" t="s">
        <v>38</v>
      </c>
      <c r="V1783">
        <v>4.2</v>
      </c>
      <c r="W1783" t="s">
        <v>54</v>
      </c>
      <c r="X1783" t="s">
        <v>106</v>
      </c>
      <c r="Y1783" t="s">
        <v>41</v>
      </c>
    </row>
    <row r="1784" spans="1:25" x14ac:dyDescent="0.3">
      <c r="A1784" t="s">
        <v>3645</v>
      </c>
      <c r="B1784" s="1">
        <v>46708</v>
      </c>
      <c r="C1784" t="s">
        <v>26</v>
      </c>
      <c r="D1784" t="s">
        <v>26</v>
      </c>
      <c r="E1784" t="s">
        <v>4084</v>
      </c>
      <c r="F1784" t="s">
        <v>60</v>
      </c>
      <c r="G1784" t="s">
        <v>29</v>
      </c>
      <c r="H1784" t="s">
        <v>27</v>
      </c>
      <c r="I1784">
        <v>13</v>
      </c>
      <c r="J1784" t="s">
        <v>3646</v>
      </c>
      <c r="K1784">
        <v>69</v>
      </c>
      <c r="L1784" t="s">
        <v>32</v>
      </c>
      <c r="M1784">
        <v>5</v>
      </c>
      <c r="N1784" t="s">
        <v>33</v>
      </c>
      <c r="O1784" t="s">
        <v>49</v>
      </c>
      <c r="P1784" t="s">
        <v>82</v>
      </c>
      <c r="Q1784" s="2">
        <v>42855.18</v>
      </c>
      <c r="R1784" s="2">
        <v>4248.1400000000003</v>
      </c>
      <c r="S1784" t="s">
        <v>94</v>
      </c>
      <c r="T1784" t="s">
        <v>52</v>
      </c>
      <c r="U1784" t="s">
        <v>75</v>
      </c>
      <c r="V1784">
        <v>3.6</v>
      </c>
      <c r="W1784" t="s">
        <v>54</v>
      </c>
      <c r="X1784" t="s">
        <v>65</v>
      </c>
      <c r="Y1784" t="s">
        <v>41</v>
      </c>
    </row>
    <row r="1785" spans="1:25" x14ac:dyDescent="0.3">
      <c r="A1785" t="s">
        <v>3647</v>
      </c>
      <c r="B1785" s="1">
        <v>46709</v>
      </c>
      <c r="C1785" t="s">
        <v>57</v>
      </c>
      <c r="D1785" t="s">
        <v>44</v>
      </c>
      <c r="E1785" t="s">
        <v>89</v>
      </c>
      <c r="F1785" t="s">
        <v>28</v>
      </c>
      <c r="G1785" t="s">
        <v>29</v>
      </c>
      <c r="H1785" t="s">
        <v>61</v>
      </c>
      <c r="I1785">
        <v>7</v>
      </c>
      <c r="J1785" t="s">
        <v>3648</v>
      </c>
      <c r="K1785">
        <v>68</v>
      </c>
      <c r="L1785" t="s">
        <v>80</v>
      </c>
      <c r="M1785">
        <v>7</v>
      </c>
      <c r="N1785" t="s">
        <v>91</v>
      </c>
      <c r="O1785" t="s">
        <v>49</v>
      </c>
      <c r="P1785" t="s">
        <v>50</v>
      </c>
      <c r="Q1785" s="2">
        <v>12664.92</v>
      </c>
      <c r="R1785" s="2">
        <v>3804.94</v>
      </c>
      <c r="S1785" t="s">
        <v>51</v>
      </c>
      <c r="T1785" t="s">
        <v>71</v>
      </c>
      <c r="U1785" t="s">
        <v>53</v>
      </c>
      <c r="V1785">
        <v>4.2</v>
      </c>
      <c r="W1785" t="s">
        <v>54</v>
      </c>
      <c r="X1785" t="s">
        <v>40</v>
      </c>
      <c r="Y1785" t="s">
        <v>41</v>
      </c>
    </row>
    <row r="1786" spans="1:25" x14ac:dyDescent="0.3">
      <c r="A1786" t="s">
        <v>3649</v>
      </c>
      <c r="B1786" s="1">
        <v>46710</v>
      </c>
      <c r="C1786" t="s">
        <v>43</v>
      </c>
      <c r="D1786" t="s">
        <v>58</v>
      </c>
      <c r="E1786" t="s">
        <v>4084</v>
      </c>
      <c r="F1786" t="s">
        <v>60</v>
      </c>
      <c r="G1786" t="s">
        <v>29</v>
      </c>
      <c r="H1786" t="s">
        <v>30</v>
      </c>
      <c r="I1786">
        <v>3</v>
      </c>
      <c r="J1786" t="s">
        <v>3650</v>
      </c>
      <c r="K1786">
        <v>35</v>
      </c>
      <c r="L1786" t="s">
        <v>32</v>
      </c>
      <c r="M1786">
        <v>5</v>
      </c>
      <c r="N1786" t="s">
        <v>64</v>
      </c>
      <c r="O1786" t="s">
        <v>34</v>
      </c>
      <c r="P1786" t="s">
        <v>82</v>
      </c>
      <c r="Q1786" s="2">
        <v>30283.46</v>
      </c>
      <c r="R1786" s="2">
        <v>1104.57</v>
      </c>
      <c r="S1786" t="s">
        <v>115</v>
      </c>
      <c r="T1786" t="s">
        <v>71</v>
      </c>
      <c r="U1786" t="s">
        <v>53</v>
      </c>
      <c r="V1786">
        <v>3.4</v>
      </c>
      <c r="W1786" t="s">
        <v>76</v>
      </c>
      <c r="X1786" t="s">
        <v>40</v>
      </c>
      <c r="Y1786" t="s">
        <v>41</v>
      </c>
    </row>
    <row r="1787" spans="1:25" x14ac:dyDescent="0.3">
      <c r="A1787" t="s">
        <v>3651</v>
      </c>
      <c r="B1787" s="1">
        <v>46711</v>
      </c>
      <c r="C1787" t="s">
        <v>26</v>
      </c>
      <c r="D1787" t="s">
        <v>26</v>
      </c>
      <c r="E1787" t="s">
        <v>120</v>
      </c>
      <c r="F1787" t="s">
        <v>28</v>
      </c>
      <c r="G1787" t="s">
        <v>29</v>
      </c>
      <c r="H1787" t="s">
        <v>86</v>
      </c>
      <c r="I1787">
        <v>11</v>
      </c>
      <c r="J1787" t="s">
        <v>3652</v>
      </c>
      <c r="K1787">
        <v>61</v>
      </c>
      <c r="L1787" t="s">
        <v>32</v>
      </c>
      <c r="M1787">
        <v>3</v>
      </c>
      <c r="N1787" t="s">
        <v>64</v>
      </c>
      <c r="O1787" t="s">
        <v>34</v>
      </c>
      <c r="P1787" t="s">
        <v>70</v>
      </c>
      <c r="Q1787" s="2">
        <v>8479.41</v>
      </c>
      <c r="R1787" s="2">
        <v>2065.2800000000002</v>
      </c>
      <c r="S1787" t="s">
        <v>36</v>
      </c>
      <c r="T1787" t="s">
        <v>37</v>
      </c>
      <c r="U1787" t="s">
        <v>83</v>
      </c>
      <c r="V1787">
        <v>1.8</v>
      </c>
      <c r="W1787" t="s">
        <v>124</v>
      </c>
      <c r="X1787" t="s">
        <v>40</v>
      </c>
      <c r="Y1787" t="s">
        <v>41</v>
      </c>
    </row>
    <row r="1788" spans="1:25" x14ac:dyDescent="0.3">
      <c r="A1788" t="s">
        <v>3653</v>
      </c>
      <c r="B1788" s="1">
        <v>46712</v>
      </c>
      <c r="C1788" t="s">
        <v>78</v>
      </c>
      <c r="D1788" t="s">
        <v>58</v>
      </c>
      <c r="E1788" t="s">
        <v>120</v>
      </c>
      <c r="F1788" t="s">
        <v>28</v>
      </c>
      <c r="G1788" t="s">
        <v>29</v>
      </c>
      <c r="H1788" t="s">
        <v>86</v>
      </c>
      <c r="I1788">
        <v>3</v>
      </c>
      <c r="J1788" t="s">
        <v>3654</v>
      </c>
      <c r="K1788">
        <v>33</v>
      </c>
      <c r="L1788" t="s">
        <v>32</v>
      </c>
      <c r="M1788">
        <v>7</v>
      </c>
      <c r="N1788" t="s">
        <v>64</v>
      </c>
      <c r="O1788" t="s">
        <v>49</v>
      </c>
      <c r="P1788" t="s">
        <v>70</v>
      </c>
      <c r="Q1788" s="2">
        <v>47728.46</v>
      </c>
      <c r="R1788" s="2">
        <v>982.9</v>
      </c>
      <c r="S1788" t="s">
        <v>94</v>
      </c>
      <c r="T1788" t="s">
        <v>71</v>
      </c>
      <c r="U1788" t="s">
        <v>38</v>
      </c>
      <c r="V1788">
        <v>2.5</v>
      </c>
      <c r="W1788" t="s">
        <v>76</v>
      </c>
      <c r="X1788" t="s">
        <v>40</v>
      </c>
      <c r="Y1788" t="s">
        <v>41</v>
      </c>
    </row>
    <row r="1789" spans="1:25" x14ac:dyDescent="0.3">
      <c r="A1789" t="s">
        <v>3655</v>
      </c>
      <c r="B1789" s="1">
        <v>46713</v>
      </c>
      <c r="C1789" t="s">
        <v>78</v>
      </c>
      <c r="D1789" t="s">
        <v>58</v>
      </c>
      <c r="E1789" t="s">
        <v>4084</v>
      </c>
      <c r="F1789" t="s">
        <v>60</v>
      </c>
      <c r="G1789" t="s">
        <v>29</v>
      </c>
      <c r="H1789" t="s">
        <v>27</v>
      </c>
      <c r="I1789">
        <v>8</v>
      </c>
      <c r="J1789" t="s">
        <v>3656</v>
      </c>
      <c r="K1789">
        <v>18</v>
      </c>
      <c r="L1789" t="s">
        <v>32</v>
      </c>
      <c r="M1789">
        <v>5</v>
      </c>
      <c r="N1789" t="s">
        <v>64</v>
      </c>
      <c r="O1789" t="s">
        <v>49</v>
      </c>
      <c r="P1789" t="s">
        <v>70</v>
      </c>
      <c r="Q1789" s="2">
        <v>32149.13</v>
      </c>
      <c r="R1789" s="2">
        <v>4771.08</v>
      </c>
      <c r="S1789" t="s">
        <v>51</v>
      </c>
      <c r="T1789" t="s">
        <v>37</v>
      </c>
      <c r="U1789" t="s">
        <v>38</v>
      </c>
      <c r="V1789">
        <v>4.8</v>
      </c>
      <c r="W1789" t="s">
        <v>103</v>
      </c>
      <c r="X1789" t="s">
        <v>65</v>
      </c>
      <c r="Y1789" t="s">
        <v>72</v>
      </c>
    </row>
    <row r="1790" spans="1:25" x14ac:dyDescent="0.3">
      <c r="A1790" t="s">
        <v>3657</v>
      </c>
      <c r="B1790" s="1">
        <v>46714</v>
      </c>
      <c r="C1790" t="s">
        <v>117</v>
      </c>
      <c r="D1790" t="s">
        <v>4083</v>
      </c>
      <c r="E1790" t="s">
        <v>4085</v>
      </c>
      <c r="F1790" t="s">
        <v>60</v>
      </c>
      <c r="G1790" t="s">
        <v>29</v>
      </c>
      <c r="H1790" t="s">
        <v>46</v>
      </c>
      <c r="I1790">
        <v>3</v>
      </c>
      <c r="J1790" t="s">
        <v>3658</v>
      </c>
      <c r="K1790">
        <v>65</v>
      </c>
      <c r="L1790" t="s">
        <v>80</v>
      </c>
      <c r="M1790">
        <v>2</v>
      </c>
      <c r="N1790" t="s">
        <v>91</v>
      </c>
      <c r="O1790" t="s">
        <v>69</v>
      </c>
      <c r="P1790" t="s">
        <v>70</v>
      </c>
      <c r="Q1790" s="2">
        <v>45641.86</v>
      </c>
      <c r="R1790" s="2">
        <v>2990.59</v>
      </c>
      <c r="S1790" t="s">
        <v>115</v>
      </c>
      <c r="T1790" t="s">
        <v>71</v>
      </c>
      <c r="U1790" t="s">
        <v>53</v>
      </c>
      <c r="V1790">
        <v>2.2000000000000002</v>
      </c>
      <c r="W1790" t="s">
        <v>76</v>
      </c>
      <c r="X1790" t="s">
        <v>65</v>
      </c>
      <c r="Y1790" t="s">
        <v>72</v>
      </c>
    </row>
    <row r="1791" spans="1:25" x14ac:dyDescent="0.3">
      <c r="A1791" t="s">
        <v>3659</v>
      </c>
      <c r="B1791" s="1">
        <v>46715</v>
      </c>
      <c r="C1791" t="s">
        <v>43</v>
      </c>
      <c r="D1791" t="s">
        <v>58</v>
      </c>
      <c r="E1791" t="s">
        <v>89</v>
      </c>
      <c r="F1791" t="s">
        <v>28</v>
      </c>
      <c r="G1791" t="s">
        <v>29</v>
      </c>
      <c r="H1791" t="s">
        <v>61</v>
      </c>
      <c r="I1791">
        <v>5</v>
      </c>
      <c r="J1791" t="s">
        <v>3660</v>
      </c>
      <c r="K1791">
        <v>19</v>
      </c>
      <c r="L1791" t="s">
        <v>63</v>
      </c>
      <c r="M1791">
        <v>5</v>
      </c>
      <c r="N1791" t="s">
        <v>64</v>
      </c>
      <c r="O1791" t="s">
        <v>69</v>
      </c>
      <c r="P1791" t="s">
        <v>82</v>
      </c>
      <c r="Q1791" s="2">
        <v>22904.5</v>
      </c>
      <c r="R1791" s="2">
        <v>3771.77</v>
      </c>
      <c r="S1791" t="s">
        <v>115</v>
      </c>
      <c r="T1791" t="s">
        <v>52</v>
      </c>
      <c r="U1791" t="s">
        <v>75</v>
      </c>
      <c r="V1791">
        <v>1.3</v>
      </c>
      <c r="W1791" t="s">
        <v>124</v>
      </c>
      <c r="X1791" t="s">
        <v>106</v>
      </c>
      <c r="Y1791" t="s">
        <v>41</v>
      </c>
    </row>
    <row r="1792" spans="1:25" x14ac:dyDescent="0.3">
      <c r="A1792" t="s">
        <v>3661</v>
      </c>
      <c r="B1792" s="1">
        <v>46716</v>
      </c>
      <c r="C1792" t="s">
        <v>26</v>
      </c>
      <c r="D1792" t="s">
        <v>26</v>
      </c>
      <c r="E1792" t="s">
        <v>89</v>
      </c>
      <c r="F1792" t="s">
        <v>28</v>
      </c>
      <c r="G1792" t="s">
        <v>29</v>
      </c>
      <c r="H1792" t="s">
        <v>61</v>
      </c>
      <c r="I1792">
        <v>12</v>
      </c>
      <c r="J1792" t="s">
        <v>3662</v>
      </c>
      <c r="K1792">
        <v>32</v>
      </c>
      <c r="L1792" t="s">
        <v>63</v>
      </c>
      <c r="M1792">
        <v>7</v>
      </c>
      <c r="N1792" t="s">
        <v>33</v>
      </c>
      <c r="O1792" t="s">
        <v>49</v>
      </c>
      <c r="P1792" t="s">
        <v>50</v>
      </c>
      <c r="Q1792" s="2">
        <v>41480.239999999998</v>
      </c>
      <c r="R1792" s="2">
        <v>3569.04</v>
      </c>
      <c r="S1792" t="s">
        <v>115</v>
      </c>
      <c r="T1792" t="s">
        <v>37</v>
      </c>
      <c r="U1792" t="s">
        <v>83</v>
      </c>
      <c r="V1792">
        <v>2.5</v>
      </c>
      <c r="W1792" t="s">
        <v>76</v>
      </c>
      <c r="X1792" t="s">
        <v>65</v>
      </c>
      <c r="Y1792" t="s">
        <v>41</v>
      </c>
    </row>
    <row r="1793" spans="1:25" x14ac:dyDescent="0.3">
      <c r="A1793" t="s">
        <v>3663</v>
      </c>
      <c r="B1793" s="1">
        <v>46717</v>
      </c>
      <c r="C1793" t="s">
        <v>78</v>
      </c>
      <c r="D1793" t="s">
        <v>58</v>
      </c>
      <c r="E1793" t="s">
        <v>4084</v>
      </c>
      <c r="F1793" t="s">
        <v>60</v>
      </c>
      <c r="G1793" t="s">
        <v>29</v>
      </c>
      <c r="H1793" t="s">
        <v>30</v>
      </c>
      <c r="I1793">
        <v>7</v>
      </c>
      <c r="J1793" t="s">
        <v>3664</v>
      </c>
      <c r="K1793">
        <v>56</v>
      </c>
      <c r="L1793" t="s">
        <v>80</v>
      </c>
      <c r="M1793">
        <v>7</v>
      </c>
      <c r="N1793" t="s">
        <v>33</v>
      </c>
      <c r="O1793" t="s">
        <v>69</v>
      </c>
      <c r="P1793" t="s">
        <v>35</v>
      </c>
      <c r="Q1793" s="2">
        <v>43414.45</v>
      </c>
      <c r="R1793" s="2">
        <v>4368.45</v>
      </c>
      <c r="S1793" t="s">
        <v>94</v>
      </c>
      <c r="T1793" t="s">
        <v>71</v>
      </c>
      <c r="U1793" t="s">
        <v>83</v>
      </c>
      <c r="V1793">
        <v>2.5</v>
      </c>
      <c r="W1793" t="s">
        <v>76</v>
      </c>
      <c r="X1793" t="s">
        <v>40</v>
      </c>
      <c r="Y1793" t="s">
        <v>41</v>
      </c>
    </row>
    <row r="1794" spans="1:25" x14ac:dyDescent="0.3">
      <c r="A1794" t="s">
        <v>3665</v>
      </c>
      <c r="B1794" s="1">
        <v>46718</v>
      </c>
      <c r="C1794" t="s">
        <v>43</v>
      </c>
      <c r="D1794" t="s">
        <v>58</v>
      </c>
      <c r="E1794" t="s">
        <v>4085</v>
      </c>
      <c r="F1794" t="s">
        <v>60</v>
      </c>
      <c r="G1794" t="s">
        <v>29</v>
      </c>
      <c r="H1794" t="s">
        <v>46</v>
      </c>
      <c r="I1794">
        <v>12</v>
      </c>
      <c r="J1794" t="s">
        <v>3666</v>
      </c>
      <c r="K1794">
        <v>45</v>
      </c>
      <c r="L1794" t="s">
        <v>80</v>
      </c>
      <c r="M1794">
        <v>2</v>
      </c>
      <c r="N1794" t="s">
        <v>64</v>
      </c>
      <c r="O1794" t="s">
        <v>34</v>
      </c>
      <c r="P1794" t="s">
        <v>82</v>
      </c>
      <c r="Q1794" s="2">
        <v>36632.720000000001</v>
      </c>
      <c r="R1794" s="2">
        <v>4746.6400000000003</v>
      </c>
      <c r="S1794" t="s">
        <v>94</v>
      </c>
      <c r="T1794" t="s">
        <v>52</v>
      </c>
      <c r="U1794" t="s">
        <v>75</v>
      </c>
      <c r="V1794">
        <v>2.9</v>
      </c>
      <c r="W1794" t="s">
        <v>76</v>
      </c>
      <c r="X1794" t="s">
        <v>55</v>
      </c>
      <c r="Y1794" t="s">
        <v>41</v>
      </c>
    </row>
    <row r="1795" spans="1:25" x14ac:dyDescent="0.3">
      <c r="A1795" t="s">
        <v>3667</v>
      </c>
      <c r="B1795" s="1">
        <v>46719</v>
      </c>
      <c r="C1795" t="s">
        <v>117</v>
      </c>
      <c r="D1795" t="s">
        <v>4083</v>
      </c>
      <c r="E1795" t="s">
        <v>120</v>
      </c>
      <c r="F1795" t="s">
        <v>28</v>
      </c>
      <c r="G1795" t="s">
        <v>29</v>
      </c>
      <c r="H1795" t="s">
        <v>86</v>
      </c>
      <c r="I1795">
        <v>9</v>
      </c>
      <c r="J1795" t="s">
        <v>3668</v>
      </c>
      <c r="K1795">
        <v>18</v>
      </c>
      <c r="L1795" t="s">
        <v>32</v>
      </c>
      <c r="M1795">
        <v>1</v>
      </c>
      <c r="N1795" t="s">
        <v>64</v>
      </c>
      <c r="O1795" t="s">
        <v>81</v>
      </c>
      <c r="P1795" t="s">
        <v>35</v>
      </c>
      <c r="Q1795" s="2">
        <v>9182.64</v>
      </c>
      <c r="R1795" s="2">
        <v>162.22999999999999</v>
      </c>
      <c r="S1795" t="s">
        <v>36</v>
      </c>
      <c r="T1795" t="s">
        <v>52</v>
      </c>
      <c r="U1795" t="s">
        <v>83</v>
      </c>
      <c r="V1795">
        <v>3.2</v>
      </c>
      <c r="W1795" t="s">
        <v>76</v>
      </c>
      <c r="X1795" t="s">
        <v>106</v>
      </c>
      <c r="Y1795" t="s">
        <v>41</v>
      </c>
    </row>
    <row r="1796" spans="1:25" x14ac:dyDescent="0.3">
      <c r="A1796" t="s">
        <v>3669</v>
      </c>
      <c r="B1796" s="1">
        <v>46720</v>
      </c>
      <c r="C1796" t="s">
        <v>57</v>
      </c>
      <c r="D1796" t="s">
        <v>44</v>
      </c>
      <c r="E1796" t="s">
        <v>45</v>
      </c>
      <c r="F1796" t="s">
        <v>28</v>
      </c>
      <c r="G1796" t="s">
        <v>29</v>
      </c>
      <c r="H1796" t="s">
        <v>67</v>
      </c>
      <c r="I1796">
        <v>12</v>
      </c>
      <c r="J1796" t="s">
        <v>3670</v>
      </c>
      <c r="K1796">
        <v>22</v>
      </c>
      <c r="L1796" t="s">
        <v>80</v>
      </c>
      <c r="M1796">
        <v>7</v>
      </c>
      <c r="N1796" t="s">
        <v>91</v>
      </c>
      <c r="O1796" t="s">
        <v>69</v>
      </c>
      <c r="P1796" t="s">
        <v>50</v>
      </c>
      <c r="Q1796" s="2">
        <v>5723.6</v>
      </c>
      <c r="R1796" s="2">
        <v>4876.51</v>
      </c>
      <c r="S1796" t="s">
        <v>94</v>
      </c>
      <c r="T1796" t="s">
        <v>37</v>
      </c>
      <c r="U1796" t="s">
        <v>75</v>
      </c>
      <c r="V1796">
        <v>5</v>
      </c>
      <c r="W1796" t="s">
        <v>103</v>
      </c>
      <c r="X1796" t="s">
        <v>84</v>
      </c>
      <c r="Y1796" t="s">
        <v>72</v>
      </c>
    </row>
    <row r="1797" spans="1:25" x14ac:dyDescent="0.3">
      <c r="A1797" t="s">
        <v>3671</v>
      </c>
      <c r="B1797" s="1">
        <v>46721</v>
      </c>
      <c r="C1797" t="s">
        <v>43</v>
      </c>
      <c r="D1797" t="s">
        <v>58</v>
      </c>
      <c r="E1797" t="s">
        <v>45</v>
      </c>
      <c r="F1797" t="s">
        <v>28</v>
      </c>
      <c r="G1797" t="s">
        <v>29</v>
      </c>
      <c r="H1797" t="s">
        <v>67</v>
      </c>
      <c r="I1797">
        <v>10</v>
      </c>
      <c r="J1797" t="s">
        <v>3672</v>
      </c>
      <c r="K1797">
        <v>59</v>
      </c>
      <c r="L1797" t="s">
        <v>63</v>
      </c>
      <c r="M1797">
        <v>5</v>
      </c>
      <c r="N1797" t="s">
        <v>91</v>
      </c>
      <c r="O1797" t="s">
        <v>81</v>
      </c>
      <c r="P1797" t="s">
        <v>82</v>
      </c>
      <c r="Q1797" s="2">
        <v>12585.19</v>
      </c>
      <c r="R1797" s="2">
        <v>4352.71</v>
      </c>
      <c r="S1797" t="s">
        <v>115</v>
      </c>
      <c r="T1797" t="s">
        <v>37</v>
      </c>
      <c r="U1797" t="s">
        <v>83</v>
      </c>
      <c r="V1797">
        <v>4</v>
      </c>
      <c r="W1797" t="s">
        <v>39</v>
      </c>
      <c r="X1797" t="s">
        <v>40</v>
      </c>
      <c r="Y1797" t="s">
        <v>41</v>
      </c>
    </row>
    <row r="1798" spans="1:25" x14ac:dyDescent="0.3">
      <c r="A1798" t="s">
        <v>3673</v>
      </c>
      <c r="B1798" s="1">
        <v>46722</v>
      </c>
      <c r="C1798" t="s">
        <v>43</v>
      </c>
      <c r="D1798" t="s">
        <v>58</v>
      </c>
      <c r="E1798" t="s">
        <v>4084</v>
      </c>
      <c r="F1798" t="s">
        <v>60</v>
      </c>
      <c r="G1798" t="s">
        <v>29</v>
      </c>
      <c r="H1798" t="s">
        <v>27</v>
      </c>
      <c r="I1798">
        <v>14</v>
      </c>
      <c r="J1798" t="s">
        <v>3674</v>
      </c>
      <c r="K1798">
        <v>39</v>
      </c>
      <c r="L1798" t="s">
        <v>80</v>
      </c>
      <c r="M1798">
        <v>2</v>
      </c>
      <c r="N1798" t="s">
        <v>64</v>
      </c>
      <c r="O1798" t="s">
        <v>69</v>
      </c>
      <c r="P1798" t="s">
        <v>35</v>
      </c>
      <c r="Q1798" s="2">
        <v>10314.35</v>
      </c>
      <c r="R1798" s="2">
        <v>1914.74</v>
      </c>
      <c r="S1798" t="s">
        <v>115</v>
      </c>
      <c r="T1798" t="s">
        <v>37</v>
      </c>
      <c r="U1798" t="s">
        <v>75</v>
      </c>
      <c r="V1798">
        <v>1.1000000000000001</v>
      </c>
      <c r="W1798" t="s">
        <v>124</v>
      </c>
      <c r="X1798" t="s">
        <v>40</v>
      </c>
      <c r="Y1798" t="s">
        <v>41</v>
      </c>
    </row>
    <row r="1799" spans="1:25" x14ac:dyDescent="0.3">
      <c r="A1799" t="s">
        <v>3675</v>
      </c>
      <c r="B1799" s="1">
        <v>46723</v>
      </c>
      <c r="C1799" t="s">
        <v>57</v>
      </c>
      <c r="D1799" t="s">
        <v>44</v>
      </c>
      <c r="E1799" t="s">
        <v>4085</v>
      </c>
      <c r="F1799" t="s">
        <v>60</v>
      </c>
      <c r="G1799" t="s">
        <v>29</v>
      </c>
      <c r="H1799" t="s">
        <v>59</v>
      </c>
      <c r="I1799">
        <v>11</v>
      </c>
      <c r="J1799" t="s">
        <v>3676</v>
      </c>
      <c r="K1799">
        <v>53</v>
      </c>
      <c r="L1799" t="s">
        <v>80</v>
      </c>
      <c r="M1799">
        <v>6</v>
      </c>
      <c r="N1799" t="s">
        <v>91</v>
      </c>
      <c r="O1799" t="s">
        <v>49</v>
      </c>
      <c r="P1799" t="s">
        <v>50</v>
      </c>
      <c r="Q1799" s="2">
        <v>37631.19</v>
      </c>
      <c r="R1799" s="2">
        <v>4185.3500000000004</v>
      </c>
      <c r="S1799" t="s">
        <v>51</v>
      </c>
      <c r="T1799" t="s">
        <v>71</v>
      </c>
      <c r="U1799" t="s">
        <v>53</v>
      </c>
      <c r="V1799">
        <v>3.9</v>
      </c>
      <c r="W1799" t="s">
        <v>54</v>
      </c>
      <c r="X1799" t="s">
        <v>40</v>
      </c>
      <c r="Y1799" t="s">
        <v>72</v>
      </c>
    </row>
    <row r="1800" spans="1:25" x14ac:dyDescent="0.3">
      <c r="A1800" t="s">
        <v>3677</v>
      </c>
      <c r="B1800" s="1">
        <v>46724</v>
      </c>
      <c r="C1800" t="s">
        <v>43</v>
      </c>
      <c r="D1800" t="s">
        <v>58</v>
      </c>
      <c r="E1800" t="s">
        <v>4085</v>
      </c>
      <c r="F1800" t="s">
        <v>60</v>
      </c>
      <c r="G1800" t="s">
        <v>29</v>
      </c>
      <c r="H1800" t="s">
        <v>46</v>
      </c>
      <c r="I1800">
        <v>8</v>
      </c>
      <c r="J1800" t="s">
        <v>3678</v>
      </c>
      <c r="K1800">
        <v>63</v>
      </c>
      <c r="L1800" t="s">
        <v>32</v>
      </c>
      <c r="M1800">
        <v>7</v>
      </c>
      <c r="N1800" t="s">
        <v>48</v>
      </c>
      <c r="O1800" t="s">
        <v>69</v>
      </c>
      <c r="P1800" t="s">
        <v>35</v>
      </c>
      <c r="Q1800" s="2">
        <v>30065.31</v>
      </c>
      <c r="R1800" s="2">
        <v>3682.79</v>
      </c>
      <c r="S1800" t="s">
        <v>51</v>
      </c>
      <c r="T1800" t="s">
        <v>37</v>
      </c>
      <c r="U1800" t="s">
        <v>53</v>
      </c>
      <c r="V1800">
        <v>4.3</v>
      </c>
      <c r="W1800" t="s">
        <v>54</v>
      </c>
      <c r="X1800" t="s">
        <v>65</v>
      </c>
      <c r="Y1800" t="s">
        <v>41</v>
      </c>
    </row>
    <row r="1801" spans="1:25" x14ac:dyDescent="0.3">
      <c r="A1801" t="s">
        <v>3679</v>
      </c>
      <c r="B1801" s="1">
        <v>46725</v>
      </c>
      <c r="C1801" t="s">
        <v>117</v>
      </c>
      <c r="D1801" t="s">
        <v>4083</v>
      </c>
      <c r="E1801" t="s">
        <v>89</v>
      </c>
      <c r="F1801" t="s">
        <v>28</v>
      </c>
      <c r="G1801" t="s">
        <v>29</v>
      </c>
      <c r="H1801" t="s">
        <v>61</v>
      </c>
      <c r="I1801">
        <v>13</v>
      </c>
      <c r="J1801" t="s">
        <v>3680</v>
      </c>
      <c r="K1801">
        <v>30</v>
      </c>
      <c r="L1801" t="s">
        <v>32</v>
      </c>
      <c r="M1801">
        <v>4</v>
      </c>
      <c r="N1801" t="s">
        <v>64</v>
      </c>
      <c r="O1801" t="s">
        <v>81</v>
      </c>
      <c r="P1801" t="s">
        <v>70</v>
      </c>
      <c r="Q1801" s="2">
        <v>28667.79</v>
      </c>
      <c r="R1801" s="2">
        <v>3965.57</v>
      </c>
      <c r="S1801" t="s">
        <v>36</v>
      </c>
      <c r="T1801" t="s">
        <v>52</v>
      </c>
      <c r="U1801" t="s">
        <v>83</v>
      </c>
      <c r="V1801">
        <v>4.5999999999999996</v>
      </c>
      <c r="W1801" t="s">
        <v>103</v>
      </c>
      <c r="X1801" t="s">
        <v>84</v>
      </c>
      <c r="Y1801" t="s">
        <v>41</v>
      </c>
    </row>
    <row r="1802" spans="1:25" x14ac:dyDescent="0.3">
      <c r="A1802" t="s">
        <v>3681</v>
      </c>
      <c r="B1802" s="1">
        <v>46726</v>
      </c>
      <c r="C1802" t="s">
        <v>117</v>
      </c>
      <c r="D1802" t="s">
        <v>4083</v>
      </c>
      <c r="E1802" t="s">
        <v>120</v>
      </c>
      <c r="F1802" t="s">
        <v>28</v>
      </c>
      <c r="G1802" t="s">
        <v>29</v>
      </c>
      <c r="H1802" t="s">
        <v>86</v>
      </c>
      <c r="I1802">
        <v>11</v>
      </c>
      <c r="J1802" t="s">
        <v>3682</v>
      </c>
      <c r="K1802">
        <v>18</v>
      </c>
      <c r="L1802" t="s">
        <v>32</v>
      </c>
      <c r="M1802">
        <v>6</v>
      </c>
      <c r="N1802" t="s">
        <v>91</v>
      </c>
      <c r="O1802" t="s">
        <v>81</v>
      </c>
      <c r="P1802" t="s">
        <v>70</v>
      </c>
      <c r="Q1802" s="2">
        <v>16379.03</v>
      </c>
      <c r="R1802" s="2">
        <v>1103.46</v>
      </c>
      <c r="S1802" t="s">
        <v>51</v>
      </c>
      <c r="T1802" t="s">
        <v>52</v>
      </c>
      <c r="U1802" t="s">
        <v>83</v>
      </c>
      <c r="V1802">
        <v>2.7</v>
      </c>
      <c r="W1802" t="s">
        <v>76</v>
      </c>
      <c r="X1802" t="s">
        <v>106</v>
      </c>
      <c r="Y1802" t="s">
        <v>72</v>
      </c>
    </row>
    <row r="1803" spans="1:25" x14ac:dyDescent="0.3">
      <c r="A1803" t="s">
        <v>3683</v>
      </c>
      <c r="B1803" s="1">
        <v>46727</v>
      </c>
      <c r="C1803" t="s">
        <v>57</v>
      </c>
      <c r="D1803" t="s">
        <v>44</v>
      </c>
      <c r="E1803" t="s">
        <v>4085</v>
      </c>
      <c r="F1803" t="s">
        <v>60</v>
      </c>
      <c r="G1803" t="s">
        <v>29</v>
      </c>
      <c r="H1803" t="s">
        <v>59</v>
      </c>
      <c r="I1803">
        <v>10</v>
      </c>
      <c r="J1803" t="s">
        <v>3684</v>
      </c>
      <c r="K1803">
        <v>33</v>
      </c>
      <c r="L1803" t="s">
        <v>32</v>
      </c>
      <c r="M1803">
        <v>3</v>
      </c>
      <c r="N1803" t="s">
        <v>33</v>
      </c>
      <c r="O1803" t="s">
        <v>49</v>
      </c>
      <c r="P1803" t="s">
        <v>50</v>
      </c>
      <c r="Q1803" s="2">
        <v>11957.34</v>
      </c>
      <c r="R1803" s="2">
        <v>3242.82</v>
      </c>
      <c r="S1803" t="s">
        <v>36</v>
      </c>
      <c r="T1803" t="s">
        <v>37</v>
      </c>
      <c r="U1803" t="s">
        <v>53</v>
      </c>
      <c r="V1803">
        <v>2.2999999999999998</v>
      </c>
      <c r="W1803" t="s">
        <v>76</v>
      </c>
      <c r="X1803" t="s">
        <v>40</v>
      </c>
      <c r="Y1803" t="s">
        <v>41</v>
      </c>
    </row>
    <row r="1804" spans="1:25" x14ac:dyDescent="0.3">
      <c r="A1804" t="s">
        <v>3685</v>
      </c>
      <c r="B1804" s="1">
        <v>46728</v>
      </c>
      <c r="C1804" t="s">
        <v>26</v>
      </c>
      <c r="D1804" t="s">
        <v>26</v>
      </c>
      <c r="E1804" t="s">
        <v>45</v>
      </c>
      <c r="F1804" t="s">
        <v>28</v>
      </c>
      <c r="G1804" t="s">
        <v>29</v>
      </c>
      <c r="H1804" t="s">
        <v>67</v>
      </c>
      <c r="I1804">
        <v>11</v>
      </c>
      <c r="J1804" t="s">
        <v>3686</v>
      </c>
      <c r="K1804">
        <v>58</v>
      </c>
      <c r="L1804" t="s">
        <v>63</v>
      </c>
      <c r="M1804">
        <v>7</v>
      </c>
      <c r="N1804" t="s">
        <v>64</v>
      </c>
      <c r="O1804" t="s">
        <v>81</v>
      </c>
      <c r="P1804" t="s">
        <v>50</v>
      </c>
      <c r="Q1804" s="2">
        <v>14294.66</v>
      </c>
      <c r="R1804" s="2">
        <v>129.63</v>
      </c>
      <c r="S1804" t="s">
        <v>51</v>
      </c>
      <c r="T1804" t="s">
        <v>37</v>
      </c>
      <c r="U1804" t="s">
        <v>38</v>
      </c>
      <c r="V1804">
        <v>4.4000000000000004</v>
      </c>
      <c r="W1804" t="s">
        <v>54</v>
      </c>
      <c r="X1804" t="s">
        <v>84</v>
      </c>
      <c r="Y1804" t="s">
        <v>41</v>
      </c>
    </row>
    <row r="1805" spans="1:25" x14ac:dyDescent="0.3">
      <c r="A1805" t="s">
        <v>3687</v>
      </c>
      <c r="B1805" s="1">
        <v>46729</v>
      </c>
      <c r="C1805" t="s">
        <v>78</v>
      </c>
      <c r="D1805" t="s">
        <v>58</v>
      </c>
      <c r="E1805" t="s">
        <v>120</v>
      </c>
      <c r="F1805" t="s">
        <v>28</v>
      </c>
      <c r="G1805" t="s">
        <v>29</v>
      </c>
      <c r="H1805" t="s">
        <v>86</v>
      </c>
      <c r="I1805">
        <v>12</v>
      </c>
      <c r="J1805" t="s">
        <v>3688</v>
      </c>
      <c r="K1805">
        <v>39</v>
      </c>
      <c r="L1805" t="s">
        <v>80</v>
      </c>
      <c r="M1805">
        <v>2</v>
      </c>
      <c r="N1805" t="s">
        <v>64</v>
      </c>
      <c r="O1805" t="s">
        <v>49</v>
      </c>
      <c r="P1805" t="s">
        <v>35</v>
      </c>
      <c r="Q1805" s="2">
        <v>23012.47</v>
      </c>
      <c r="R1805" s="2">
        <v>4241.1499999999996</v>
      </c>
      <c r="S1805" t="s">
        <v>115</v>
      </c>
      <c r="T1805" t="s">
        <v>52</v>
      </c>
      <c r="U1805" t="s">
        <v>75</v>
      </c>
      <c r="V1805">
        <v>4.0999999999999996</v>
      </c>
      <c r="W1805" t="s">
        <v>54</v>
      </c>
      <c r="X1805" t="s">
        <v>55</v>
      </c>
      <c r="Y1805" t="s">
        <v>72</v>
      </c>
    </row>
    <row r="1806" spans="1:25" x14ac:dyDescent="0.3">
      <c r="A1806" t="s">
        <v>3689</v>
      </c>
      <c r="B1806" s="1">
        <v>46730</v>
      </c>
      <c r="C1806" t="s">
        <v>26</v>
      </c>
      <c r="D1806" t="s">
        <v>26</v>
      </c>
      <c r="E1806" t="s">
        <v>120</v>
      </c>
      <c r="F1806" t="s">
        <v>28</v>
      </c>
      <c r="G1806" t="s">
        <v>29</v>
      </c>
      <c r="H1806" t="s">
        <v>86</v>
      </c>
      <c r="I1806">
        <v>6</v>
      </c>
      <c r="J1806" t="s">
        <v>3690</v>
      </c>
      <c r="K1806">
        <v>49</v>
      </c>
      <c r="L1806" t="s">
        <v>80</v>
      </c>
      <c r="M1806">
        <v>6</v>
      </c>
      <c r="N1806" t="s">
        <v>33</v>
      </c>
      <c r="O1806" t="s">
        <v>49</v>
      </c>
      <c r="P1806" t="s">
        <v>50</v>
      </c>
      <c r="Q1806" s="2">
        <v>38306.44</v>
      </c>
      <c r="R1806" s="2">
        <v>4755.21</v>
      </c>
      <c r="S1806" t="s">
        <v>94</v>
      </c>
      <c r="T1806" t="s">
        <v>71</v>
      </c>
      <c r="U1806" t="s">
        <v>38</v>
      </c>
      <c r="V1806">
        <v>3.1</v>
      </c>
      <c r="W1806" t="s">
        <v>76</v>
      </c>
      <c r="X1806" t="s">
        <v>65</v>
      </c>
      <c r="Y1806" t="s">
        <v>41</v>
      </c>
    </row>
    <row r="1807" spans="1:25" x14ac:dyDescent="0.3">
      <c r="A1807" t="s">
        <v>3691</v>
      </c>
      <c r="B1807" s="1">
        <v>46731</v>
      </c>
      <c r="C1807" t="s">
        <v>43</v>
      </c>
      <c r="D1807" t="s">
        <v>58</v>
      </c>
      <c r="E1807" t="s">
        <v>4084</v>
      </c>
      <c r="F1807" t="s">
        <v>60</v>
      </c>
      <c r="G1807" t="s">
        <v>29</v>
      </c>
      <c r="H1807" t="s">
        <v>30</v>
      </c>
      <c r="I1807">
        <v>11</v>
      </c>
      <c r="J1807" t="s">
        <v>3692</v>
      </c>
      <c r="K1807">
        <v>33</v>
      </c>
      <c r="L1807" t="s">
        <v>32</v>
      </c>
      <c r="M1807">
        <v>5</v>
      </c>
      <c r="N1807" t="s">
        <v>33</v>
      </c>
      <c r="O1807" t="s">
        <v>81</v>
      </c>
      <c r="P1807" t="s">
        <v>70</v>
      </c>
      <c r="Q1807" s="2">
        <v>16453.25</v>
      </c>
      <c r="R1807" s="2">
        <v>3310.62</v>
      </c>
      <c r="S1807" t="s">
        <v>94</v>
      </c>
      <c r="T1807" t="s">
        <v>52</v>
      </c>
      <c r="U1807" t="s">
        <v>83</v>
      </c>
      <c r="V1807">
        <v>1.5</v>
      </c>
      <c r="W1807" t="s">
        <v>124</v>
      </c>
      <c r="X1807" t="s">
        <v>40</v>
      </c>
      <c r="Y1807" t="s">
        <v>72</v>
      </c>
    </row>
    <row r="1808" spans="1:25" x14ac:dyDescent="0.3">
      <c r="A1808" t="s">
        <v>3693</v>
      </c>
      <c r="B1808" s="1">
        <v>46732</v>
      </c>
      <c r="C1808" t="s">
        <v>78</v>
      </c>
      <c r="D1808" t="s">
        <v>58</v>
      </c>
      <c r="E1808" t="s">
        <v>4085</v>
      </c>
      <c r="F1808" t="s">
        <v>60</v>
      </c>
      <c r="G1808" t="s">
        <v>29</v>
      </c>
      <c r="H1808" t="s">
        <v>46</v>
      </c>
      <c r="I1808">
        <v>9</v>
      </c>
      <c r="J1808" t="s">
        <v>3694</v>
      </c>
      <c r="K1808">
        <v>68</v>
      </c>
      <c r="L1808" t="s">
        <v>63</v>
      </c>
      <c r="M1808">
        <v>5</v>
      </c>
      <c r="N1808" t="s">
        <v>91</v>
      </c>
      <c r="O1808" t="s">
        <v>34</v>
      </c>
      <c r="P1808" t="s">
        <v>70</v>
      </c>
      <c r="Q1808" s="2">
        <v>36437.589999999997</v>
      </c>
      <c r="R1808" s="2">
        <v>2563.35</v>
      </c>
      <c r="S1808" t="s">
        <v>36</v>
      </c>
      <c r="T1808" t="s">
        <v>52</v>
      </c>
      <c r="U1808" t="s">
        <v>53</v>
      </c>
      <c r="V1808">
        <v>3.6</v>
      </c>
      <c r="W1808" t="s">
        <v>54</v>
      </c>
      <c r="X1808" t="s">
        <v>84</v>
      </c>
      <c r="Y1808" t="s">
        <v>41</v>
      </c>
    </row>
    <row r="1809" spans="1:25" x14ac:dyDescent="0.3">
      <c r="A1809" t="s">
        <v>3695</v>
      </c>
      <c r="B1809" s="1">
        <v>46733</v>
      </c>
      <c r="C1809" t="s">
        <v>57</v>
      </c>
      <c r="D1809" t="s">
        <v>44</v>
      </c>
      <c r="E1809" t="s">
        <v>4084</v>
      </c>
      <c r="F1809" t="s">
        <v>60</v>
      </c>
      <c r="G1809" t="s">
        <v>29</v>
      </c>
      <c r="H1809" t="s">
        <v>30</v>
      </c>
      <c r="I1809">
        <v>7</v>
      </c>
      <c r="J1809" t="s">
        <v>3696</v>
      </c>
      <c r="K1809">
        <v>32</v>
      </c>
      <c r="L1809" t="s">
        <v>63</v>
      </c>
      <c r="M1809">
        <v>7</v>
      </c>
      <c r="N1809" t="s">
        <v>33</v>
      </c>
      <c r="O1809" t="s">
        <v>81</v>
      </c>
      <c r="P1809" t="s">
        <v>82</v>
      </c>
      <c r="Q1809" s="2">
        <v>27118.03</v>
      </c>
      <c r="R1809" s="2">
        <v>3628.66</v>
      </c>
      <c r="S1809" t="s">
        <v>94</v>
      </c>
      <c r="T1809" t="s">
        <v>52</v>
      </c>
      <c r="U1809" t="s">
        <v>83</v>
      </c>
      <c r="V1809">
        <v>1.3</v>
      </c>
      <c r="W1809" t="s">
        <v>124</v>
      </c>
      <c r="X1809" t="s">
        <v>84</v>
      </c>
      <c r="Y1809" t="s">
        <v>72</v>
      </c>
    </row>
    <row r="1810" spans="1:25" x14ac:dyDescent="0.3">
      <c r="A1810" t="s">
        <v>3697</v>
      </c>
      <c r="B1810" s="1">
        <v>46734</v>
      </c>
      <c r="C1810" t="s">
        <v>57</v>
      </c>
      <c r="D1810" t="s">
        <v>44</v>
      </c>
      <c r="E1810" t="s">
        <v>4085</v>
      </c>
      <c r="F1810" t="s">
        <v>60</v>
      </c>
      <c r="G1810" t="s">
        <v>29</v>
      </c>
      <c r="H1810" t="s">
        <v>59</v>
      </c>
      <c r="I1810">
        <v>7</v>
      </c>
      <c r="J1810" t="s">
        <v>3698</v>
      </c>
      <c r="K1810">
        <v>63</v>
      </c>
      <c r="L1810" t="s">
        <v>80</v>
      </c>
      <c r="M1810">
        <v>1</v>
      </c>
      <c r="N1810" t="s">
        <v>48</v>
      </c>
      <c r="O1810" t="s">
        <v>81</v>
      </c>
      <c r="P1810" t="s">
        <v>35</v>
      </c>
      <c r="Q1810" s="2">
        <v>44844.84</v>
      </c>
      <c r="R1810" s="2">
        <v>1631.81</v>
      </c>
      <c r="S1810" t="s">
        <v>94</v>
      </c>
      <c r="T1810" t="s">
        <v>37</v>
      </c>
      <c r="U1810" t="s">
        <v>38</v>
      </c>
      <c r="V1810">
        <v>1.4</v>
      </c>
      <c r="W1810" t="s">
        <v>124</v>
      </c>
      <c r="X1810" t="s">
        <v>40</v>
      </c>
      <c r="Y1810" t="s">
        <v>72</v>
      </c>
    </row>
    <row r="1811" spans="1:25" x14ac:dyDescent="0.3">
      <c r="A1811" t="s">
        <v>3699</v>
      </c>
      <c r="B1811" s="1">
        <v>46735</v>
      </c>
      <c r="C1811" t="s">
        <v>78</v>
      </c>
      <c r="D1811" t="s">
        <v>58</v>
      </c>
      <c r="E1811" t="s">
        <v>89</v>
      </c>
      <c r="F1811" t="s">
        <v>28</v>
      </c>
      <c r="G1811" t="s">
        <v>29</v>
      </c>
      <c r="H1811" t="s">
        <v>61</v>
      </c>
      <c r="I1811">
        <v>3</v>
      </c>
      <c r="J1811" t="s">
        <v>3700</v>
      </c>
      <c r="K1811">
        <v>69</v>
      </c>
      <c r="L1811" t="s">
        <v>32</v>
      </c>
      <c r="M1811">
        <v>4</v>
      </c>
      <c r="N1811" t="s">
        <v>64</v>
      </c>
      <c r="O1811" t="s">
        <v>69</v>
      </c>
      <c r="P1811" t="s">
        <v>50</v>
      </c>
      <c r="Q1811" s="2">
        <v>15481.16</v>
      </c>
      <c r="R1811" s="2">
        <v>3131.94</v>
      </c>
      <c r="S1811" t="s">
        <v>51</v>
      </c>
      <c r="T1811" t="s">
        <v>71</v>
      </c>
      <c r="U1811" t="s">
        <v>53</v>
      </c>
      <c r="V1811">
        <v>2.2999999999999998</v>
      </c>
      <c r="W1811" t="s">
        <v>76</v>
      </c>
      <c r="X1811" t="s">
        <v>84</v>
      </c>
      <c r="Y1811" t="s">
        <v>41</v>
      </c>
    </row>
    <row r="1812" spans="1:25" x14ac:dyDescent="0.3">
      <c r="A1812" t="s">
        <v>3701</v>
      </c>
      <c r="B1812" s="1">
        <v>46736</v>
      </c>
      <c r="C1812" t="s">
        <v>117</v>
      </c>
      <c r="D1812" t="s">
        <v>4083</v>
      </c>
      <c r="E1812" t="s">
        <v>4084</v>
      </c>
      <c r="F1812" t="s">
        <v>60</v>
      </c>
      <c r="G1812" t="s">
        <v>29</v>
      </c>
      <c r="H1812" t="s">
        <v>27</v>
      </c>
      <c r="I1812">
        <v>4</v>
      </c>
      <c r="J1812" t="s">
        <v>3702</v>
      </c>
      <c r="K1812">
        <v>59</v>
      </c>
      <c r="L1812" t="s">
        <v>80</v>
      </c>
      <c r="M1812">
        <v>7</v>
      </c>
      <c r="N1812" t="s">
        <v>48</v>
      </c>
      <c r="O1812" t="s">
        <v>81</v>
      </c>
      <c r="P1812" t="s">
        <v>50</v>
      </c>
      <c r="Q1812" s="2">
        <v>25288.55</v>
      </c>
      <c r="R1812" s="2">
        <v>3594.86</v>
      </c>
      <c r="S1812" t="s">
        <v>115</v>
      </c>
      <c r="T1812" t="s">
        <v>71</v>
      </c>
      <c r="U1812" t="s">
        <v>53</v>
      </c>
      <c r="V1812">
        <v>2.5</v>
      </c>
      <c r="W1812" t="s">
        <v>76</v>
      </c>
      <c r="X1812" t="s">
        <v>84</v>
      </c>
      <c r="Y1812" t="s">
        <v>72</v>
      </c>
    </row>
    <row r="1813" spans="1:25" x14ac:dyDescent="0.3">
      <c r="A1813" t="s">
        <v>3703</v>
      </c>
      <c r="B1813" s="1">
        <v>46737</v>
      </c>
      <c r="C1813" t="s">
        <v>78</v>
      </c>
      <c r="D1813" t="s">
        <v>58</v>
      </c>
      <c r="E1813" t="s">
        <v>4084</v>
      </c>
      <c r="F1813" t="s">
        <v>60</v>
      </c>
      <c r="G1813" t="s">
        <v>29</v>
      </c>
      <c r="H1813" t="s">
        <v>27</v>
      </c>
      <c r="I1813">
        <v>12</v>
      </c>
      <c r="J1813" t="s">
        <v>3704</v>
      </c>
      <c r="K1813">
        <v>29</v>
      </c>
      <c r="L1813" t="s">
        <v>80</v>
      </c>
      <c r="M1813">
        <v>2</v>
      </c>
      <c r="N1813" t="s">
        <v>91</v>
      </c>
      <c r="O1813" t="s">
        <v>69</v>
      </c>
      <c r="P1813" t="s">
        <v>50</v>
      </c>
      <c r="Q1813" s="2">
        <v>9349.91</v>
      </c>
      <c r="R1813" s="2">
        <v>713.4</v>
      </c>
      <c r="S1813" t="s">
        <v>94</v>
      </c>
      <c r="T1813" t="s">
        <v>37</v>
      </c>
      <c r="U1813" t="s">
        <v>53</v>
      </c>
      <c r="V1813">
        <v>2.8</v>
      </c>
      <c r="W1813" t="s">
        <v>76</v>
      </c>
      <c r="X1813" t="s">
        <v>106</v>
      </c>
      <c r="Y1813" t="s">
        <v>72</v>
      </c>
    </row>
    <row r="1814" spans="1:25" x14ac:dyDescent="0.3">
      <c r="A1814" t="s">
        <v>3705</v>
      </c>
      <c r="B1814" s="1">
        <v>46738</v>
      </c>
      <c r="C1814" t="s">
        <v>43</v>
      </c>
      <c r="D1814" t="s">
        <v>58</v>
      </c>
      <c r="E1814" t="s">
        <v>45</v>
      </c>
      <c r="F1814" t="s">
        <v>28</v>
      </c>
      <c r="G1814" t="s">
        <v>29</v>
      </c>
      <c r="H1814" t="s">
        <v>67</v>
      </c>
      <c r="I1814">
        <v>5</v>
      </c>
      <c r="J1814" t="s">
        <v>3706</v>
      </c>
      <c r="K1814">
        <v>18</v>
      </c>
      <c r="L1814" t="s">
        <v>63</v>
      </c>
      <c r="M1814">
        <v>6</v>
      </c>
      <c r="N1814" t="s">
        <v>33</v>
      </c>
      <c r="O1814" t="s">
        <v>69</v>
      </c>
      <c r="P1814" t="s">
        <v>35</v>
      </c>
      <c r="Q1814" s="2">
        <v>20081.89</v>
      </c>
      <c r="R1814" s="2">
        <v>700.34</v>
      </c>
      <c r="S1814" t="s">
        <v>115</v>
      </c>
      <c r="T1814" t="s">
        <v>52</v>
      </c>
      <c r="U1814" t="s">
        <v>75</v>
      </c>
      <c r="V1814">
        <v>2.4</v>
      </c>
      <c r="W1814" t="s">
        <v>76</v>
      </c>
      <c r="X1814" t="s">
        <v>65</v>
      </c>
      <c r="Y1814" t="s">
        <v>41</v>
      </c>
    </row>
    <row r="1815" spans="1:25" x14ac:dyDescent="0.3">
      <c r="A1815" t="s">
        <v>3707</v>
      </c>
      <c r="B1815" s="1">
        <v>46739</v>
      </c>
      <c r="C1815" t="s">
        <v>117</v>
      </c>
      <c r="D1815" t="s">
        <v>4083</v>
      </c>
      <c r="E1815" t="s">
        <v>4084</v>
      </c>
      <c r="F1815" t="s">
        <v>60</v>
      </c>
      <c r="G1815" t="s">
        <v>29</v>
      </c>
      <c r="H1815" t="s">
        <v>27</v>
      </c>
      <c r="I1815">
        <v>10</v>
      </c>
      <c r="J1815" t="s">
        <v>3708</v>
      </c>
      <c r="K1815">
        <v>34</v>
      </c>
      <c r="L1815" t="s">
        <v>63</v>
      </c>
      <c r="M1815">
        <v>4</v>
      </c>
      <c r="N1815" t="s">
        <v>64</v>
      </c>
      <c r="O1815" t="s">
        <v>81</v>
      </c>
      <c r="P1815" t="s">
        <v>70</v>
      </c>
      <c r="Q1815" s="2">
        <v>27809.62</v>
      </c>
      <c r="R1815" s="2">
        <v>3580.69</v>
      </c>
      <c r="S1815" t="s">
        <v>51</v>
      </c>
      <c r="T1815" t="s">
        <v>37</v>
      </c>
      <c r="U1815" t="s">
        <v>83</v>
      </c>
      <c r="V1815">
        <v>1.1000000000000001</v>
      </c>
      <c r="W1815" t="s">
        <v>124</v>
      </c>
      <c r="X1815" t="s">
        <v>106</v>
      </c>
      <c r="Y1815" t="s">
        <v>72</v>
      </c>
    </row>
    <row r="1816" spans="1:25" x14ac:dyDescent="0.3">
      <c r="A1816" t="s">
        <v>3709</v>
      </c>
      <c r="B1816" s="1">
        <v>46740</v>
      </c>
      <c r="C1816" t="s">
        <v>57</v>
      </c>
      <c r="D1816" t="s">
        <v>44</v>
      </c>
      <c r="E1816" t="s">
        <v>4085</v>
      </c>
      <c r="F1816" t="s">
        <v>60</v>
      </c>
      <c r="G1816" t="s">
        <v>29</v>
      </c>
      <c r="H1816" t="s">
        <v>46</v>
      </c>
      <c r="I1816">
        <v>8</v>
      </c>
      <c r="J1816" t="s">
        <v>3710</v>
      </c>
      <c r="K1816">
        <v>58</v>
      </c>
      <c r="L1816" t="s">
        <v>80</v>
      </c>
      <c r="M1816">
        <v>1</v>
      </c>
      <c r="N1816" t="s">
        <v>33</v>
      </c>
      <c r="O1816" t="s">
        <v>49</v>
      </c>
      <c r="P1816" t="s">
        <v>50</v>
      </c>
      <c r="Q1816" s="2">
        <v>37973.31</v>
      </c>
      <c r="R1816" s="2">
        <v>2158.91</v>
      </c>
      <c r="S1816" t="s">
        <v>51</v>
      </c>
      <c r="T1816" t="s">
        <v>37</v>
      </c>
      <c r="U1816" t="s">
        <v>38</v>
      </c>
      <c r="V1816">
        <v>1.6</v>
      </c>
      <c r="W1816" t="s">
        <v>124</v>
      </c>
      <c r="X1816" t="s">
        <v>65</v>
      </c>
      <c r="Y1816" t="s">
        <v>72</v>
      </c>
    </row>
    <row r="1817" spans="1:25" x14ac:dyDescent="0.3">
      <c r="A1817" t="s">
        <v>3711</v>
      </c>
      <c r="B1817" s="1">
        <v>46741</v>
      </c>
      <c r="C1817" t="s">
        <v>78</v>
      </c>
      <c r="D1817" t="s">
        <v>58</v>
      </c>
      <c r="E1817" t="s">
        <v>45</v>
      </c>
      <c r="F1817" t="s">
        <v>28</v>
      </c>
      <c r="G1817" t="s">
        <v>29</v>
      </c>
      <c r="H1817" t="s">
        <v>67</v>
      </c>
      <c r="I1817">
        <v>14</v>
      </c>
      <c r="J1817" t="s">
        <v>3712</v>
      </c>
      <c r="K1817">
        <v>68</v>
      </c>
      <c r="L1817" t="s">
        <v>32</v>
      </c>
      <c r="M1817">
        <v>7</v>
      </c>
      <c r="N1817" t="s">
        <v>33</v>
      </c>
      <c r="O1817" t="s">
        <v>34</v>
      </c>
      <c r="P1817" t="s">
        <v>50</v>
      </c>
      <c r="Q1817" s="2">
        <v>13913.47</v>
      </c>
      <c r="R1817" s="2">
        <v>4446.01</v>
      </c>
      <c r="S1817" t="s">
        <v>94</v>
      </c>
      <c r="T1817" t="s">
        <v>71</v>
      </c>
      <c r="U1817" t="s">
        <v>75</v>
      </c>
      <c r="V1817">
        <v>1.5</v>
      </c>
      <c r="W1817" t="s">
        <v>124</v>
      </c>
      <c r="X1817" t="s">
        <v>65</v>
      </c>
      <c r="Y1817" t="s">
        <v>41</v>
      </c>
    </row>
    <row r="1818" spans="1:25" x14ac:dyDescent="0.3">
      <c r="A1818" t="s">
        <v>3713</v>
      </c>
      <c r="B1818" s="1">
        <v>46742</v>
      </c>
      <c r="C1818" t="s">
        <v>26</v>
      </c>
      <c r="D1818" t="s">
        <v>26</v>
      </c>
      <c r="E1818" t="s">
        <v>4084</v>
      </c>
      <c r="F1818" t="s">
        <v>60</v>
      </c>
      <c r="G1818" t="s">
        <v>29</v>
      </c>
      <c r="H1818" t="s">
        <v>30</v>
      </c>
      <c r="I1818">
        <v>12</v>
      </c>
      <c r="J1818" t="s">
        <v>3714</v>
      </c>
      <c r="K1818">
        <v>67</v>
      </c>
      <c r="L1818" t="s">
        <v>32</v>
      </c>
      <c r="M1818">
        <v>3</v>
      </c>
      <c r="N1818" t="s">
        <v>91</v>
      </c>
      <c r="O1818" t="s">
        <v>81</v>
      </c>
      <c r="P1818" t="s">
        <v>70</v>
      </c>
      <c r="Q1818" s="2">
        <v>14814.15</v>
      </c>
      <c r="R1818" s="2">
        <v>1559.69</v>
      </c>
      <c r="S1818" t="s">
        <v>94</v>
      </c>
      <c r="T1818" t="s">
        <v>71</v>
      </c>
      <c r="U1818" t="s">
        <v>38</v>
      </c>
      <c r="V1818">
        <v>2.7</v>
      </c>
      <c r="W1818" t="s">
        <v>76</v>
      </c>
      <c r="X1818" t="s">
        <v>106</v>
      </c>
      <c r="Y1818" t="s">
        <v>72</v>
      </c>
    </row>
    <row r="1819" spans="1:25" x14ac:dyDescent="0.3">
      <c r="A1819" t="s">
        <v>3715</v>
      </c>
      <c r="B1819" s="1">
        <v>46743</v>
      </c>
      <c r="C1819" t="s">
        <v>26</v>
      </c>
      <c r="D1819" t="s">
        <v>26</v>
      </c>
      <c r="E1819" t="s">
        <v>4084</v>
      </c>
      <c r="F1819" t="s">
        <v>60</v>
      </c>
      <c r="G1819" t="s">
        <v>29</v>
      </c>
      <c r="H1819" t="s">
        <v>27</v>
      </c>
      <c r="I1819">
        <v>13</v>
      </c>
      <c r="J1819" t="s">
        <v>3716</v>
      </c>
      <c r="K1819">
        <v>45</v>
      </c>
      <c r="L1819" t="s">
        <v>80</v>
      </c>
      <c r="M1819">
        <v>4</v>
      </c>
      <c r="N1819" t="s">
        <v>91</v>
      </c>
      <c r="O1819" t="s">
        <v>81</v>
      </c>
      <c r="P1819" t="s">
        <v>50</v>
      </c>
      <c r="Q1819" s="2">
        <v>33421</v>
      </c>
      <c r="R1819" s="2">
        <v>212.15</v>
      </c>
      <c r="S1819" t="s">
        <v>51</v>
      </c>
      <c r="T1819" t="s">
        <v>37</v>
      </c>
      <c r="U1819" t="s">
        <v>75</v>
      </c>
      <c r="V1819">
        <v>1.8</v>
      </c>
      <c r="W1819" t="s">
        <v>124</v>
      </c>
      <c r="X1819" t="s">
        <v>40</v>
      </c>
      <c r="Y1819" t="s">
        <v>41</v>
      </c>
    </row>
    <row r="1820" spans="1:25" x14ac:dyDescent="0.3">
      <c r="A1820" t="s">
        <v>3717</v>
      </c>
      <c r="B1820" s="1">
        <v>46744</v>
      </c>
      <c r="C1820" t="s">
        <v>43</v>
      </c>
      <c r="D1820" t="s">
        <v>58</v>
      </c>
      <c r="E1820" t="s">
        <v>89</v>
      </c>
      <c r="F1820" t="s">
        <v>28</v>
      </c>
      <c r="G1820" t="s">
        <v>29</v>
      </c>
      <c r="H1820" t="s">
        <v>61</v>
      </c>
      <c r="I1820">
        <v>7</v>
      </c>
      <c r="J1820" t="s">
        <v>3718</v>
      </c>
      <c r="K1820">
        <v>24</v>
      </c>
      <c r="L1820" t="s">
        <v>80</v>
      </c>
      <c r="M1820">
        <v>1</v>
      </c>
      <c r="N1820" t="s">
        <v>91</v>
      </c>
      <c r="O1820" t="s">
        <v>49</v>
      </c>
      <c r="P1820" t="s">
        <v>82</v>
      </c>
      <c r="Q1820" s="2">
        <v>22210.6</v>
      </c>
      <c r="R1820" s="2">
        <v>3249.38</v>
      </c>
      <c r="S1820" t="s">
        <v>51</v>
      </c>
      <c r="T1820" t="s">
        <v>37</v>
      </c>
      <c r="U1820" t="s">
        <v>53</v>
      </c>
      <c r="V1820">
        <v>2.2000000000000002</v>
      </c>
      <c r="W1820" t="s">
        <v>76</v>
      </c>
      <c r="X1820" t="s">
        <v>84</v>
      </c>
      <c r="Y1820" t="s">
        <v>72</v>
      </c>
    </row>
    <row r="1821" spans="1:25" x14ac:dyDescent="0.3">
      <c r="A1821" t="s">
        <v>3719</v>
      </c>
      <c r="B1821" s="1">
        <v>46745</v>
      </c>
      <c r="C1821" t="s">
        <v>26</v>
      </c>
      <c r="D1821" t="s">
        <v>26</v>
      </c>
      <c r="E1821" t="s">
        <v>4084</v>
      </c>
      <c r="F1821" t="s">
        <v>60</v>
      </c>
      <c r="G1821" t="s">
        <v>29</v>
      </c>
      <c r="H1821" t="s">
        <v>27</v>
      </c>
      <c r="I1821">
        <v>3</v>
      </c>
      <c r="J1821" t="s">
        <v>3720</v>
      </c>
      <c r="K1821">
        <v>26</v>
      </c>
      <c r="L1821" t="s">
        <v>32</v>
      </c>
      <c r="M1821">
        <v>7</v>
      </c>
      <c r="N1821" t="s">
        <v>91</v>
      </c>
      <c r="O1821" t="s">
        <v>69</v>
      </c>
      <c r="P1821" t="s">
        <v>70</v>
      </c>
      <c r="Q1821" s="2">
        <v>26694.27</v>
      </c>
      <c r="R1821" s="2">
        <v>3421.2</v>
      </c>
      <c r="S1821" t="s">
        <v>36</v>
      </c>
      <c r="T1821" t="s">
        <v>71</v>
      </c>
      <c r="U1821" t="s">
        <v>75</v>
      </c>
      <c r="V1821">
        <v>2.9</v>
      </c>
      <c r="W1821" t="s">
        <v>76</v>
      </c>
      <c r="X1821" t="s">
        <v>55</v>
      </c>
      <c r="Y1821" t="s">
        <v>72</v>
      </c>
    </row>
    <row r="1822" spans="1:25" x14ac:dyDescent="0.3">
      <c r="A1822" t="s">
        <v>3721</v>
      </c>
      <c r="B1822" s="1">
        <v>46746</v>
      </c>
      <c r="C1822" t="s">
        <v>78</v>
      </c>
      <c r="D1822" t="s">
        <v>58</v>
      </c>
      <c r="E1822" t="s">
        <v>120</v>
      </c>
      <c r="F1822" t="s">
        <v>28</v>
      </c>
      <c r="G1822" t="s">
        <v>29</v>
      </c>
      <c r="H1822" t="s">
        <v>86</v>
      </c>
      <c r="I1822">
        <v>14</v>
      </c>
      <c r="J1822" t="s">
        <v>3722</v>
      </c>
      <c r="K1822">
        <v>39</v>
      </c>
      <c r="L1822" t="s">
        <v>32</v>
      </c>
      <c r="M1822">
        <v>7</v>
      </c>
      <c r="N1822" t="s">
        <v>64</v>
      </c>
      <c r="O1822" t="s">
        <v>49</v>
      </c>
      <c r="P1822" t="s">
        <v>70</v>
      </c>
      <c r="Q1822" s="2">
        <v>42626.07</v>
      </c>
      <c r="R1822" s="2">
        <v>2767.96</v>
      </c>
      <c r="S1822" t="s">
        <v>36</v>
      </c>
      <c r="T1822" t="s">
        <v>71</v>
      </c>
      <c r="U1822" t="s">
        <v>83</v>
      </c>
      <c r="V1822">
        <v>1.9</v>
      </c>
      <c r="W1822" t="s">
        <v>124</v>
      </c>
      <c r="X1822" t="s">
        <v>106</v>
      </c>
      <c r="Y1822" t="s">
        <v>72</v>
      </c>
    </row>
    <row r="1823" spans="1:25" x14ac:dyDescent="0.3">
      <c r="A1823" t="s">
        <v>3723</v>
      </c>
      <c r="B1823" s="1">
        <v>46747</v>
      </c>
      <c r="C1823" t="s">
        <v>78</v>
      </c>
      <c r="D1823" t="s">
        <v>58</v>
      </c>
      <c r="E1823" t="s">
        <v>45</v>
      </c>
      <c r="F1823" t="s">
        <v>28</v>
      </c>
      <c r="G1823" t="s">
        <v>29</v>
      </c>
      <c r="H1823" t="s">
        <v>67</v>
      </c>
      <c r="I1823">
        <v>13</v>
      </c>
      <c r="J1823" t="s">
        <v>3724</v>
      </c>
      <c r="K1823">
        <v>43</v>
      </c>
      <c r="L1823" t="s">
        <v>32</v>
      </c>
      <c r="M1823">
        <v>2</v>
      </c>
      <c r="N1823" t="s">
        <v>48</v>
      </c>
      <c r="O1823" t="s">
        <v>49</v>
      </c>
      <c r="P1823" t="s">
        <v>70</v>
      </c>
      <c r="Q1823" s="2">
        <v>27458.75</v>
      </c>
      <c r="R1823" s="2">
        <v>3416.66</v>
      </c>
      <c r="S1823" t="s">
        <v>115</v>
      </c>
      <c r="T1823" t="s">
        <v>52</v>
      </c>
      <c r="U1823" t="s">
        <v>83</v>
      </c>
      <c r="V1823">
        <v>2</v>
      </c>
      <c r="W1823" t="s">
        <v>76</v>
      </c>
      <c r="X1823" t="s">
        <v>106</v>
      </c>
      <c r="Y1823" t="s">
        <v>72</v>
      </c>
    </row>
    <row r="1824" spans="1:25" x14ac:dyDescent="0.3">
      <c r="A1824" t="s">
        <v>3725</v>
      </c>
      <c r="B1824" s="1">
        <v>46748</v>
      </c>
      <c r="C1824" t="s">
        <v>26</v>
      </c>
      <c r="D1824" t="s">
        <v>26</v>
      </c>
      <c r="E1824" t="s">
        <v>120</v>
      </c>
      <c r="F1824" t="s">
        <v>28</v>
      </c>
      <c r="G1824" t="s">
        <v>29</v>
      </c>
      <c r="H1824" t="s">
        <v>86</v>
      </c>
      <c r="I1824">
        <v>14</v>
      </c>
      <c r="J1824" t="s">
        <v>3726</v>
      </c>
      <c r="K1824">
        <v>29</v>
      </c>
      <c r="L1824" t="s">
        <v>80</v>
      </c>
      <c r="M1824">
        <v>7</v>
      </c>
      <c r="N1824" t="s">
        <v>48</v>
      </c>
      <c r="O1824" t="s">
        <v>69</v>
      </c>
      <c r="P1824" t="s">
        <v>82</v>
      </c>
      <c r="Q1824" s="2">
        <v>34362.47</v>
      </c>
      <c r="R1824" s="2">
        <v>2618.77</v>
      </c>
      <c r="S1824" t="s">
        <v>51</v>
      </c>
      <c r="T1824" t="s">
        <v>37</v>
      </c>
      <c r="U1824" t="s">
        <v>38</v>
      </c>
      <c r="V1824">
        <v>4.3</v>
      </c>
      <c r="W1824" t="s">
        <v>54</v>
      </c>
      <c r="X1824" t="s">
        <v>40</v>
      </c>
      <c r="Y1824" t="s">
        <v>41</v>
      </c>
    </row>
    <row r="1825" spans="1:25" x14ac:dyDescent="0.3">
      <c r="A1825" t="s">
        <v>3727</v>
      </c>
      <c r="B1825" s="1">
        <v>46749</v>
      </c>
      <c r="C1825" t="s">
        <v>78</v>
      </c>
      <c r="D1825" t="s">
        <v>58</v>
      </c>
      <c r="E1825" t="s">
        <v>45</v>
      </c>
      <c r="F1825" t="s">
        <v>28</v>
      </c>
      <c r="G1825" t="s">
        <v>29</v>
      </c>
      <c r="H1825" t="s">
        <v>67</v>
      </c>
      <c r="I1825">
        <v>11</v>
      </c>
      <c r="J1825" t="s">
        <v>3728</v>
      </c>
      <c r="K1825">
        <v>24</v>
      </c>
      <c r="L1825" t="s">
        <v>63</v>
      </c>
      <c r="M1825">
        <v>3</v>
      </c>
      <c r="N1825" t="s">
        <v>64</v>
      </c>
      <c r="O1825" t="s">
        <v>81</v>
      </c>
      <c r="P1825" t="s">
        <v>70</v>
      </c>
      <c r="Q1825" s="2">
        <v>34554.879999999997</v>
      </c>
      <c r="R1825" s="2">
        <v>3463.16</v>
      </c>
      <c r="S1825" t="s">
        <v>115</v>
      </c>
      <c r="T1825" t="s">
        <v>52</v>
      </c>
      <c r="U1825" t="s">
        <v>53</v>
      </c>
      <c r="V1825">
        <v>3.2</v>
      </c>
      <c r="W1825" t="s">
        <v>76</v>
      </c>
      <c r="X1825" t="s">
        <v>84</v>
      </c>
      <c r="Y1825" t="s">
        <v>72</v>
      </c>
    </row>
    <row r="1826" spans="1:25" x14ac:dyDescent="0.3">
      <c r="A1826" t="s">
        <v>3729</v>
      </c>
      <c r="B1826" s="1">
        <v>46750</v>
      </c>
      <c r="C1826" t="s">
        <v>43</v>
      </c>
      <c r="D1826" t="s">
        <v>58</v>
      </c>
      <c r="E1826" t="s">
        <v>89</v>
      </c>
      <c r="F1826" t="s">
        <v>28</v>
      </c>
      <c r="G1826" t="s">
        <v>29</v>
      </c>
      <c r="H1826" t="s">
        <v>61</v>
      </c>
      <c r="I1826">
        <v>5</v>
      </c>
      <c r="J1826" t="s">
        <v>3730</v>
      </c>
      <c r="K1826">
        <v>63</v>
      </c>
      <c r="L1826" t="s">
        <v>32</v>
      </c>
      <c r="M1826">
        <v>7</v>
      </c>
      <c r="N1826" t="s">
        <v>33</v>
      </c>
      <c r="O1826" t="s">
        <v>49</v>
      </c>
      <c r="P1826" t="s">
        <v>35</v>
      </c>
      <c r="Q1826" s="2">
        <v>41162.54</v>
      </c>
      <c r="R1826" s="2">
        <v>219.69</v>
      </c>
      <c r="S1826" t="s">
        <v>51</v>
      </c>
      <c r="T1826" t="s">
        <v>52</v>
      </c>
      <c r="U1826" t="s">
        <v>53</v>
      </c>
      <c r="V1826">
        <v>4.4000000000000004</v>
      </c>
      <c r="W1826" t="s">
        <v>39</v>
      </c>
      <c r="X1826" t="s">
        <v>106</v>
      </c>
      <c r="Y1826" t="s">
        <v>41</v>
      </c>
    </row>
    <row r="1827" spans="1:25" x14ac:dyDescent="0.3">
      <c r="A1827" t="s">
        <v>3731</v>
      </c>
      <c r="B1827" s="1">
        <v>46751</v>
      </c>
      <c r="C1827" t="s">
        <v>117</v>
      </c>
      <c r="D1827" t="s">
        <v>4083</v>
      </c>
      <c r="E1827" t="s">
        <v>4084</v>
      </c>
      <c r="F1827" t="s">
        <v>60</v>
      </c>
      <c r="G1827" t="s">
        <v>29</v>
      </c>
      <c r="H1827" t="s">
        <v>27</v>
      </c>
      <c r="I1827">
        <v>5</v>
      </c>
      <c r="J1827" t="s">
        <v>3732</v>
      </c>
      <c r="K1827">
        <v>64</v>
      </c>
      <c r="L1827" t="s">
        <v>32</v>
      </c>
      <c r="M1827">
        <v>5</v>
      </c>
      <c r="N1827" t="s">
        <v>64</v>
      </c>
      <c r="O1827" t="s">
        <v>49</v>
      </c>
      <c r="P1827" t="s">
        <v>35</v>
      </c>
      <c r="Q1827" s="2">
        <v>33716.28</v>
      </c>
      <c r="R1827" s="2">
        <v>1841.99</v>
      </c>
      <c r="S1827" t="s">
        <v>115</v>
      </c>
      <c r="T1827" t="s">
        <v>52</v>
      </c>
      <c r="U1827" t="s">
        <v>38</v>
      </c>
      <c r="V1827">
        <v>3.1</v>
      </c>
      <c r="W1827" t="s">
        <v>76</v>
      </c>
      <c r="X1827" t="s">
        <v>55</v>
      </c>
      <c r="Y1827" t="s">
        <v>41</v>
      </c>
    </row>
    <row r="1828" spans="1:25" x14ac:dyDescent="0.3">
      <c r="A1828" t="s">
        <v>3733</v>
      </c>
      <c r="B1828" s="1">
        <v>46752</v>
      </c>
      <c r="C1828" t="s">
        <v>43</v>
      </c>
      <c r="D1828" t="s">
        <v>58</v>
      </c>
      <c r="E1828" t="s">
        <v>4084</v>
      </c>
      <c r="F1828" t="s">
        <v>60</v>
      </c>
      <c r="G1828" t="s">
        <v>29</v>
      </c>
      <c r="H1828" t="s">
        <v>27</v>
      </c>
      <c r="I1828">
        <v>4</v>
      </c>
      <c r="J1828" t="s">
        <v>3734</v>
      </c>
      <c r="K1828">
        <v>32</v>
      </c>
      <c r="L1828" t="s">
        <v>32</v>
      </c>
      <c r="M1828">
        <v>1</v>
      </c>
      <c r="N1828" t="s">
        <v>48</v>
      </c>
      <c r="O1828" t="s">
        <v>81</v>
      </c>
      <c r="P1828" t="s">
        <v>35</v>
      </c>
      <c r="Q1828" s="2">
        <v>7916.44</v>
      </c>
      <c r="R1828" s="2">
        <v>1054.08</v>
      </c>
      <c r="S1828" t="s">
        <v>36</v>
      </c>
      <c r="T1828" t="s">
        <v>71</v>
      </c>
      <c r="U1828" t="s">
        <v>83</v>
      </c>
      <c r="V1828">
        <v>4.5999999999999996</v>
      </c>
      <c r="W1828" t="s">
        <v>103</v>
      </c>
      <c r="X1828" t="s">
        <v>84</v>
      </c>
      <c r="Y1828" t="s">
        <v>72</v>
      </c>
    </row>
    <row r="1829" spans="1:25" x14ac:dyDescent="0.3">
      <c r="A1829" t="s">
        <v>3735</v>
      </c>
      <c r="B1829" s="1">
        <v>46753</v>
      </c>
      <c r="C1829" t="s">
        <v>43</v>
      </c>
      <c r="D1829" t="s">
        <v>58</v>
      </c>
      <c r="E1829" t="s">
        <v>4084</v>
      </c>
      <c r="F1829" t="s">
        <v>60</v>
      </c>
      <c r="G1829" t="s">
        <v>29</v>
      </c>
      <c r="H1829" t="s">
        <v>30</v>
      </c>
      <c r="I1829">
        <v>6</v>
      </c>
      <c r="J1829" t="s">
        <v>3736</v>
      </c>
      <c r="K1829">
        <v>55</v>
      </c>
      <c r="L1829" t="s">
        <v>80</v>
      </c>
      <c r="M1829">
        <v>5</v>
      </c>
      <c r="N1829" t="s">
        <v>48</v>
      </c>
      <c r="O1829" t="s">
        <v>81</v>
      </c>
      <c r="P1829" t="s">
        <v>70</v>
      </c>
      <c r="Q1829" s="2">
        <v>20397.78</v>
      </c>
      <c r="R1829" s="2">
        <v>496.63</v>
      </c>
      <c r="S1829" t="s">
        <v>51</v>
      </c>
      <c r="T1829" t="s">
        <v>52</v>
      </c>
      <c r="U1829" t="s">
        <v>83</v>
      </c>
      <c r="V1829">
        <v>2</v>
      </c>
      <c r="W1829" t="s">
        <v>76</v>
      </c>
      <c r="X1829" t="s">
        <v>106</v>
      </c>
      <c r="Y1829" t="s">
        <v>41</v>
      </c>
    </row>
    <row r="1830" spans="1:25" x14ac:dyDescent="0.3">
      <c r="A1830" t="s">
        <v>3737</v>
      </c>
      <c r="B1830" s="1">
        <v>46754</v>
      </c>
      <c r="C1830" t="s">
        <v>78</v>
      </c>
      <c r="D1830" t="s">
        <v>58</v>
      </c>
      <c r="E1830" t="s">
        <v>45</v>
      </c>
      <c r="F1830" t="s">
        <v>28</v>
      </c>
      <c r="G1830" t="s">
        <v>29</v>
      </c>
      <c r="H1830" t="s">
        <v>67</v>
      </c>
      <c r="I1830">
        <v>14</v>
      </c>
      <c r="J1830" t="s">
        <v>3738</v>
      </c>
      <c r="K1830">
        <v>38</v>
      </c>
      <c r="L1830" t="s">
        <v>63</v>
      </c>
      <c r="M1830">
        <v>7</v>
      </c>
      <c r="N1830" t="s">
        <v>64</v>
      </c>
      <c r="O1830" t="s">
        <v>34</v>
      </c>
      <c r="P1830" t="s">
        <v>70</v>
      </c>
      <c r="Q1830" s="2">
        <v>49519.23</v>
      </c>
      <c r="R1830" s="2">
        <v>1170.46</v>
      </c>
      <c r="S1830" t="s">
        <v>51</v>
      </c>
      <c r="T1830" t="s">
        <v>71</v>
      </c>
      <c r="U1830" t="s">
        <v>38</v>
      </c>
      <c r="V1830">
        <v>3.5</v>
      </c>
      <c r="W1830" t="s">
        <v>54</v>
      </c>
      <c r="X1830" t="s">
        <v>106</v>
      </c>
      <c r="Y1830" t="s">
        <v>72</v>
      </c>
    </row>
    <row r="1831" spans="1:25" x14ac:dyDescent="0.3">
      <c r="A1831" t="s">
        <v>3739</v>
      </c>
      <c r="B1831" s="1">
        <v>46755</v>
      </c>
      <c r="C1831" t="s">
        <v>117</v>
      </c>
      <c r="D1831" t="s">
        <v>4083</v>
      </c>
      <c r="E1831" t="s">
        <v>4084</v>
      </c>
      <c r="F1831" t="s">
        <v>60</v>
      </c>
      <c r="G1831" t="s">
        <v>29</v>
      </c>
      <c r="H1831" t="s">
        <v>27</v>
      </c>
      <c r="I1831">
        <v>4</v>
      </c>
      <c r="J1831" t="s">
        <v>3740</v>
      </c>
      <c r="K1831">
        <v>31</v>
      </c>
      <c r="L1831" t="s">
        <v>63</v>
      </c>
      <c r="M1831">
        <v>3</v>
      </c>
      <c r="N1831" t="s">
        <v>91</v>
      </c>
      <c r="O1831" t="s">
        <v>49</v>
      </c>
      <c r="P1831" t="s">
        <v>70</v>
      </c>
      <c r="Q1831" s="2">
        <v>13842.96</v>
      </c>
      <c r="R1831" s="2">
        <v>956.55</v>
      </c>
      <c r="S1831" t="s">
        <v>115</v>
      </c>
      <c r="T1831" t="s">
        <v>71</v>
      </c>
      <c r="U1831" t="s">
        <v>53</v>
      </c>
      <c r="V1831">
        <v>3</v>
      </c>
      <c r="W1831" t="s">
        <v>76</v>
      </c>
      <c r="X1831" t="s">
        <v>65</v>
      </c>
      <c r="Y1831" t="s">
        <v>41</v>
      </c>
    </row>
    <row r="1832" spans="1:25" x14ac:dyDescent="0.3">
      <c r="A1832" t="s">
        <v>3741</v>
      </c>
      <c r="B1832" s="1">
        <v>46756</v>
      </c>
      <c r="C1832" t="s">
        <v>78</v>
      </c>
      <c r="D1832" t="s">
        <v>58</v>
      </c>
      <c r="E1832" t="s">
        <v>120</v>
      </c>
      <c r="F1832" t="s">
        <v>28</v>
      </c>
      <c r="G1832" t="s">
        <v>29</v>
      </c>
      <c r="H1832" t="s">
        <v>86</v>
      </c>
      <c r="I1832">
        <v>11</v>
      </c>
      <c r="J1832" t="s">
        <v>3742</v>
      </c>
      <c r="K1832">
        <v>19</v>
      </c>
      <c r="L1832" t="s">
        <v>32</v>
      </c>
      <c r="M1832">
        <v>1</v>
      </c>
      <c r="N1832" t="s">
        <v>33</v>
      </c>
      <c r="O1832" t="s">
        <v>34</v>
      </c>
      <c r="P1832" t="s">
        <v>82</v>
      </c>
      <c r="Q1832" s="2">
        <v>31402.81</v>
      </c>
      <c r="R1832" s="2">
        <v>4865.66</v>
      </c>
      <c r="S1832" t="s">
        <v>115</v>
      </c>
      <c r="T1832" t="s">
        <v>71</v>
      </c>
      <c r="U1832" t="s">
        <v>38</v>
      </c>
      <c r="V1832">
        <v>4.7</v>
      </c>
      <c r="W1832" t="s">
        <v>103</v>
      </c>
      <c r="X1832" t="s">
        <v>65</v>
      </c>
      <c r="Y1832" t="s">
        <v>72</v>
      </c>
    </row>
    <row r="1833" spans="1:25" x14ac:dyDescent="0.3">
      <c r="A1833" t="s">
        <v>3743</v>
      </c>
      <c r="B1833" s="1">
        <v>46757</v>
      </c>
      <c r="C1833" t="s">
        <v>57</v>
      </c>
      <c r="D1833" t="s">
        <v>44</v>
      </c>
      <c r="E1833" t="s">
        <v>4084</v>
      </c>
      <c r="F1833" t="s">
        <v>60</v>
      </c>
      <c r="G1833" t="s">
        <v>29</v>
      </c>
      <c r="H1833" t="s">
        <v>27</v>
      </c>
      <c r="I1833">
        <v>14</v>
      </c>
      <c r="J1833" t="s">
        <v>3744</v>
      </c>
      <c r="K1833">
        <v>25</v>
      </c>
      <c r="L1833" t="s">
        <v>80</v>
      </c>
      <c r="M1833">
        <v>1</v>
      </c>
      <c r="N1833" t="s">
        <v>64</v>
      </c>
      <c r="O1833" t="s">
        <v>69</v>
      </c>
      <c r="P1833" t="s">
        <v>35</v>
      </c>
      <c r="Q1833" s="2">
        <v>42932.33</v>
      </c>
      <c r="R1833" s="2">
        <v>1432.73</v>
      </c>
      <c r="S1833" t="s">
        <v>94</v>
      </c>
      <c r="T1833" t="s">
        <v>37</v>
      </c>
      <c r="U1833" t="s">
        <v>38</v>
      </c>
      <c r="V1833">
        <v>2.7</v>
      </c>
      <c r="W1833" t="s">
        <v>76</v>
      </c>
      <c r="X1833" t="s">
        <v>106</v>
      </c>
      <c r="Y1833" t="s">
        <v>41</v>
      </c>
    </row>
    <row r="1834" spans="1:25" x14ac:dyDescent="0.3">
      <c r="A1834" t="s">
        <v>3745</v>
      </c>
      <c r="B1834" s="1">
        <v>46758</v>
      </c>
      <c r="C1834" t="s">
        <v>78</v>
      </c>
      <c r="D1834" t="s">
        <v>58</v>
      </c>
      <c r="E1834" t="s">
        <v>89</v>
      </c>
      <c r="F1834" t="s">
        <v>28</v>
      </c>
      <c r="G1834" t="s">
        <v>29</v>
      </c>
      <c r="H1834" t="s">
        <v>61</v>
      </c>
      <c r="I1834">
        <v>12</v>
      </c>
      <c r="J1834" t="s">
        <v>3746</v>
      </c>
      <c r="K1834">
        <v>62</v>
      </c>
      <c r="L1834" t="s">
        <v>63</v>
      </c>
      <c r="M1834">
        <v>7</v>
      </c>
      <c r="N1834" t="s">
        <v>48</v>
      </c>
      <c r="O1834" t="s">
        <v>81</v>
      </c>
      <c r="P1834" t="s">
        <v>50</v>
      </c>
      <c r="Q1834" s="2">
        <v>31395.14</v>
      </c>
      <c r="R1834" s="2">
        <v>1154.79</v>
      </c>
      <c r="S1834" t="s">
        <v>94</v>
      </c>
      <c r="T1834" t="s">
        <v>52</v>
      </c>
      <c r="U1834" t="s">
        <v>75</v>
      </c>
      <c r="V1834">
        <v>4.4000000000000004</v>
      </c>
      <c r="W1834" t="s">
        <v>54</v>
      </c>
      <c r="X1834" t="s">
        <v>40</v>
      </c>
      <c r="Y1834" t="s">
        <v>41</v>
      </c>
    </row>
    <row r="1835" spans="1:25" x14ac:dyDescent="0.3">
      <c r="A1835" t="s">
        <v>3747</v>
      </c>
      <c r="B1835" s="1">
        <v>46759</v>
      </c>
      <c r="C1835" t="s">
        <v>78</v>
      </c>
      <c r="D1835" t="s">
        <v>58</v>
      </c>
      <c r="E1835" t="s">
        <v>120</v>
      </c>
      <c r="F1835" t="s">
        <v>28</v>
      </c>
      <c r="G1835" t="s">
        <v>29</v>
      </c>
      <c r="H1835" t="s">
        <v>86</v>
      </c>
      <c r="I1835">
        <v>9</v>
      </c>
      <c r="J1835" t="s">
        <v>3748</v>
      </c>
      <c r="K1835">
        <v>23</v>
      </c>
      <c r="L1835" t="s">
        <v>80</v>
      </c>
      <c r="M1835">
        <v>3</v>
      </c>
      <c r="N1835" t="s">
        <v>91</v>
      </c>
      <c r="O1835" t="s">
        <v>81</v>
      </c>
      <c r="P1835" t="s">
        <v>50</v>
      </c>
      <c r="Q1835" s="2">
        <v>21752.16</v>
      </c>
      <c r="R1835" s="2">
        <v>4174.37</v>
      </c>
      <c r="S1835" t="s">
        <v>36</v>
      </c>
      <c r="T1835" t="s">
        <v>71</v>
      </c>
      <c r="U1835" t="s">
        <v>38</v>
      </c>
      <c r="V1835">
        <v>3.3</v>
      </c>
      <c r="W1835" t="s">
        <v>76</v>
      </c>
      <c r="X1835" t="s">
        <v>65</v>
      </c>
      <c r="Y1835" t="s">
        <v>72</v>
      </c>
    </row>
    <row r="1836" spans="1:25" x14ac:dyDescent="0.3">
      <c r="A1836" t="s">
        <v>3749</v>
      </c>
      <c r="B1836" s="1">
        <v>46760</v>
      </c>
      <c r="C1836" t="s">
        <v>78</v>
      </c>
      <c r="D1836" t="s">
        <v>58</v>
      </c>
      <c r="E1836" t="s">
        <v>4084</v>
      </c>
      <c r="F1836" t="s">
        <v>60</v>
      </c>
      <c r="G1836" t="s">
        <v>29</v>
      </c>
      <c r="H1836" t="s">
        <v>30</v>
      </c>
      <c r="I1836">
        <v>10</v>
      </c>
      <c r="J1836" t="s">
        <v>3750</v>
      </c>
      <c r="K1836">
        <v>54</v>
      </c>
      <c r="L1836" t="s">
        <v>63</v>
      </c>
      <c r="M1836">
        <v>2</v>
      </c>
      <c r="N1836" t="s">
        <v>33</v>
      </c>
      <c r="O1836" t="s">
        <v>34</v>
      </c>
      <c r="P1836" t="s">
        <v>70</v>
      </c>
      <c r="Q1836" s="2">
        <v>8610.2900000000009</v>
      </c>
      <c r="R1836" s="2">
        <v>2095.58</v>
      </c>
      <c r="S1836" t="s">
        <v>51</v>
      </c>
      <c r="T1836" t="s">
        <v>37</v>
      </c>
      <c r="U1836" t="s">
        <v>83</v>
      </c>
      <c r="V1836">
        <v>3.8</v>
      </c>
      <c r="W1836" t="s">
        <v>39</v>
      </c>
      <c r="X1836" t="s">
        <v>106</v>
      </c>
      <c r="Y1836" t="s">
        <v>72</v>
      </c>
    </row>
    <row r="1837" spans="1:25" x14ac:dyDescent="0.3">
      <c r="A1837" t="s">
        <v>3751</v>
      </c>
      <c r="B1837" s="1">
        <v>46761</v>
      </c>
      <c r="C1837" t="s">
        <v>117</v>
      </c>
      <c r="D1837" t="s">
        <v>4083</v>
      </c>
      <c r="E1837" t="s">
        <v>4084</v>
      </c>
      <c r="F1837" t="s">
        <v>60</v>
      </c>
      <c r="G1837" t="s">
        <v>29</v>
      </c>
      <c r="H1837" t="s">
        <v>27</v>
      </c>
      <c r="I1837">
        <v>5</v>
      </c>
      <c r="J1837" t="s">
        <v>3752</v>
      </c>
      <c r="K1837">
        <v>54</v>
      </c>
      <c r="L1837" t="s">
        <v>32</v>
      </c>
      <c r="M1837">
        <v>1</v>
      </c>
      <c r="N1837" t="s">
        <v>48</v>
      </c>
      <c r="O1837" t="s">
        <v>49</v>
      </c>
      <c r="P1837" t="s">
        <v>82</v>
      </c>
      <c r="Q1837" s="2">
        <v>21274.92</v>
      </c>
      <c r="R1837" s="2">
        <v>2107.33</v>
      </c>
      <c r="S1837" t="s">
        <v>51</v>
      </c>
      <c r="T1837" t="s">
        <v>37</v>
      </c>
      <c r="U1837" t="s">
        <v>38</v>
      </c>
      <c r="V1837">
        <v>4.5</v>
      </c>
      <c r="W1837" t="s">
        <v>103</v>
      </c>
      <c r="X1837" t="s">
        <v>84</v>
      </c>
      <c r="Y1837" t="s">
        <v>41</v>
      </c>
    </row>
    <row r="1838" spans="1:25" x14ac:dyDescent="0.3">
      <c r="A1838" t="s">
        <v>3753</v>
      </c>
      <c r="B1838" s="1">
        <v>46762</v>
      </c>
      <c r="C1838" t="s">
        <v>78</v>
      </c>
      <c r="D1838" t="s">
        <v>58</v>
      </c>
      <c r="E1838" t="s">
        <v>4085</v>
      </c>
      <c r="F1838" t="s">
        <v>60</v>
      </c>
      <c r="G1838" t="s">
        <v>29</v>
      </c>
      <c r="H1838" t="s">
        <v>59</v>
      </c>
      <c r="I1838">
        <v>8</v>
      </c>
      <c r="J1838" t="s">
        <v>3754</v>
      </c>
      <c r="K1838">
        <v>50</v>
      </c>
      <c r="L1838" t="s">
        <v>80</v>
      </c>
      <c r="M1838">
        <v>3</v>
      </c>
      <c r="N1838" t="s">
        <v>33</v>
      </c>
      <c r="O1838" t="s">
        <v>69</v>
      </c>
      <c r="P1838" t="s">
        <v>70</v>
      </c>
      <c r="Q1838" s="2">
        <v>13193.04</v>
      </c>
      <c r="R1838" s="2">
        <v>2217.9499999999998</v>
      </c>
      <c r="S1838" t="s">
        <v>115</v>
      </c>
      <c r="T1838" t="s">
        <v>37</v>
      </c>
      <c r="U1838" t="s">
        <v>53</v>
      </c>
      <c r="V1838">
        <v>5</v>
      </c>
      <c r="W1838" t="s">
        <v>103</v>
      </c>
      <c r="X1838" t="s">
        <v>55</v>
      </c>
      <c r="Y1838" t="s">
        <v>41</v>
      </c>
    </row>
    <row r="1839" spans="1:25" x14ac:dyDescent="0.3">
      <c r="A1839" t="s">
        <v>3755</v>
      </c>
      <c r="B1839" s="1">
        <v>46763</v>
      </c>
      <c r="C1839" t="s">
        <v>117</v>
      </c>
      <c r="D1839" t="s">
        <v>4083</v>
      </c>
      <c r="E1839" t="s">
        <v>45</v>
      </c>
      <c r="F1839" t="s">
        <v>28</v>
      </c>
      <c r="G1839" t="s">
        <v>29</v>
      </c>
      <c r="H1839" t="s">
        <v>67</v>
      </c>
      <c r="I1839">
        <v>12</v>
      </c>
      <c r="J1839" t="s">
        <v>3756</v>
      </c>
      <c r="K1839">
        <v>58</v>
      </c>
      <c r="L1839" t="s">
        <v>32</v>
      </c>
      <c r="M1839">
        <v>4</v>
      </c>
      <c r="N1839" t="s">
        <v>91</v>
      </c>
      <c r="O1839" t="s">
        <v>49</v>
      </c>
      <c r="P1839" t="s">
        <v>50</v>
      </c>
      <c r="Q1839" s="2">
        <v>48238.83</v>
      </c>
      <c r="R1839" s="2">
        <v>2082.67</v>
      </c>
      <c r="S1839" t="s">
        <v>36</v>
      </c>
      <c r="T1839" t="s">
        <v>71</v>
      </c>
      <c r="U1839" t="s">
        <v>53</v>
      </c>
      <c r="V1839">
        <v>3.9</v>
      </c>
      <c r="W1839" t="s">
        <v>54</v>
      </c>
      <c r="X1839" t="s">
        <v>65</v>
      </c>
      <c r="Y1839" t="s">
        <v>41</v>
      </c>
    </row>
    <row r="1840" spans="1:25" x14ac:dyDescent="0.3">
      <c r="A1840" t="s">
        <v>3757</v>
      </c>
      <c r="B1840" s="1">
        <v>46764</v>
      </c>
      <c r="C1840" t="s">
        <v>26</v>
      </c>
      <c r="D1840" t="s">
        <v>26</v>
      </c>
      <c r="E1840" t="s">
        <v>120</v>
      </c>
      <c r="F1840" t="s">
        <v>28</v>
      </c>
      <c r="G1840" t="s">
        <v>29</v>
      </c>
      <c r="H1840" t="s">
        <v>86</v>
      </c>
      <c r="I1840">
        <v>8</v>
      </c>
      <c r="J1840" t="s">
        <v>3758</v>
      </c>
      <c r="K1840">
        <v>23</v>
      </c>
      <c r="L1840" t="s">
        <v>63</v>
      </c>
      <c r="M1840">
        <v>5</v>
      </c>
      <c r="N1840" t="s">
        <v>48</v>
      </c>
      <c r="O1840" t="s">
        <v>49</v>
      </c>
      <c r="P1840" t="s">
        <v>35</v>
      </c>
      <c r="Q1840" s="2">
        <v>37176.43</v>
      </c>
      <c r="R1840" s="2">
        <v>1632.83</v>
      </c>
      <c r="S1840" t="s">
        <v>51</v>
      </c>
      <c r="T1840" t="s">
        <v>71</v>
      </c>
      <c r="U1840" t="s">
        <v>83</v>
      </c>
      <c r="V1840">
        <v>2.2999999999999998</v>
      </c>
      <c r="W1840" t="s">
        <v>76</v>
      </c>
      <c r="X1840" t="s">
        <v>106</v>
      </c>
      <c r="Y1840" t="s">
        <v>41</v>
      </c>
    </row>
    <row r="1841" spans="1:25" x14ac:dyDescent="0.3">
      <c r="A1841" t="s">
        <v>3759</v>
      </c>
      <c r="B1841" s="1">
        <v>46765</v>
      </c>
      <c r="C1841" t="s">
        <v>57</v>
      </c>
      <c r="D1841" t="s">
        <v>44</v>
      </c>
      <c r="E1841" t="s">
        <v>4085</v>
      </c>
      <c r="F1841" t="s">
        <v>60</v>
      </c>
      <c r="G1841" t="s">
        <v>29</v>
      </c>
      <c r="H1841" t="s">
        <v>46</v>
      </c>
      <c r="I1841">
        <v>3</v>
      </c>
      <c r="J1841" t="s">
        <v>3760</v>
      </c>
      <c r="K1841">
        <v>69</v>
      </c>
      <c r="L1841" t="s">
        <v>63</v>
      </c>
      <c r="M1841">
        <v>1</v>
      </c>
      <c r="N1841" t="s">
        <v>91</v>
      </c>
      <c r="O1841" t="s">
        <v>34</v>
      </c>
      <c r="P1841" t="s">
        <v>50</v>
      </c>
      <c r="Q1841" s="2">
        <v>38722.239999999998</v>
      </c>
      <c r="R1841" s="2">
        <v>1431.7</v>
      </c>
      <c r="S1841" t="s">
        <v>36</v>
      </c>
      <c r="T1841" t="s">
        <v>71</v>
      </c>
      <c r="U1841" t="s">
        <v>53</v>
      </c>
      <c r="V1841">
        <v>2.2000000000000002</v>
      </c>
      <c r="W1841" t="s">
        <v>76</v>
      </c>
      <c r="X1841" t="s">
        <v>65</v>
      </c>
      <c r="Y1841" t="s">
        <v>41</v>
      </c>
    </row>
    <row r="1842" spans="1:25" x14ac:dyDescent="0.3">
      <c r="A1842" t="s">
        <v>3761</v>
      </c>
      <c r="B1842" s="1">
        <v>46766</v>
      </c>
      <c r="C1842" t="s">
        <v>117</v>
      </c>
      <c r="D1842" t="s">
        <v>4083</v>
      </c>
      <c r="E1842" t="s">
        <v>89</v>
      </c>
      <c r="F1842" t="s">
        <v>28</v>
      </c>
      <c r="G1842" t="s">
        <v>29</v>
      </c>
      <c r="H1842" t="s">
        <v>61</v>
      </c>
      <c r="I1842">
        <v>8</v>
      </c>
      <c r="J1842" t="s">
        <v>3762</v>
      </c>
      <c r="K1842">
        <v>43</v>
      </c>
      <c r="L1842" t="s">
        <v>32</v>
      </c>
      <c r="M1842">
        <v>4</v>
      </c>
      <c r="N1842" t="s">
        <v>64</v>
      </c>
      <c r="O1842" t="s">
        <v>49</v>
      </c>
      <c r="P1842" t="s">
        <v>35</v>
      </c>
      <c r="Q1842" s="2">
        <v>24618.62</v>
      </c>
      <c r="R1842" s="2">
        <v>4409.8</v>
      </c>
      <c r="S1842" t="s">
        <v>94</v>
      </c>
      <c r="T1842" t="s">
        <v>37</v>
      </c>
      <c r="U1842" t="s">
        <v>38</v>
      </c>
      <c r="V1842">
        <v>2.2000000000000002</v>
      </c>
      <c r="W1842" t="s">
        <v>76</v>
      </c>
      <c r="X1842" t="s">
        <v>84</v>
      </c>
      <c r="Y1842" t="s">
        <v>41</v>
      </c>
    </row>
    <row r="1843" spans="1:25" x14ac:dyDescent="0.3">
      <c r="A1843" t="s">
        <v>3763</v>
      </c>
      <c r="B1843" s="1">
        <v>46767</v>
      </c>
      <c r="C1843" t="s">
        <v>26</v>
      </c>
      <c r="D1843" t="s">
        <v>26</v>
      </c>
      <c r="E1843" t="s">
        <v>45</v>
      </c>
      <c r="F1843" t="s">
        <v>28</v>
      </c>
      <c r="G1843" t="s">
        <v>29</v>
      </c>
      <c r="H1843" t="s">
        <v>67</v>
      </c>
      <c r="I1843">
        <v>5</v>
      </c>
      <c r="J1843" t="s">
        <v>3764</v>
      </c>
      <c r="K1843">
        <v>56</v>
      </c>
      <c r="L1843" t="s">
        <v>63</v>
      </c>
      <c r="M1843">
        <v>1</v>
      </c>
      <c r="N1843" t="s">
        <v>64</v>
      </c>
      <c r="O1843" t="s">
        <v>34</v>
      </c>
      <c r="P1843" t="s">
        <v>35</v>
      </c>
      <c r="Q1843" s="2">
        <v>9948.42</v>
      </c>
      <c r="R1843" s="2">
        <v>808.54</v>
      </c>
      <c r="S1843" t="s">
        <v>115</v>
      </c>
      <c r="T1843" t="s">
        <v>71</v>
      </c>
      <c r="U1843" t="s">
        <v>83</v>
      </c>
      <c r="V1843">
        <v>1.4</v>
      </c>
      <c r="W1843" t="s">
        <v>124</v>
      </c>
      <c r="X1843" t="s">
        <v>40</v>
      </c>
      <c r="Y1843" t="s">
        <v>72</v>
      </c>
    </row>
    <row r="1844" spans="1:25" x14ac:dyDescent="0.3">
      <c r="A1844" t="s">
        <v>3765</v>
      </c>
      <c r="B1844" s="1">
        <v>46768</v>
      </c>
      <c r="C1844" t="s">
        <v>117</v>
      </c>
      <c r="D1844" t="s">
        <v>4083</v>
      </c>
      <c r="E1844" t="s">
        <v>120</v>
      </c>
      <c r="F1844" t="s">
        <v>28</v>
      </c>
      <c r="G1844" t="s">
        <v>29</v>
      </c>
      <c r="H1844" t="s">
        <v>86</v>
      </c>
      <c r="I1844">
        <v>13</v>
      </c>
      <c r="J1844" t="s">
        <v>3766</v>
      </c>
      <c r="K1844">
        <v>58</v>
      </c>
      <c r="L1844" t="s">
        <v>32</v>
      </c>
      <c r="M1844">
        <v>2</v>
      </c>
      <c r="N1844" t="s">
        <v>33</v>
      </c>
      <c r="O1844" t="s">
        <v>81</v>
      </c>
      <c r="P1844" t="s">
        <v>82</v>
      </c>
      <c r="Q1844" s="2">
        <v>17002.240000000002</v>
      </c>
      <c r="R1844" s="2">
        <v>905.31</v>
      </c>
      <c r="S1844" t="s">
        <v>51</v>
      </c>
      <c r="T1844" t="s">
        <v>52</v>
      </c>
      <c r="U1844" t="s">
        <v>53</v>
      </c>
      <c r="V1844">
        <v>1.2</v>
      </c>
      <c r="W1844" t="s">
        <v>124</v>
      </c>
      <c r="X1844" t="s">
        <v>106</v>
      </c>
      <c r="Y1844" t="s">
        <v>72</v>
      </c>
    </row>
    <row r="1845" spans="1:25" x14ac:dyDescent="0.3">
      <c r="A1845" t="s">
        <v>3767</v>
      </c>
      <c r="B1845" s="1">
        <v>46769</v>
      </c>
      <c r="C1845" t="s">
        <v>117</v>
      </c>
      <c r="D1845" t="s">
        <v>4083</v>
      </c>
      <c r="E1845" t="s">
        <v>4084</v>
      </c>
      <c r="F1845" t="s">
        <v>60</v>
      </c>
      <c r="G1845" t="s">
        <v>29</v>
      </c>
      <c r="H1845" t="s">
        <v>27</v>
      </c>
      <c r="I1845">
        <v>5</v>
      </c>
      <c r="J1845" t="s">
        <v>3768</v>
      </c>
      <c r="K1845">
        <v>54</v>
      </c>
      <c r="L1845" t="s">
        <v>32</v>
      </c>
      <c r="M1845">
        <v>7</v>
      </c>
      <c r="N1845" t="s">
        <v>91</v>
      </c>
      <c r="O1845" t="s">
        <v>81</v>
      </c>
      <c r="P1845" t="s">
        <v>50</v>
      </c>
      <c r="Q1845" s="2">
        <v>16687</v>
      </c>
      <c r="R1845" s="2">
        <v>2858.6</v>
      </c>
      <c r="S1845" t="s">
        <v>115</v>
      </c>
      <c r="T1845" t="s">
        <v>71</v>
      </c>
      <c r="U1845" t="s">
        <v>38</v>
      </c>
      <c r="V1845">
        <v>3.3</v>
      </c>
      <c r="W1845" t="s">
        <v>39</v>
      </c>
      <c r="X1845" t="s">
        <v>84</v>
      </c>
      <c r="Y1845" t="s">
        <v>72</v>
      </c>
    </row>
    <row r="1846" spans="1:25" x14ac:dyDescent="0.3">
      <c r="A1846" t="s">
        <v>3769</v>
      </c>
      <c r="B1846" s="1">
        <v>46770</v>
      </c>
      <c r="C1846" t="s">
        <v>57</v>
      </c>
      <c r="D1846" t="s">
        <v>44</v>
      </c>
      <c r="E1846" t="s">
        <v>120</v>
      </c>
      <c r="F1846" t="s">
        <v>28</v>
      </c>
      <c r="G1846" t="s">
        <v>29</v>
      </c>
      <c r="H1846" t="s">
        <v>86</v>
      </c>
      <c r="I1846">
        <v>5</v>
      </c>
      <c r="J1846" t="s">
        <v>3770</v>
      </c>
      <c r="K1846">
        <v>31</v>
      </c>
      <c r="L1846" t="s">
        <v>32</v>
      </c>
      <c r="M1846">
        <v>3</v>
      </c>
      <c r="N1846" t="s">
        <v>91</v>
      </c>
      <c r="O1846" t="s">
        <v>81</v>
      </c>
      <c r="P1846" t="s">
        <v>70</v>
      </c>
      <c r="Q1846" s="2">
        <v>26905.07</v>
      </c>
      <c r="R1846" s="2">
        <v>1718.29</v>
      </c>
      <c r="S1846" t="s">
        <v>94</v>
      </c>
      <c r="T1846" t="s">
        <v>71</v>
      </c>
      <c r="U1846" t="s">
        <v>53</v>
      </c>
      <c r="V1846">
        <v>4.2</v>
      </c>
      <c r="W1846" t="s">
        <v>54</v>
      </c>
      <c r="X1846" t="s">
        <v>55</v>
      </c>
      <c r="Y1846" t="s">
        <v>41</v>
      </c>
    </row>
    <row r="1847" spans="1:25" x14ac:dyDescent="0.3">
      <c r="A1847" t="s">
        <v>3771</v>
      </c>
      <c r="B1847" s="1">
        <v>46771</v>
      </c>
      <c r="C1847" t="s">
        <v>43</v>
      </c>
      <c r="D1847" t="s">
        <v>58</v>
      </c>
      <c r="E1847" t="s">
        <v>4084</v>
      </c>
      <c r="F1847" t="s">
        <v>60</v>
      </c>
      <c r="G1847" t="s">
        <v>29</v>
      </c>
      <c r="H1847" t="s">
        <v>30</v>
      </c>
      <c r="I1847">
        <v>12</v>
      </c>
      <c r="J1847" t="s">
        <v>3772</v>
      </c>
      <c r="K1847">
        <v>54</v>
      </c>
      <c r="L1847" t="s">
        <v>63</v>
      </c>
      <c r="M1847">
        <v>1</v>
      </c>
      <c r="N1847" t="s">
        <v>33</v>
      </c>
      <c r="O1847" t="s">
        <v>69</v>
      </c>
      <c r="P1847" t="s">
        <v>82</v>
      </c>
      <c r="Q1847" s="2">
        <v>25744.09</v>
      </c>
      <c r="R1847" s="2">
        <v>2107.65</v>
      </c>
      <c r="S1847" t="s">
        <v>36</v>
      </c>
      <c r="T1847" t="s">
        <v>52</v>
      </c>
      <c r="U1847" t="s">
        <v>75</v>
      </c>
      <c r="V1847">
        <v>1.1000000000000001</v>
      </c>
      <c r="W1847" t="s">
        <v>124</v>
      </c>
      <c r="X1847" t="s">
        <v>106</v>
      </c>
      <c r="Y1847" t="s">
        <v>41</v>
      </c>
    </row>
    <row r="1848" spans="1:25" x14ac:dyDescent="0.3">
      <c r="A1848" t="s">
        <v>3773</v>
      </c>
      <c r="B1848" s="1">
        <v>46772</v>
      </c>
      <c r="C1848" t="s">
        <v>43</v>
      </c>
      <c r="D1848" t="s">
        <v>58</v>
      </c>
      <c r="E1848" t="s">
        <v>45</v>
      </c>
      <c r="F1848" t="s">
        <v>28</v>
      </c>
      <c r="G1848" t="s">
        <v>29</v>
      </c>
      <c r="H1848" t="s">
        <v>67</v>
      </c>
      <c r="I1848">
        <v>13</v>
      </c>
      <c r="J1848" t="s">
        <v>3774</v>
      </c>
      <c r="K1848">
        <v>25</v>
      </c>
      <c r="L1848" t="s">
        <v>80</v>
      </c>
      <c r="M1848">
        <v>3</v>
      </c>
      <c r="N1848" t="s">
        <v>33</v>
      </c>
      <c r="O1848" t="s">
        <v>69</v>
      </c>
      <c r="P1848" t="s">
        <v>35</v>
      </c>
      <c r="Q1848" s="2">
        <v>24503.37</v>
      </c>
      <c r="R1848" s="2">
        <v>4032.73</v>
      </c>
      <c r="S1848" t="s">
        <v>36</v>
      </c>
      <c r="T1848" t="s">
        <v>71</v>
      </c>
      <c r="U1848" t="s">
        <v>53</v>
      </c>
      <c r="V1848">
        <v>3.3</v>
      </c>
      <c r="W1848" t="s">
        <v>39</v>
      </c>
      <c r="X1848" t="s">
        <v>55</v>
      </c>
      <c r="Y1848" t="s">
        <v>72</v>
      </c>
    </row>
    <row r="1849" spans="1:25" x14ac:dyDescent="0.3">
      <c r="A1849" t="s">
        <v>3775</v>
      </c>
      <c r="B1849" s="1">
        <v>46773</v>
      </c>
      <c r="C1849" t="s">
        <v>117</v>
      </c>
      <c r="D1849" t="s">
        <v>4083</v>
      </c>
      <c r="E1849" t="s">
        <v>4084</v>
      </c>
      <c r="F1849" t="s">
        <v>60</v>
      </c>
      <c r="G1849" t="s">
        <v>29</v>
      </c>
      <c r="H1849" t="s">
        <v>27</v>
      </c>
      <c r="I1849">
        <v>13</v>
      </c>
      <c r="J1849" t="s">
        <v>3776</v>
      </c>
      <c r="K1849">
        <v>56</v>
      </c>
      <c r="L1849" t="s">
        <v>32</v>
      </c>
      <c r="M1849">
        <v>6</v>
      </c>
      <c r="N1849" t="s">
        <v>33</v>
      </c>
      <c r="O1849" t="s">
        <v>49</v>
      </c>
      <c r="P1849" t="s">
        <v>50</v>
      </c>
      <c r="Q1849" s="2">
        <v>27318.99</v>
      </c>
      <c r="R1849" s="2">
        <v>4518.16</v>
      </c>
      <c r="S1849" t="s">
        <v>94</v>
      </c>
      <c r="T1849" t="s">
        <v>71</v>
      </c>
      <c r="U1849" t="s">
        <v>83</v>
      </c>
      <c r="V1849">
        <v>2.5</v>
      </c>
      <c r="W1849" t="s">
        <v>76</v>
      </c>
      <c r="X1849" t="s">
        <v>40</v>
      </c>
      <c r="Y1849" t="s">
        <v>72</v>
      </c>
    </row>
    <row r="1850" spans="1:25" x14ac:dyDescent="0.3">
      <c r="A1850" t="s">
        <v>3777</v>
      </c>
      <c r="B1850" s="1">
        <v>46774</v>
      </c>
      <c r="C1850" t="s">
        <v>78</v>
      </c>
      <c r="D1850" t="s">
        <v>58</v>
      </c>
      <c r="E1850" t="s">
        <v>89</v>
      </c>
      <c r="F1850" t="s">
        <v>28</v>
      </c>
      <c r="G1850" t="s">
        <v>29</v>
      </c>
      <c r="H1850" t="s">
        <v>61</v>
      </c>
      <c r="I1850">
        <v>12</v>
      </c>
      <c r="J1850" t="s">
        <v>3778</v>
      </c>
      <c r="K1850">
        <v>30</v>
      </c>
      <c r="L1850" t="s">
        <v>80</v>
      </c>
      <c r="M1850">
        <v>1</v>
      </c>
      <c r="N1850" t="s">
        <v>64</v>
      </c>
      <c r="O1850" t="s">
        <v>34</v>
      </c>
      <c r="P1850" t="s">
        <v>70</v>
      </c>
      <c r="Q1850" s="2">
        <v>49416.04</v>
      </c>
      <c r="R1850" s="2">
        <v>3952.77</v>
      </c>
      <c r="S1850" t="s">
        <v>94</v>
      </c>
      <c r="T1850" t="s">
        <v>71</v>
      </c>
      <c r="U1850" t="s">
        <v>38</v>
      </c>
      <c r="V1850">
        <v>4.5999999999999996</v>
      </c>
      <c r="W1850" t="s">
        <v>103</v>
      </c>
      <c r="X1850" t="s">
        <v>106</v>
      </c>
      <c r="Y1850" t="s">
        <v>72</v>
      </c>
    </row>
    <row r="1851" spans="1:25" x14ac:dyDescent="0.3">
      <c r="A1851" t="s">
        <v>3779</v>
      </c>
      <c r="B1851" s="1">
        <v>46775</v>
      </c>
      <c r="C1851" t="s">
        <v>26</v>
      </c>
      <c r="D1851" t="s">
        <v>26</v>
      </c>
      <c r="E1851" t="s">
        <v>4084</v>
      </c>
      <c r="F1851" t="s">
        <v>60</v>
      </c>
      <c r="G1851" t="s">
        <v>29</v>
      </c>
      <c r="H1851" t="s">
        <v>27</v>
      </c>
      <c r="I1851">
        <v>13</v>
      </c>
      <c r="J1851" t="s">
        <v>3780</v>
      </c>
      <c r="K1851">
        <v>30</v>
      </c>
      <c r="L1851" t="s">
        <v>63</v>
      </c>
      <c r="M1851">
        <v>2</v>
      </c>
      <c r="N1851" t="s">
        <v>33</v>
      </c>
      <c r="O1851" t="s">
        <v>49</v>
      </c>
      <c r="P1851" t="s">
        <v>82</v>
      </c>
      <c r="Q1851" s="2">
        <v>18425.91</v>
      </c>
      <c r="R1851" s="2">
        <v>1174.6400000000001</v>
      </c>
      <c r="S1851" t="s">
        <v>51</v>
      </c>
      <c r="T1851" t="s">
        <v>71</v>
      </c>
      <c r="U1851" t="s">
        <v>38</v>
      </c>
      <c r="V1851">
        <v>1.6</v>
      </c>
      <c r="W1851" t="s">
        <v>124</v>
      </c>
      <c r="X1851" t="s">
        <v>106</v>
      </c>
      <c r="Y1851" t="s">
        <v>72</v>
      </c>
    </row>
    <row r="1852" spans="1:25" x14ac:dyDescent="0.3">
      <c r="A1852" t="s">
        <v>3781</v>
      </c>
      <c r="B1852" s="1">
        <v>46776</v>
      </c>
      <c r="C1852" t="s">
        <v>78</v>
      </c>
      <c r="D1852" t="s">
        <v>58</v>
      </c>
      <c r="E1852" t="s">
        <v>89</v>
      </c>
      <c r="F1852" t="s">
        <v>28</v>
      </c>
      <c r="G1852" t="s">
        <v>29</v>
      </c>
      <c r="H1852" t="s">
        <v>61</v>
      </c>
      <c r="I1852">
        <v>10</v>
      </c>
      <c r="J1852" t="s">
        <v>3782</v>
      </c>
      <c r="K1852">
        <v>57</v>
      </c>
      <c r="L1852" t="s">
        <v>63</v>
      </c>
      <c r="M1852">
        <v>2</v>
      </c>
      <c r="N1852" t="s">
        <v>64</v>
      </c>
      <c r="O1852" t="s">
        <v>81</v>
      </c>
      <c r="P1852" t="s">
        <v>70</v>
      </c>
      <c r="Q1852" s="2">
        <v>32687.11</v>
      </c>
      <c r="R1852" s="2">
        <v>4899.8599999999997</v>
      </c>
      <c r="S1852" t="s">
        <v>51</v>
      </c>
      <c r="T1852" t="s">
        <v>37</v>
      </c>
      <c r="U1852" t="s">
        <v>83</v>
      </c>
      <c r="V1852">
        <v>3.3</v>
      </c>
      <c r="W1852" t="s">
        <v>39</v>
      </c>
      <c r="X1852" t="s">
        <v>84</v>
      </c>
      <c r="Y1852" t="s">
        <v>72</v>
      </c>
    </row>
    <row r="1853" spans="1:25" x14ac:dyDescent="0.3">
      <c r="A1853" t="s">
        <v>3783</v>
      </c>
      <c r="B1853" s="1">
        <v>46777</v>
      </c>
      <c r="C1853" t="s">
        <v>78</v>
      </c>
      <c r="D1853" t="s">
        <v>58</v>
      </c>
      <c r="E1853" t="s">
        <v>45</v>
      </c>
      <c r="F1853" t="s">
        <v>28</v>
      </c>
      <c r="G1853" t="s">
        <v>29</v>
      </c>
      <c r="H1853" t="s">
        <v>67</v>
      </c>
      <c r="I1853">
        <v>7</v>
      </c>
      <c r="J1853" t="s">
        <v>3784</v>
      </c>
      <c r="K1853">
        <v>60</v>
      </c>
      <c r="L1853" t="s">
        <v>80</v>
      </c>
      <c r="M1853">
        <v>7</v>
      </c>
      <c r="N1853" t="s">
        <v>33</v>
      </c>
      <c r="O1853" t="s">
        <v>49</v>
      </c>
      <c r="P1853" t="s">
        <v>50</v>
      </c>
      <c r="Q1853" s="2">
        <v>15777.85</v>
      </c>
      <c r="R1853" s="2">
        <v>1815.88</v>
      </c>
      <c r="S1853" t="s">
        <v>51</v>
      </c>
      <c r="T1853" t="s">
        <v>71</v>
      </c>
      <c r="U1853" t="s">
        <v>75</v>
      </c>
      <c r="V1853">
        <v>4.9000000000000004</v>
      </c>
      <c r="W1853" t="s">
        <v>103</v>
      </c>
      <c r="X1853" t="s">
        <v>65</v>
      </c>
      <c r="Y1853" t="s">
        <v>72</v>
      </c>
    </row>
    <row r="1854" spans="1:25" x14ac:dyDescent="0.3">
      <c r="A1854" t="s">
        <v>3785</v>
      </c>
      <c r="B1854" s="1">
        <v>46778</v>
      </c>
      <c r="C1854" t="s">
        <v>117</v>
      </c>
      <c r="D1854" t="s">
        <v>4083</v>
      </c>
      <c r="E1854" t="s">
        <v>45</v>
      </c>
      <c r="F1854" t="s">
        <v>28</v>
      </c>
      <c r="G1854" t="s">
        <v>29</v>
      </c>
      <c r="H1854" t="s">
        <v>67</v>
      </c>
      <c r="I1854">
        <v>6</v>
      </c>
      <c r="J1854" t="s">
        <v>3786</v>
      </c>
      <c r="K1854">
        <v>45</v>
      </c>
      <c r="L1854" t="s">
        <v>32</v>
      </c>
      <c r="M1854">
        <v>7</v>
      </c>
      <c r="N1854" t="s">
        <v>91</v>
      </c>
      <c r="O1854" t="s">
        <v>49</v>
      </c>
      <c r="P1854" t="s">
        <v>70</v>
      </c>
      <c r="Q1854" s="2">
        <v>25997.279999999999</v>
      </c>
      <c r="R1854" s="2">
        <v>845.34</v>
      </c>
      <c r="S1854" t="s">
        <v>51</v>
      </c>
      <c r="T1854" t="s">
        <v>52</v>
      </c>
      <c r="U1854" t="s">
        <v>38</v>
      </c>
      <c r="V1854">
        <v>2.4</v>
      </c>
      <c r="W1854" t="s">
        <v>76</v>
      </c>
      <c r="X1854" t="s">
        <v>106</v>
      </c>
      <c r="Y1854" t="s">
        <v>72</v>
      </c>
    </row>
    <row r="1855" spans="1:25" x14ac:dyDescent="0.3">
      <c r="A1855" t="s">
        <v>3787</v>
      </c>
      <c r="B1855" s="1">
        <v>46779</v>
      </c>
      <c r="C1855" t="s">
        <v>117</v>
      </c>
      <c r="D1855" t="s">
        <v>4083</v>
      </c>
      <c r="E1855" t="s">
        <v>120</v>
      </c>
      <c r="F1855" t="s">
        <v>28</v>
      </c>
      <c r="G1855" t="s">
        <v>29</v>
      </c>
      <c r="H1855" t="s">
        <v>86</v>
      </c>
      <c r="I1855">
        <v>11</v>
      </c>
      <c r="J1855" t="s">
        <v>3788</v>
      </c>
      <c r="K1855">
        <v>35</v>
      </c>
      <c r="L1855" t="s">
        <v>63</v>
      </c>
      <c r="M1855">
        <v>4</v>
      </c>
      <c r="N1855" t="s">
        <v>91</v>
      </c>
      <c r="O1855" t="s">
        <v>49</v>
      </c>
      <c r="P1855" t="s">
        <v>82</v>
      </c>
      <c r="Q1855" s="2">
        <v>14002.22</v>
      </c>
      <c r="R1855" s="2">
        <v>2497.48</v>
      </c>
      <c r="S1855" t="s">
        <v>51</v>
      </c>
      <c r="T1855" t="s">
        <v>52</v>
      </c>
      <c r="U1855" t="s">
        <v>83</v>
      </c>
      <c r="V1855">
        <v>4</v>
      </c>
      <c r="W1855" t="s">
        <v>54</v>
      </c>
      <c r="X1855" t="s">
        <v>40</v>
      </c>
      <c r="Y1855" t="s">
        <v>72</v>
      </c>
    </row>
    <row r="1856" spans="1:25" x14ac:dyDescent="0.3">
      <c r="A1856" t="s">
        <v>3789</v>
      </c>
      <c r="B1856" s="1">
        <v>46780</v>
      </c>
      <c r="C1856" t="s">
        <v>117</v>
      </c>
      <c r="D1856" t="s">
        <v>4083</v>
      </c>
      <c r="E1856" t="s">
        <v>89</v>
      </c>
      <c r="F1856" t="s">
        <v>28</v>
      </c>
      <c r="G1856" t="s">
        <v>29</v>
      </c>
      <c r="H1856" t="s">
        <v>61</v>
      </c>
      <c r="I1856">
        <v>11</v>
      </c>
      <c r="J1856" t="s">
        <v>3790</v>
      </c>
      <c r="K1856">
        <v>36</v>
      </c>
      <c r="L1856" t="s">
        <v>32</v>
      </c>
      <c r="M1856">
        <v>2</v>
      </c>
      <c r="N1856" t="s">
        <v>33</v>
      </c>
      <c r="O1856" t="s">
        <v>81</v>
      </c>
      <c r="P1856" t="s">
        <v>70</v>
      </c>
      <c r="Q1856" s="2">
        <v>30118.65</v>
      </c>
      <c r="R1856" s="2">
        <v>3626.43</v>
      </c>
      <c r="S1856" t="s">
        <v>36</v>
      </c>
      <c r="T1856" t="s">
        <v>37</v>
      </c>
      <c r="U1856" t="s">
        <v>53</v>
      </c>
      <c r="V1856">
        <v>4.5</v>
      </c>
      <c r="W1856" t="s">
        <v>103</v>
      </c>
      <c r="X1856" t="s">
        <v>106</v>
      </c>
      <c r="Y1856" t="s">
        <v>41</v>
      </c>
    </row>
    <row r="1857" spans="1:25" x14ac:dyDescent="0.3">
      <c r="A1857" t="s">
        <v>3791</v>
      </c>
      <c r="B1857" s="1">
        <v>46781</v>
      </c>
      <c r="C1857" t="s">
        <v>117</v>
      </c>
      <c r="D1857" t="s">
        <v>4083</v>
      </c>
      <c r="E1857" t="s">
        <v>89</v>
      </c>
      <c r="F1857" t="s">
        <v>28</v>
      </c>
      <c r="G1857" t="s">
        <v>29</v>
      </c>
      <c r="H1857" t="s">
        <v>61</v>
      </c>
      <c r="I1857">
        <v>3</v>
      </c>
      <c r="J1857" t="s">
        <v>3792</v>
      </c>
      <c r="K1857">
        <v>55</v>
      </c>
      <c r="L1857" t="s">
        <v>32</v>
      </c>
      <c r="M1857">
        <v>3</v>
      </c>
      <c r="N1857" t="s">
        <v>33</v>
      </c>
      <c r="O1857" t="s">
        <v>34</v>
      </c>
      <c r="P1857" t="s">
        <v>50</v>
      </c>
      <c r="Q1857" s="2">
        <v>16925.53</v>
      </c>
      <c r="R1857" s="2">
        <v>416.35</v>
      </c>
      <c r="S1857" t="s">
        <v>51</v>
      </c>
      <c r="T1857" t="s">
        <v>71</v>
      </c>
      <c r="U1857" t="s">
        <v>75</v>
      </c>
      <c r="V1857">
        <v>1.7</v>
      </c>
      <c r="W1857" t="s">
        <v>124</v>
      </c>
      <c r="X1857" t="s">
        <v>106</v>
      </c>
      <c r="Y1857" t="s">
        <v>72</v>
      </c>
    </row>
    <row r="1858" spans="1:25" x14ac:dyDescent="0.3">
      <c r="A1858" t="s">
        <v>3793</v>
      </c>
      <c r="B1858" s="1">
        <v>46782</v>
      </c>
      <c r="C1858" t="s">
        <v>43</v>
      </c>
      <c r="D1858" t="s">
        <v>58</v>
      </c>
      <c r="E1858" t="s">
        <v>4085</v>
      </c>
      <c r="F1858" t="s">
        <v>60</v>
      </c>
      <c r="G1858" t="s">
        <v>29</v>
      </c>
      <c r="H1858" t="s">
        <v>59</v>
      </c>
      <c r="I1858">
        <v>4</v>
      </c>
      <c r="J1858" t="s">
        <v>3794</v>
      </c>
      <c r="K1858">
        <v>49</v>
      </c>
      <c r="L1858" t="s">
        <v>80</v>
      </c>
      <c r="M1858">
        <v>6</v>
      </c>
      <c r="N1858" t="s">
        <v>64</v>
      </c>
      <c r="O1858" t="s">
        <v>49</v>
      </c>
      <c r="P1858" t="s">
        <v>82</v>
      </c>
      <c r="Q1858" s="2">
        <v>6655.5</v>
      </c>
      <c r="R1858" s="2">
        <v>3171.43</v>
      </c>
      <c r="S1858" t="s">
        <v>94</v>
      </c>
      <c r="T1858" t="s">
        <v>52</v>
      </c>
      <c r="U1858" t="s">
        <v>83</v>
      </c>
      <c r="V1858">
        <v>5</v>
      </c>
      <c r="W1858" t="s">
        <v>103</v>
      </c>
      <c r="X1858" t="s">
        <v>106</v>
      </c>
      <c r="Y1858" t="s">
        <v>72</v>
      </c>
    </row>
    <row r="1859" spans="1:25" x14ac:dyDescent="0.3">
      <c r="A1859" t="s">
        <v>3795</v>
      </c>
      <c r="B1859" s="1">
        <v>46783</v>
      </c>
      <c r="C1859" t="s">
        <v>117</v>
      </c>
      <c r="D1859" t="s">
        <v>4083</v>
      </c>
      <c r="E1859" t="s">
        <v>4085</v>
      </c>
      <c r="F1859" t="s">
        <v>60</v>
      </c>
      <c r="G1859" t="s">
        <v>29</v>
      </c>
      <c r="H1859" t="s">
        <v>46</v>
      </c>
      <c r="I1859">
        <v>10</v>
      </c>
      <c r="J1859" t="s">
        <v>3796</v>
      </c>
      <c r="K1859">
        <v>39</v>
      </c>
      <c r="L1859" t="s">
        <v>63</v>
      </c>
      <c r="M1859">
        <v>2</v>
      </c>
      <c r="N1859" t="s">
        <v>48</v>
      </c>
      <c r="O1859" t="s">
        <v>81</v>
      </c>
      <c r="P1859" t="s">
        <v>35</v>
      </c>
      <c r="Q1859" s="2">
        <v>41687.199999999997</v>
      </c>
      <c r="R1859" s="2">
        <v>4290.3900000000003</v>
      </c>
      <c r="S1859" t="s">
        <v>94</v>
      </c>
      <c r="T1859" t="s">
        <v>37</v>
      </c>
      <c r="U1859" t="s">
        <v>53</v>
      </c>
      <c r="V1859">
        <v>4.2</v>
      </c>
      <c r="W1859" t="s">
        <v>54</v>
      </c>
      <c r="X1859" t="s">
        <v>106</v>
      </c>
      <c r="Y1859" t="s">
        <v>72</v>
      </c>
    </row>
    <row r="1860" spans="1:25" x14ac:dyDescent="0.3">
      <c r="A1860" t="s">
        <v>3797</v>
      </c>
      <c r="B1860" s="1">
        <v>46784</v>
      </c>
      <c r="C1860" t="s">
        <v>43</v>
      </c>
      <c r="D1860" t="s">
        <v>58</v>
      </c>
      <c r="E1860" t="s">
        <v>4085</v>
      </c>
      <c r="F1860" t="s">
        <v>60</v>
      </c>
      <c r="G1860" t="s">
        <v>29</v>
      </c>
      <c r="H1860" t="s">
        <v>46</v>
      </c>
      <c r="I1860">
        <v>7</v>
      </c>
      <c r="J1860" t="s">
        <v>3798</v>
      </c>
      <c r="K1860">
        <v>19</v>
      </c>
      <c r="L1860" t="s">
        <v>80</v>
      </c>
      <c r="M1860">
        <v>1</v>
      </c>
      <c r="N1860" t="s">
        <v>64</v>
      </c>
      <c r="O1860" t="s">
        <v>69</v>
      </c>
      <c r="P1860" t="s">
        <v>82</v>
      </c>
      <c r="Q1860" s="2">
        <v>10771.48</v>
      </c>
      <c r="R1860" s="2">
        <v>1308.9100000000001</v>
      </c>
      <c r="S1860" t="s">
        <v>51</v>
      </c>
      <c r="T1860" t="s">
        <v>71</v>
      </c>
      <c r="U1860" t="s">
        <v>38</v>
      </c>
      <c r="V1860">
        <v>1.6</v>
      </c>
      <c r="W1860" t="s">
        <v>124</v>
      </c>
      <c r="X1860" t="s">
        <v>40</v>
      </c>
      <c r="Y1860" t="s">
        <v>41</v>
      </c>
    </row>
    <row r="1861" spans="1:25" x14ac:dyDescent="0.3">
      <c r="A1861" t="s">
        <v>3799</v>
      </c>
      <c r="B1861" s="1">
        <v>46785</v>
      </c>
      <c r="C1861" t="s">
        <v>43</v>
      </c>
      <c r="D1861" t="s">
        <v>58</v>
      </c>
      <c r="E1861" t="s">
        <v>4084</v>
      </c>
      <c r="F1861" t="s">
        <v>60</v>
      </c>
      <c r="G1861" t="s">
        <v>29</v>
      </c>
      <c r="H1861" t="s">
        <v>27</v>
      </c>
      <c r="I1861">
        <v>9</v>
      </c>
      <c r="J1861" t="s">
        <v>3800</v>
      </c>
      <c r="K1861">
        <v>30</v>
      </c>
      <c r="L1861" t="s">
        <v>63</v>
      </c>
      <c r="M1861">
        <v>2</v>
      </c>
      <c r="N1861" t="s">
        <v>91</v>
      </c>
      <c r="O1861" t="s">
        <v>34</v>
      </c>
      <c r="P1861" t="s">
        <v>50</v>
      </c>
      <c r="Q1861" s="2">
        <v>21561.75</v>
      </c>
      <c r="R1861" s="2">
        <v>3465.62</v>
      </c>
      <c r="S1861" t="s">
        <v>94</v>
      </c>
      <c r="T1861" t="s">
        <v>37</v>
      </c>
      <c r="U1861" t="s">
        <v>38</v>
      </c>
      <c r="V1861">
        <v>2.2000000000000002</v>
      </c>
      <c r="W1861" t="s">
        <v>76</v>
      </c>
      <c r="X1861" t="s">
        <v>84</v>
      </c>
      <c r="Y1861" t="s">
        <v>72</v>
      </c>
    </row>
    <row r="1862" spans="1:25" x14ac:dyDescent="0.3">
      <c r="A1862" t="s">
        <v>3801</v>
      </c>
      <c r="B1862" s="1">
        <v>46786</v>
      </c>
      <c r="C1862" t="s">
        <v>117</v>
      </c>
      <c r="D1862" t="s">
        <v>4083</v>
      </c>
      <c r="E1862" t="s">
        <v>4085</v>
      </c>
      <c r="F1862" t="s">
        <v>60</v>
      </c>
      <c r="G1862" t="s">
        <v>29</v>
      </c>
      <c r="H1862" t="s">
        <v>46</v>
      </c>
      <c r="I1862">
        <v>3</v>
      </c>
      <c r="J1862" t="s">
        <v>3802</v>
      </c>
      <c r="K1862">
        <v>40</v>
      </c>
      <c r="L1862" t="s">
        <v>80</v>
      </c>
      <c r="M1862">
        <v>6</v>
      </c>
      <c r="N1862" t="s">
        <v>33</v>
      </c>
      <c r="O1862" t="s">
        <v>81</v>
      </c>
      <c r="P1862" t="s">
        <v>70</v>
      </c>
      <c r="Q1862" s="2">
        <v>26472.99</v>
      </c>
      <c r="R1862" s="2">
        <v>1999.54</v>
      </c>
      <c r="S1862" t="s">
        <v>115</v>
      </c>
      <c r="T1862" t="s">
        <v>71</v>
      </c>
      <c r="U1862" t="s">
        <v>75</v>
      </c>
      <c r="V1862">
        <v>3.5</v>
      </c>
      <c r="W1862" t="s">
        <v>39</v>
      </c>
      <c r="X1862" t="s">
        <v>65</v>
      </c>
      <c r="Y1862" t="s">
        <v>41</v>
      </c>
    </row>
    <row r="1863" spans="1:25" x14ac:dyDescent="0.3">
      <c r="A1863" t="s">
        <v>3803</v>
      </c>
      <c r="B1863" s="1">
        <v>46787</v>
      </c>
      <c r="C1863" t="s">
        <v>57</v>
      </c>
      <c r="D1863" t="s">
        <v>44</v>
      </c>
      <c r="E1863" t="s">
        <v>89</v>
      </c>
      <c r="F1863" t="s">
        <v>28</v>
      </c>
      <c r="G1863" t="s">
        <v>29</v>
      </c>
      <c r="H1863" t="s">
        <v>61</v>
      </c>
      <c r="I1863">
        <v>14</v>
      </c>
      <c r="J1863" t="s">
        <v>3804</v>
      </c>
      <c r="K1863">
        <v>42</v>
      </c>
      <c r="L1863" t="s">
        <v>63</v>
      </c>
      <c r="M1863">
        <v>3</v>
      </c>
      <c r="N1863" t="s">
        <v>91</v>
      </c>
      <c r="O1863" t="s">
        <v>49</v>
      </c>
      <c r="P1863" t="s">
        <v>35</v>
      </c>
      <c r="Q1863" s="2">
        <v>24461.599999999999</v>
      </c>
      <c r="R1863" s="2">
        <v>2070.6799999999998</v>
      </c>
      <c r="S1863" t="s">
        <v>36</v>
      </c>
      <c r="T1863" t="s">
        <v>37</v>
      </c>
      <c r="U1863" t="s">
        <v>53</v>
      </c>
      <c r="V1863">
        <v>4.5</v>
      </c>
      <c r="W1863" t="s">
        <v>103</v>
      </c>
      <c r="X1863" t="s">
        <v>40</v>
      </c>
      <c r="Y1863" t="s">
        <v>41</v>
      </c>
    </row>
    <row r="1864" spans="1:25" x14ac:dyDescent="0.3">
      <c r="A1864" t="s">
        <v>3805</v>
      </c>
      <c r="B1864" s="1">
        <v>46788</v>
      </c>
      <c r="C1864" t="s">
        <v>26</v>
      </c>
      <c r="D1864" t="s">
        <v>26</v>
      </c>
      <c r="E1864" t="s">
        <v>4084</v>
      </c>
      <c r="F1864" t="s">
        <v>60</v>
      </c>
      <c r="G1864" t="s">
        <v>29</v>
      </c>
      <c r="H1864" t="s">
        <v>30</v>
      </c>
      <c r="I1864">
        <v>12</v>
      </c>
      <c r="J1864" t="s">
        <v>3806</v>
      </c>
      <c r="K1864">
        <v>45</v>
      </c>
      <c r="L1864" t="s">
        <v>63</v>
      </c>
      <c r="M1864">
        <v>1</v>
      </c>
      <c r="N1864" t="s">
        <v>48</v>
      </c>
      <c r="O1864" t="s">
        <v>81</v>
      </c>
      <c r="P1864" t="s">
        <v>35</v>
      </c>
      <c r="Q1864" s="2">
        <v>37654.959999999999</v>
      </c>
      <c r="R1864" s="2">
        <v>1404.07</v>
      </c>
      <c r="S1864" t="s">
        <v>36</v>
      </c>
      <c r="T1864" t="s">
        <v>37</v>
      </c>
      <c r="U1864" t="s">
        <v>83</v>
      </c>
      <c r="V1864">
        <v>1.8</v>
      </c>
      <c r="W1864" t="s">
        <v>124</v>
      </c>
      <c r="X1864" t="s">
        <v>40</v>
      </c>
      <c r="Y1864" t="s">
        <v>41</v>
      </c>
    </row>
    <row r="1865" spans="1:25" x14ac:dyDescent="0.3">
      <c r="A1865" t="s">
        <v>3807</v>
      </c>
      <c r="B1865" s="1">
        <v>46789</v>
      </c>
      <c r="C1865" t="s">
        <v>78</v>
      </c>
      <c r="D1865" t="s">
        <v>58</v>
      </c>
      <c r="E1865" t="s">
        <v>45</v>
      </c>
      <c r="F1865" t="s">
        <v>28</v>
      </c>
      <c r="G1865" t="s">
        <v>29</v>
      </c>
      <c r="H1865" t="s">
        <v>67</v>
      </c>
      <c r="I1865">
        <v>14</v>
      </c>
      <c r="J1865" t="s">
        <v>3808</v>
      </c>
      <c r="K1865">
        <v>28</v>
      </c>
      <c r="L1865" t="s">
        <v>63</v>
      </c>
      <c r="M1865">
        <v>4</v>
      </c>
      <c r="N1865" t="s">
        <v>64</v>
      </c>
      <c r="O1865" t="s">
        <v>34</v>
      </c>
      <c r="P1865" t="s">
        <v>70</v>
      </c>
      <c r="Q1865" s="2">
        <v>31854.95</v>
      </c>
      <c r="R1865" s="2">
        <v>3121.97</v>
      </c>
      <c r="S1865" t="s">
        <v>51</v>
      </c>
      <c r="T1865" t="s">
        <v>52</v>
      </c>
      <c r="U1865" t="s">
        <v>38</v>
      </c>
      <c r="V1865">
        <v>3.9</v>
      </c>
      <c r="W1865" t="s">
        <v>54</v>
      </c>
      <c r="X1865" t="s">
        <v>55</v>
      </c>
      <c r="Y1865" t="s">
        <v>41</v>
      </c>
    </row>
    <row r="1866" spans="1:25" x14ac:dyDescent="0.3">
      <c r="A1866" t="s">
        <v>3809</v>
      </c>
      <c r="B1866" s="1">
        <v>46790</v>
      </c>
      <c r="C1866" t="s">
        <v>43</v>
      </c>
      <c r="D1866" t="s">
        <v>58</v>
      </c>
      <c r="E1866" t="s">
        <v>120</v>
      </c>
      <c r="F1866" t="s">
        <v>28</v>
      </c>
      <c r="G1866" t="s">
        <v>29</v>
      </c>
      <c r="H1866" t="s">
        <v>86</v>
      </c>
      <c r="I1866">
        <v>7</v>
      </c>
      <c r="J1866" t="s">
        <v>3810</v>
      </c>
      <c r="K1866">
        <v>50</v>
      </c>
      <c r="L1866" t="s">
        <v>32</v>
      </c>
      <c r="M1866">
        <v>4</v>
      </c>
      <c r="N1866" t="s">
        <v>91</v>
      </c>
      <c r="O1866" t="s">
        <v>49</v>
      </c>
      <c r="P1866" t="s">
        <v>50</v>
      </c>
      <c r="Q1866" s="2">
        <v>18291.7</v>
      </c>
      <c r="R1866" s="2">
        <v>1805</v>
      </c>
      <c r="S1866" t="s">
        <v>115</v>
      </c>
      <c r="T1866" t="s">
        <v>52</v>
      </c>
      <c r="U1866" t="s">
        <v>83</v>
      </c>
      <c r="V1866">
        <v>2.1</v>
      </c>
      <c r="W1866" t="s">
        <v>76</v>
      </c>
      <c r="X1866" t="s">
        <v>65</v>
      </c>
      <c r="Y1866" t="s">
        <v>41</v>
      </c>
    </row>
    <row r="1867" spans="1:25" x14ac:dyDescent="0.3">
      <c r="A1867" t="s">
        <v>3811</v>
      </c>
      <c r="B1867" s="1">
        <v>46791</v>
      </c>
      <c r="C1867" t="s">
        <v>26</v>
      </c>
      <c r="D1867" t="s">
        <v>26</v>
      </c>
      <c r="E1867" t="s">
        <v>4085</v>
      </c>
      <c r="F1867" t="s">
        <v>60</v>
      </c>
      <c r="G1867" t="s">
        <v>29</v>
      </c>
      <c r="H1867" t="s">
        <v>46</v>
      </c>
      <c r="I1867">
        <v>13</v>
      </c>
      <c r="J1867" t="s">
        <v>3812</v>
      </c>
      <c r="K1867">
        <v>41</v>
      </c>
      <c r="L1867" t="s">
        <v>32</v>
      </c>
      <c r="M1867">
        <v>4</v>
      </c>
      <c r="N1867" t="s">
        <v>64</v>
      </c>
      <c r="O1867" t="s">
        <v>69</v>
      </c>
      <c r="P1867" t="s">
        <v>82</v>
      </c>
      <c r="Q1867" s="2">
        <v>7326.63</v>
      </c>
      <c r="R1867" s="2">
        <v>4154.5200000000004</v>
      </c>
      <c r="S1867" t="s">
        <v>51</v>
      </c>
      <c r="T1867" t="s">
        <v>37</v>
      </c>
      <c r="U1867" t="s">
        <v>83</v>
      </c>
      <c r="V1867">
        <v>4.2</v>
      </c>
      <c r="W1867" t="s">
        <v>39</v>
      </c>
      <c r="X1867" t="s">
        <v>84</v>
      </c>
      <c r="Y1867" t="s">
        <v>72</v>
      </c>
    </row>
    <row r="1868" spans="1:25" x14ac:dyDescent="0.3">
      <c r="A1868" t="s">
        <v>3813</v>
      </c>
      <c r="B1868" s="1">
        <v>46792</v>
      </c>
      <c r="C1868" t="s">
        <v>57</v>
      </c>
      <c r="D1868" t="s">
        <v>44</v>
      </c>
      <c r="E1868" t="s">
        <v>45</v>
      </c>
      <c r="F1868" t="s">
        <v>28</v>
      </c>
      <c r="G1868" t="s">
        <v>29</v>
      </c>
      <c r="H1868" t="s">
        <v>67</v>
      </c>
      <c r="I1868">
        <v>14</v>
      </c>
      <c r="J1868" t="s">
        <v>3814</v>
      </c>
      <c r="K1868">
        <v>19</v>
      </c>
      <c r="L1868" t="s">
        <v>80</v>
      </c>
      <c r="M1868">
        <v>7</v>
      </c>
      <c r="N1868" t="s">
        <v>33</v>
      </c>
      <c r="O1868" t="s">
        <v>69</v>
      </c>
      <c r="P1868" t="s">
        <v>50</v>
      </c>
      <c r="Q1868" s="2">
        <v>39541.78</v>
      </c>
      <c r="R1868" s="2">
        <v>4814.53</v>
      </c>
      <c r="S1868" t="s">
        <v>51</v>
      </c>
      <c r="T1868" t="s">
        <v>71</v>
      </c>
      <c r="U1868" t="s">
        <v>83</v>
      </c>
      <c r="V1868">
        <v>3.7</v>
      </c>
      <c r="W1868" t="s">
        <v>54</v>
      </c>
      <c r="X1868" t="s">
        <v>84</v>
      </c>
      <c r="Y1868" t="s">
        <v>72</v>
      </c>
    </row>
    <row r="1869" spans="1:25" x14ac:dyDescent="0.3">
      <c r="A1869" t="s">
        <v>3815</v>
      </c>
      <c r="B1869" s="1">
        <v>46793</v>
      </c>
      <c r="C1869" t="s">
        <v>78</v>
      </c>
      <c r="D1869" t="s">
        <v>58</v>
      </c>
      <c r="E1869" t="s">
        <v>89</v>
      </c>
      <c r="F1869" t="s">
        <v>28</v>
      </c>
      <c r="G1869" t="s">
        <v>29</v>
      </c>
      <c r="H1869" t="s">
        <v>61</v>
      </c>
      <c r="I1869">
        <v>5</v>
      </c>
      <c r="J1869" t="s">
        <v>3816</v>
      </c>
      <c r="K1869">
        <v>47</v>
      </c>
      <c r="L1869" t="s">
        <v>80</v>
      </c>
      <c r="M1869">
        <v>1</v>
      </c>
      <c r="N1869" t="s">
        <v>91</v>
      </c>
      <c r="O1869" t="s">
        <v>69</v>
      </c>
      <c r="P1869" t="s">
        <v>35</v>
      </c>
      <c r="Q1869" s="2">
        <v>20863.72</v>
      </c>
      <c r="R1869" s="2">
        <v>4675.4399999999996</v>
      </c>
      <c r="S1869" t="s">
        <v>94</v>
      </c>
      <c r="T1869" t="s">
        <v>71</v>
      </c>
      <c r="U1869" t="s">
        <v>75</v>
      </c>
      <c r="V1869">
        <v>3.1</v>
      </c>
      <c r="W1869" t="s">
        <v>76</v>
      </c>
      <c r="X1869" t="s">
        <v>55</v>
      </c>
      <c r="Y1869" t="s">
        <v>41</v>
      </c>
    </row>
    <row r="1870" spans="1:25" x14ac:dyDescent="0.3">
      <c r="A1870" t="s">
        <v>3817</v>
      </c>
      <c r="B1870" s="1">
        <v>46794</v>
      </c>
      <c r="C1870" t="s">
        <v>78</v>
      </c>
      <c r="D1870" t="s">
        <v>58</v>
      </c>
      <c r="E1870" t="s">
        <v>120</v>
      </c>
      <c r="F1870" t="s">
        <v>28</v>
      </c>
      <c r="G1870" t="s">
        <v>29</v>
      </c>
      <c r="H1870" t="s">
        <v>86</v>
      </c>
      <c r="I1870">
        <v>12</v>
      </c>
      <c r="J1870" t="s">
        <v>3818</v>
      </c>
      <c r="K1870">
        <v>34</v>
      </c>
      <c r="L1870" t="s">
        <v>63</v>
      </c>
      <c r="M1870">
        <v>4</v>
      </c>
      <c r="N1870" t="s">
        <v>48</v>
      </c>
      <c r="O1870" t="s">
        <v>81</v>
      </c>
      <c r="P1870" t="s">
        <v>82</v>
      </c>
      <c r="Q1870" s="2">
        <v>45037.61</v>
      </c>
      <c r="R1870" s="2">
        <v>815.64</v>
      </c>
      <c r="S1870" t="s">
        <v>36</v>
      </c>
      <c r="T1870" t="s">
        <v>71</v>
      </c>
      <c r="U1870" t="s">
        <v>83</v>
      </c>
      <c r="V1870">
        <v>3.6</v>
      </c>
      <c r="W1870" t="s">
        <v>54</v>
      </c>
      <c r="X1870" t="s">
        <v>55</v>
      </c>
      <c r="Y1870" t="s">
        <v>41</v>
      </c>
    </row>
    <row r="1871" spans="1:25" x14ac:dyDescent="0.3">
      <c r="A1871" t="s">
        <v>3819</v>
      </c>
      <c r="B1871" s="1">
        <v>46795</v>
      </c>
      <c r="C1871" t="s">
        <v>43</v>
      </c>
      <c r="D1871" t="s">
        <v>58</v>
      </c>
      <c r="E1871" t="s">
        <v>45</v>
      </c>
      <c r="F1871" t="s">
        <v>28</v>
      </c>
      <c r="G1871" t="s">
        <v>29</v>
      </c>
      <c r="H1871" t="s">
        <v>67</v>
      </c>
      <c r="I1871">
        <v>14</v>
      </c>
      <c r="J1871" t="s">
        <v>3820</v>
      </c>
      <c r="K1871">
        <v>57</v>
      </c>
      <c r="L1871" t="s">
        <v>63</v>
      </c>
      <c r="M1871">
        <v>7</v>
      </c>
      <c r="N1871" t="s">
        <v>64</v>
      </c>
      <c r="O1871" t="s">
        <v>34</v>
      </c>
      <c r="P1871" t="s">
        <v>82</v>
      </c>
      <c r="Q1871" s="2">
        <v>22777.55</v>
      </c>
      <c r="R1871" s="2">
        <v>70.95</v>
      </c>
      <c r="S1871" t="s">
        <v>115</v>
      </c>
      <c r="T1871" t="s">
        <v>71</v>
      </c>
      <c r="U1871" t="s">
        <v>75</v>
      </c>
      <c r="V1871">
        <v>4.5</v>
      </c>
      <c r="W1871" t="s">
        <v>103</v>
      </c>
      <c r="X1871" t="s">
        <v>40</v>
      </c>
      <c r="Y1871" t="s">
        <v>41</v>
      </c>
    </row>
    <row r="1872" spans="1:25" x14ac:dyDescent="0.3">
      <c r="A1872" t="s">
        <v>3821</v>
      </c>
      <c r="B1872" s="1">
        <v>46796</v>
      </c>
      <c r="C1872" t="s">
        <v>117</v>
      </c>
      <c r="D1872" t="s">
        <v>4083</v>
      </c>
      <c r="E1872" t="s">
        <v>120</v>
      </c>
      <c r="F1872" t="s">
        <v>28</v>
      </c>
      <c r="G1872" t="s">
        <v>29</v>
      </c>
      <c r="H1872" t="s">
        <v>86</v>
      </c>
      <c r="I1872">
        <v>14</v>
      </c>
      <c r="J1872" t="s">
        <v>3822</v>
      </c>
      <c r="K1872">
        <v>51</v>
      </c>
      <c r="L1872" t="s">
        <v>32</v>
      </c>
      <c r="M1872">
        <v>2</v>
      </c>
      <c r="N1872" t="s">
        <v>64</v>
      </c>
      <c r="O1872" t="s">
        <v>69</v>
      </c>
      <c r="P1872" t="s">
        <v>70</v>
      </c>
      <c r="Q1872" s="2">
        <v>37294.639999999999</v>
      </c>
      <c r="R1872" s="2">
        <v>2192.34</v>
      </c>
      <c r="S1872" t="s">
        <v>94</v>
      </c>
      <c r="T1872" t="s">
        <v>71</v>
      </c>
      <c r="U1872" t="s">
        <v>75</v>
      </c>
      <c r="V1872">
        <v>2.5</v>
      </c>
      <c r="W1872" t="s">
        <v>76</v>
      </c>
      <c r="X1872" t="s">
        <v>84</v>
      </c>
      <c r="Y1872" t="s">
        <v>41</v>
      </c>
    </row>
    <row r="1873" spans="1:25" x14ac:dyDescent="0.3">
      <c r="A1873" t="s">
        <v>3823</v>
      </c>
      <c r="B1873" s="1">
        <v>46797</v>
      </c>
      <c r="C1873" t="s">
        <v>57</v>
      </c>
      <c r="D1873" t="s">
        <v>44</v>
      </c>
      <c r="E1873" t="s">
        <v>4085</v>
      </c>
      <c r="F1873" t="s">
        <v>60</v>
      </c>
      <c r="G1873" t="s">
        <v>29</v>
      </c>
      <c r="H1873" t="s">
        <v>46</v>
      </c>
      <c r="I1873">
        <v>4</v>
      </c>
      <c r="J1873" t="s">
        <v>3824</v>
      </c>
      <c r="K1873">
        <v>55</v>
      </c>
      <c r="L1873" t="s">
        <v>32</v>
      </c>
      <c r="M1873">
        <v>1</v>
      </c>
      <c r="N1873" t="s">
        <v>48</v>
      </c>
      <c r="O1873" t="s">
        <v>49</v>
      </c>
      <c r="P1873" t="s">
        <v>50</v>
      </c>
      <c r="Q1873" s="2">
        <v>47280.41</v>
      </c>
      <c r="R1873" s="2">
        <v>3644.42</v>
      </c>
      <c r="S1873" t="s">
        <v>36</v>
      </c>
      <c r="T1873" t="s">
        <v>52</v>
      </c>
      <c r="U1873" t="s">
        <v>53</v>
      </c>
      <c r="V1873">
        <v>4.0999999999999996</v>
      </c>
      <c r="W1873" t="s">
        <v>39</v>
      </c>
      <c r="X1873" t="s">
        <v>84</v>
      </c>
      <c r="Y1873" t="s">
        <v>41</v>
      </c>
    </row>
    <row r="1874" spans="1:25" x14ac:dyDescent="0.3">
      <c r="A1874" t="s">
        <v>3825</v>
      </c>
      <c r="B1874" s="1">
        <v>46798</v>
      </c>
      <c r="C1874" t="s">
        <v>43</v>
      </c>
      <c r="D1874" t="s">
        <v>58</v>
      </c>
      <c r="E1874" t="s">
        <v>89</v>
      </c>
      <c r="F1874" t="s">
        <v>28</v>
      </c>
      <c r="G1874" t="s">
        <v>29</v>
      </c>
      <c r="H1874" t="s">
        <v>61</v>
      </c>
      <c r="I1874">
        <v>4</v>
      </c>
      <c r="J1874" t="s">
        <v>3826</v>
      </c>
      <c r="K1874">
        <v>39</v>
      </c>
      <c r="L1874" t="s">
        <v>32</v>
      </c>
      <c r="M1874">
        <v>1</v>
      </c>
      <c r="N1874" t="s">
        <v>91</v>
      </c>
      <c r="O1874" t="s">
        <v>49</v>
      </c>
      <c r="P1874" t="s">
        <v>82</v>
      </c>
      <c r="Q1874" s="2">
        <v>34301.86</v>
      </c>
      <c r="R1874" s="2">
        <v>4887.28</v>
      </c>
      <c r="S1874" t="s">
        <v>36</v>
      </c>
      <c r="T1874" t="s">
        <v>37</v>
      </c>
      <c r="U1874" t="s">
        <v>38</v>
      </c>
      <c r="V1874">
        <v>1.6</v>
      </c>
      <c r="W1874" t="s">
        <v>124</v>
      </c>
      <c r="X1874" t="s">
        <v>84</v>
      </c>
      <c r="Y1874" t="s">
        <v>72</v>
      </c>
    </row>
    <row r="1875" spans="1:25" x14ac:dyDescent="0.3">
      <c r="A1875" t="s">
        <v>3827</v>
      </c>
      <c r="B1875" s="1">
        <v>46799</v>
      </c>
      <c r="C1875" t="s">
        <v>57</v>
      </c>
      <c r="D1875" t="s">
        <v>44</v>
      </c>
      <c r="E1875" t="s">
        <v>120</v>
      </c>
      <c r="F1875" t="s">
        <v>28</v>
      </c>
      <c r="G1875" t="s">
        <v>29</v>
      </c>
      <c r="H1875" t="s">
        <v>86</v>
      </c>
      <c r="I1875">
        <v>11</v>
      </c>
      <c r="J1875" t="s">
        <v>3828</v>
      </c>
      <c r="K1875">
        <v>22</v>
      </c>
      <c r="L1875" t="s">
        <v>80</v>
      </c>
      <c r="M1875">
        <v>1</v>
      </c>
      <c r="N1875" t="s">
        <v>91</v>
      </c>
      <c r="O1875" t="s">
        <v>49</v>
      </c>
      <c r="P1875" t="s">
        <v>70</v>
      </c>
      <c r="Q1875" s="2">
        <v>23607</v>
      </c>
      <c r="R1875" s="2">
        <v>3917.11</v>
      </c>
      <c r="S1875" t="s">
        <v>51</v>
      </c>
      <c r="T1875" t="s">
        <v>52</v>
      </c>
      <c r="U1875" t="s">
        <v>83</v>
      </c>
      <c r="V1875">
        <v>3.8</v>
      </c>
      <c r="W1875" t="s">
        <v>54</v>
      </c>
      <c r="X1875" t="s">
        <v>40</v>
      </c>
      <c r="Y1875" t="s">
        <v>41</v>
      </c>
    </row>
    <row r="1876" spans="1:25" x14ac:dyDescent="0.3">
      <c r="A1876" t="s">
        <v>3829</v>
      </c>
      <c r="B1876" s="1">
        <v>46800</v>
      </c>
      <c r="C1876" t="s">
        <v>117</v>
      </c>
      <c r="D1876" t="s">
        <v>4083</v>
      </c>
      <c r="E1876" t="s">
        <v>45</v>
      </c>
      <c r="F1876" t="s">
        <v>28</v>
      </c>
      <c r="G1876" t="s">
        <v>29</v>
      </c>
      <c r="H1876" t="s">
        <v>67</v>
      </c>
      <c r="I1876">
        <v>6</v>
      </c>
      <c r="J1876" t="s">
        <v>3830</v>
      </c>
      <c r="K1876">
        <v>65</v>
      </c>
      <c r="L1876" t="s">
        <v>32</v>
      </c>
      <c r="M1876">
        <v>5</v>
      </c>
      <c r="N1876" t="s">
        <v>64</v>
      </c>
      <c r="O1876" t="s">
        <v>81</v>
      </c>
      <c r="P1876" t="s">
        <v>50</v>
      </c>
      <c r="Q1876" s="2">
        <v>30532.97</v>
      </c>
      <c r="R1876" s="2">
        <v>2902.75</v>
      </c>
      <c r="S1876" t="s">
        <v>115</v>
      </c>
      <c r="T1876" t="s">
        <v>71</v>
      </c>
      <c r="U1876" t="s">
        <v>53</v>
      </c>
      <c r="V1876">
        <v>4</v>
      </c>
      <c r="W1876" t="s">
        <v>54</v>
      </c>
      <c r="X1876" t="s">
        <v>84</v>
      </c>
      <c r="Y1876" t="s">
        <v>41</v>
      </c>
    </row>
    <row r="1877" spans="1:25" x14ac:dyDescent="0.3">
      <c r="A1877" t="s">
        <v>3831</v>
      </c>
      <c r="B1877" s="1">
        <v>46801</v>
      </c>
      <c r="C1877" t="s">
        <v>117</v>
      </c>
      <c r="D1877" t="s">
        <v>4083</v>
      </c>
      <c r="E1877" t="s">
        <v>4085</v>
      </c>
      <c r="F1877" t="s">
        <v>60</v>
      </c>
      <c r="G1877" t="s">
        <v>29</v>
      </c>
      <c r="H1877" t="s">
        <v>59</v>
      </c>
      <c r="I1877">
        <v>6</v>
      </c>
      <c r="J1877" t="s">
        <v>3832</v>
      </c>
      <c r="K1877">
        <v>57</v>
      </c>
      <c r="L1877" t="s">
        <v>80</v>
      </c>
      <c r="M1877">
        <v>7</v>
      </c>
      <c r="N1877" t="s">
        <v>48</v>
      </c>
      <c r="O1877" t="s">
        <v>34</v>
      </c>
      <c r="P1877" t="s">
        <v>35</v>
      </c>
      <c r="Q1877" s="2">
        <v>29455.03</v>
      </c>
      <c r="R1877" s="2">
        <v>131.76</v>
      </c>
      <c r="S1877" t="s">
        <v>51</v>
      </c>
      <c r="T1877" t="s">
        <v>37</v>
      </c>
      <c r="U1877" t="s">
        <v>53</v>
      </c>
      <c r="V1877">
        <v>2.8</v>
      </c>
      <c r="W1877" t="s">
        <v>76</v>
      </c>
      <c r="X1877" t="s">
        <v>106</v>
      </c>
      <c r="Y1877" t="s">
        <v>41</v>
      </c>
    </row>
    <row r="1878" spans="1:25" x14ac:dyDescent="0.3">
      <c r="A1878" t="s">
        <v>3833</v>
      </c>
      <c r="B1878" s="1">
        <v>46802</v>
      </c>
      <c r="C1878" t="s">
        <v>43</v>
      </c>
      <c r="D1878" t="s">
        <v>58</v>
      </c>
      <c r="E1878" t="s">
        <v>4085</v>
      </c>
      <c r="F1878" t="s">
        <v>60</v>
      </c>
      <c r="G1878" t="s">
        <v>29</v>
      </c>
      <c r="H1878" t="s">
        <v>46</v>
      </c>
      <c r="I1878">
        <v>9</v>
      </c>
      <c r="J1878" t="s">
        <v>3834</v>
      </c>
      <c r="K1878">
        <v>68</v>
      </c>
      <c r="L1878" t="s">
        <v>32</v>
      </c>
      <c r="M1878">
        <v>3</v>
      </c>
      <c r="N1878" t="s">
        <v>64</v>
      </c>
      <c r="O1878" t="s">
        <v>34</v>
      </c>
      <c r="P1878" t="s">
        <v>35</v>
      </c>
      <c r="Q1878" s="2">
        <v>31316.9</v>
      </c>
      <c r="R1878" s="2">
        <v>4127.7</v>
      </c>
      <c r="S1878" t="s">
        <v>94</v>
      </c>
      <c r="T1878" t="s">
        <v>71</v>
      </c>
      <c r="U1878" t="s">
        <v>53</v>
      </c>
      <c r="V1878">
        <v>4.2</v>
      </c>
      <c r="W1878" t="s">
        <v>54</v>
      </c>
      <c r="X1878" t="s">
        <v>55</v>
      </c>
      <c r="Y1878" t="s">
        <v>72</v>
      </c>
    </row>
    <row r="1879" spans="1:25" x14ac:dyDescent="0.3">
      <c r="A1879" t="s">
        <v>3835</v>
      </c>
      <c r="B1879" s="1">
        <v>46803</v>
      </c>
      <c r="C1879" t="s">
        <v>117</v>
      </c>
      <c r="D1879" t="s">
        <v>4083</v>
      </c>
      <c r="E1879" t="s">
        <v>45</v>
      </c>
      <c r="F1879" t="s">
        <v>28</v>
      </c>
      <c r="G1879" t="s">
        <v>29</v>
      </c>
      <c r="H1879" t="s">
        <v>67</v>
      </c>
      <c r="I1879">
        <v>12</v>
      </c>
      <c r="J1879" t="s">
        <v>3836</v>
      </c>
      <c r="K1879">
        <v>33</v>
      </c>
      <c r="L1879" t="s">
        <v>32</v>
      </c>
      <c r="M1879">
        <v>5</v>
      </c>
      <c r="N1879" t="s">
        <v>64</v>
      </c>
      <c r="O1879" t="s">
        <v>69</v>
      </c>
      <c r="P1879" t="s">
        <v>50</v>
      </c>
      <c r="Q1879" s="2">
        <v>11606.9</v>
      </c>
      <c r="R1879" s="2">
        <v>885.73</v>
      </c>
      <c r="S1879" t="s">
        <v>51</v>
      </c>
      <c r="T1879" t="s">
        <v>71</v>
      </c>
      <c r="U1879" t="s">
        <v>53</v>
      </c>
      <c r="V1879">
        <v>3.2</v>
      </c>
      <c r="W1879" t="s">
        <v>39</v>
      </c>
      <c r="X1879" t="s">
        <v>55</v>
      </c>
      <c r="Y1879" t="s">
        <v>72</v>
      </c>
    </row>
    <row r="1880" spans="1:25" x14ac:dyDescent="0.3">
      <c r="A1880" t="s">
        <v>3837</v>
      </c>
      <c r="B1880" s="1">
        <v>46804</v>
      </c>
      <c r="C1880" t="s">
        <v>26</v>
      </c>
      <c r="D1880" t="s">
        <v>26</v>
      </c>
      <c r="E1880" t="s">
        <v>45</v>
      </c>
      <c r="F1880" t="s">
        <v>28</v>
      </c>
      <c r="G1880" t="s">
        <v>29</v>
      </c>
      <c r="H1880" t="s">
        <v>67</v>
      </c>
      <c r="I1880">
        <v>12</v>
      </c>
      <c r="J1880" t="s">
        <v>3838</v>
      </c>
      <c r="K1880">
        <v>30</v>
      </c>
      <c r="L1880" t="s">
        <v>63</v>
      </c>
      <c r="M1880">
        <v>5</v>
      </c>
      <c r="N1880" t="s">
        <v>33</v>
      </c>
      <c r="O1880" t="s">
        <v>34</v>
      </c>
      <c r="P1880" t="s">
        <v>82</v>
      </c>
      <c r="Q1880" s="2">
        <v>36432.94</v>
      </c>
      <c r="R1880" s="2">
        <v>278.02999999999997</v>
      </c>
      <c r="S1880" t="s">
        <v>51</v>
      </c>
      <c r="T1880" t="s">
        <v>37</v>
      </c>
      <c r="U1880" t="s">
        <v>53</v>
      </c>
      <c r="V1880">
        <v>4.7</v>
      </c>
      <c r="W1880" t="s">
        <v>103</v>
      </c>
      <c r="X1880" t="s">
        <v>55</v>
      </c>
      <c r="Y1880" t="s">
        <v>72</v>
      </c>
    </row>
    <row r="1881" spans="1:25" x14ac:dyDescent="0.3">
      <c r="A1881" t="s">
        <v>3839</v>
      </c>
      <c r="B1881" s="1">
        <v>46805</v>
      </c>
      <c r="C1881" t="s">
        <v>78</v>
      </c>
      <c r="D1881" t="s">
        <v>58</v>
      </c>
      <c r="E1881" t="s">
        <v>120</v>
      </c>
      <c r="F1881" t="s">
        <v>28</v>
      </c>
      <c r="G1881" t="s">
        <v>29</v>
      </c>
      <c r="H1881" t="s">
        <v>86</v>
      </c>
      <c r="I1881">
        <v>4</v>
      </c>
      <c r="J1881" t="s">
        <v>3840</v>
      </c>
      <c r="K1881">
        <v>43</v>
      </c>
      <c r="L1881" t="s">
        <v>80</v>
      </c>
      <c r="M1881">
        <v>5</v>
      </c>
      <c r="N1881" t="s">
        <v>91</v>
      </c>
      <c r="O1881" t="s">
        <v>49</v>
      </c>
      <c r="P1881" t="s">
        <v>82</v>
      </c>
      <c r="Q1881" s="2">
        <v>11526.95</v>
      </c>
      <c r="R1881" s="2">
        <v>4251.79</v>
      </c>
      <c r="S1881" t="s">
        <v>36</v>
      </c>
      <c r="T1881" t="s">
        <v>71</v>
      </c>
      <c r="U1881" t="s">
        <v>83</v>
      </c>
      <c r="V1881">
        <v>1.4</v>
      </c>
      <c r="W1881" t="s">
        <v>124</v>
      </c>
      <c r="X1881" t="s">
        <v>55</v>
      </c>
      <c r="Y1881" t="s">
        <v>41</v>
      </c>
    </row>
    <row r="1882" spans="1:25" x14ac:dyDescent="0.3">
      <c r="A1882" t="s">
        <v>3841</v>
      </c>
      <c r="B1882" s="1">
        <v>46806</v>
      </c>
      <c r="C1882" t="s">
        <v>43</v>
      </c>
      <c r="D1882" t="s">
        <v>58</v>
      </c>
      <c r="E1882" t="s">
        <v>4084</v>
      </c>
      <c r="F1882" t="s">
        <v>60</v>
      </c>
      <c r="G1882" t="s">
        <v>29</v>
      </c>
      <c r="H1882" t="s">
        <v>30</v>
      </c>
      <c r="I1882">
        <v>5</v>
      </c>
      <c r="J1882" t="s">
        <v>3842</v>
      </c>
      <c r="K1882">
        <v>48</v>
      </c>
      <c r="L1882" t="s">
        <v>32</v>
      </c>
      <c r="M1882">
        <v>3</v>
      </c>
      <c r="N1882" t="s">
        <v>91</v>
      </c>
      <c r="O1882" t="s">
        <v>49</v>
      </c>
      <c r="P1882" t="s">
        <v>35</v>
      </c>
      <c r="Q1882" s="2">
        <v>5657.76</v>
      </c>
      <c r="R1882" s="2">
        <v>2831.25</v>
      </c>
      <c r="S1882" t="s">
        <v>36</v>
      </c>
      <c r="T1882" t="s">
        <v>52</v>
      </c>
      <c r="U1882" t="s">
        <v>53</v>
      </c>
      <c r="V1882">
        <v>1.5</v>
      </c>
      <c r="W1882" t="s">
        <v>124</v>
      </c>
      <c r="X1882" t="s">
        <v>106</v>
      </c>
      <c r="Y1882" t="s">
        <v>41</v>
      </c>
    </row>
    <row r="1883" spans="1:25" x14ac:dyDescent="0.3">
      <c r="A1883" t="s">
        <v>3843</v>
      </c>
      <c r="B1883" s="1">
        <v>46807</v>
      </c>
      <c r="C1883" t="s">
        <v>57</v>
      </c>
      <c r="D1883" t="s">
        <v>44</v>
      </c>
      <c r="E1883" t="s">
        <v>4085</v>
      </c>
      <c r="F1883" t="s">
        <v>60</v>
      </c>
      <c r="G1883" t="s">
        <v>29</v>
      </c>
      <c r="H1883" t="s">
        <v>46</v>
      </c>
      <c r="I1883">
        <v>5</v>
      </c>
      <c r="J1883" t="s">
        <v>3844</v>
      </c>
      <c r="K1883">
        <v>69</v>
      </c>
      <c r="L1883" t="s">
        <v>63</v>
      </c>
      <c r="M1883">
        <v>5</v>
      </c>
      <c r="N1883" t="s">
        <v>33</v>
      </c>
      <c r="O1883" t="s">
        <v>81</v>
      </c>
      <c r="P1883" t="s">
        <v>35</v>
      </c>
      <c r="Q1883" s="2">
        <v>33115.1</v>
      </c>
      <c r="R1883" s="2">
        <v>642.76</v>
      </c>
      <c r="S1883" t="s">
        <v>94</v>
      </c>
      <c r="T1883" t="s">
        <v>52</v>
      </c>
      <c r="U1883" t="s">
        <v>38</v>
      </c>
      <c r="V1883">
        <v>4.4000000000000004</v>
      </c>
      <c r="W1883" t="s">
        <v>54</v>
      </c>
      <c r="X1883" t="s">
        <v>65</v>
      </c>
      <c r="Y1883" t="s">
        <v>72</v>
      </c>
    </row>
    <row r="1884" spans="1:25" x14ac:dyDescent="0.3">
      <c r="A1884" t="s">
        <v>3845</v>
      </c>
      <c r="B1884" s="1">
        <v>46808</v>
      </c>
      <c r="C1884" t="s">
        <v>26</v>
      </c>
      <c r="D1884" t="s">
        <v>26</v>
      </c>
      <c r="E1884" t="s">
        <v>120</v>
      </c>
      <c r="F1884" t="s">
        <v>28</v>
      </c>
      <c r="G1884" t="s">
        <v>29</v>
      </c>
      <c r="H1884" t="s">
        <v>86</v>
      </c>
      <c r="I1884">
        <v>8</v>
      </c>
      <c r="J1884" t="s">
        <v>3846</v>
      </c>
      <c r="K1884">
        <v>56</v>
      </c>
      <c r="L1884" t="s">
        <v>80</v>
      </c>
      <c r="M1884">
        <v>4</v>
      </c>
      <c r="N1884" t="s">
        <v>91</v>
      </c>
      <c r="O1884" t="s">
        <v>49</v>
      </c>
      <c r="P1884" t="s">
        <v>82</v>
      </c>
      <c r="Q1884" s="2">
        <v>10261.11</v>
      </c>
      <c r="R1884" s="2">
        <v>1932.71</v>
      </c>
      <c r="S1884" t="s">
        <v>36</v>
      </c>
      <c r="T1884" t="s">
        <v>52</v>
      </c>
      <c r="U1884" t="s">
        <v>75</v>
      </c>
      <c r="V1884">
        <v>4.4000000000000004</v>
      </c>
      <c r="W1884" t="s">
        <v>54</v>
      </c>
      <c r="X1884" t="s">
        <v>84</v>
      </c>
      <c r="Y1884" t="s">
        <v>72</v>
      </c>
    </row>
    <row r="1885" spans="1:25" x14ac:dyDescent="0.3">
      <c r="A1885" t="s">
        <v>3847</v>
      </c>
      <c r="B1885" s="1">
        <v>46809</v>
      </c>
      <c r="C1885" t="s">
        <v>43</v>
      </c>
      <c r="D1885" t="s">
        <v>58</v>
      </c>
      <c r="E1885" t="s">
        <v>45</v>
      </c>
      <c r="F1885" t="s">
        <v>28</v>
      </c>
      <c r="G1885" t="s">
        <v>29</v>
      </c>
      <c r="H1885" t="s">
        <v>67</v>
      </c>
      <c r="I1885">
        <v>5</v>
      </c>
      <c r="J1885" t="s">
        <v>3848</v>
      </c>
      <c r="K1885">
        <v>65</v>
      </c>
      <c r="L1885" t="s">
        <v>80</v>
      </c>
      <c r="M1885">
        <v>1</v>
      </c>
      <c r="N1885" t="s">
        <v>91</v>
      </c>
      <c r="O1885" t="s">
        <v>34</v>
      </c>
      <c r="P1885" t="s">
        <v>50</v>
      </c>
      <c r="Q1885" s="2">
        <v>39668.519999999997</v>
      </c>
      <c r="R1885" s="2">
        <v>427.71</v>
      </c>
      <c r="S1885" t="s">
        <v>36</v>
      </c>
      <c r="T1885" t="s">
        <v>71</v>
      </c>
      <c r="U1885" t="s">
        <v>75</v>
      </c>
      <c r="V1885">
        <v>2.9</v>
      </c>
      <c r="W1885" t="s">
        <v>76</v>
      </c>
      <c r="X1885" t="s">
        <v>55</v>
      </c>
      <c r="Y1885" t="s">
        <v>72</v>
      </c>
    </row>
    <row r="1886" spans="1:25" x14ac:dyDescent="0.3">
      <c r="A1886" t="s">
        <v>3849</v>
      </c>
      <c r="B1886" s="1">
        <v>46810</v>
      </c>
      <c r="C1886" t="s">
        <v>117</v>
      </c>
      <c r="D1886" t="s">
        <v>4083</v>
      </c>
      <c r="E1886" t="s">
        <v>120</v>
      </c>
      <c r="F1886" t="s">
        <v>28</v>
      </c>
      <c r="G1886" t="s">
        <v>29</v>
      </c>
      <c r="H1886" t="s">
        <v>86</v>
      </c>
      <c r="I1886">
        <v>13</v>
      </c>
      <c r="J1886" t="s">
        <v>3850</v>
      </c>
      <c r="K1886">
        <v>40</v>
      </c>
      <c r="L1886" t="s">
        <v>32</v>
      </c>
      <c r="M1886">
        <v>1</v>
      </c>
      <c r="N1886" t="s">
        <v>91</v>
      </c>
      <c r="O1886" t="s">
        <v>49</v>
      </c>
      <c r="P1886" t="s">
        <v>35</v>
      </c>
      <c r="Q1886" s="2">
        <v>43968.47</v>
      </c>
      <c r="R1886" s="2">
        <v>3190.05</v>
      </c>
      <c r="S1886" t="s">
        <v>36</v>
      </c>
      <c r="T1886" t="s">
        <v>52</v>
      </c>
      <c r="U1886" t="s">
        <v>38</v>
      </c>
      <c r="V1886">
        <v>4.9000000000000004</v>
      </c>
      <c r="W1886" t="s">
        <v>103</v>
      </c>
      <c r="X1886" t="s">
        <v>84</v>
      </c>
      <c r="Y1886" t="s">
        <v>41</v>
      </c>
    </row>
    <row r="1887" spans="1:25" x14ac:dyDescent="0.3">
      <c r="A1887" t="s">
        <v>3851</v>
      </c>
      <c r="B1887" s="1">
        <v>46811</v>
      </c>
      <c r="C1887" t="s">
        <v>117</v>
      </c>
      <c r="D1887" t="s">
        <v>4083</v>
      </c>
      <c r="E1887" t="s">
        <v>45</v>
      </c>
      <c r="F1887" t="s">
        <v>28</v>
      </c>
      <c r="G1887" t="s">
        <v>29</v>
      </c>
      <c r="H1887" t="s">
        <v>67</v>
      </c>
      <c r="I1887">
        <v>7</v>
      </c>
      <c r="J1887" t="s">
        <v>3852</v>
      </c>
      <c r="K1887">
        <v>65</v>
      </c>
      <c r="L1887" t="s">
        <v>80</v>
      </c>
      <c r="M1887">
        <v>7</v>
      </c>
      <c r="N1887" t="s">
        <v>48</v>
      </c>
      <c r="O1887" t="s">
        <v>69</v>
      </c>
      <c r="P1887" t="s">
        <v>82</v>
      </c>
      <c r="Q1887" s="2">
        <v>47513.16</v>
      </c>
      <c r="R1887" s="2">
        <v>1412.14</v>
      </c>
      <c r="S1887" t="s">
        <v>51</v>
      </c>
      <c r="T1887" t="s">
        <v>71</v>
      </c>
      <c r="U1887" t="s">
        <v>83</v>
      </c>
      <c r="V1887">
        <v>3.7</v>
      </c>
      <c r="W1887" t="s">
        <v>54</v>
      </c>
      <c r="X1887" t="s">
        <v>84</v>
      </c>
      <c r="Y1887" t="s">
        <v>41</v>
      </c>
    </row>
    <row r="1888" spans="1:25" x14ac:dyDescent="0.3">
      <c r="A1888" t="s">
        <v>3853</v>
      </c>
      <c r="B1888" s="1">
        <v>46812</v>
      </c>
      <c r="C1888" t="s">
        <v>117</v>
      </c>
      <c r="D1888" t="s">
        <v>4083</v>
      </c>
      <c r="E1888" t="s">
        <v>89</v>
      </c>
      <c r="F1888" t="s">
        <v>28</v>
      </c>
      <c r="G1888" t="s">
        <v>29</v>
      </c>
      <c r="H1888" t="s">
        <v>61</v>
      </c>
      <c r="I1888">
        <v>6</v>
      </c>
      <c r="J1888" t="s">
        <v>3854</v>
      </c>
      <c r="K1888">
        <v>29</v>
      </c>
      <c r="L1888" t="s">
        <v>63</v>
      </c>
      <c r="M1888">
        <v>2</v>
      </c>
      <c r="N1888" t="s">
        <v>33</v>
      </c>
      <c r="O1888" t="s">
        <v>81</v>
      </c>
      <c r="P1888" t="s">
        <v>50</v>
      </c>
      <c r="Q1888" s="2">
        <v>34901.46</v>
      </c>
      <c r="R1888" s="2">
        <v>4330.47</v>
      </c>
      <c r="S1888" t="s">
        <v>115</v>
      </c>
      <c r="T1888" t="s">
        <v>71</v>
      </c>
      <c r="U1888" t="s">
        <v>75</v>
      </c>
      <c r="V1888">
        <v>4.9000000000000004</v>
      </c>
      <c r="W1888" t="s">
        <v>103</v>
      </c>
      <c r="X1888" t="s">
        <v>106</v>
      </c>
      <c r="Y1888" t="s">
        <v>72</v>
      </c>
    </row>
    <row r="1889" spans="1:25" x14ac:dyDescent="0.3">
      <c r="A1889" t="s">
        <v>3855</v>
      </c>
      <c r="B1889" s="1">
        <v>46813</v>
      </c>
      <c r="C1889" t="s">
        <v>117</v>
      </c>
      <c r="D1889" t="s">
        <v>4083</v>
      </c>
      <c r="E1889" t="s">
        <v>45</v>
      </c>
      <c r="F1889" t="s">
        <v>28</v>
      </c>
      <c r="G1889" t="s">
        <v>29</v>
      </c>
      <c r="H1889" t="s">
        <v>67</v>
      </c>
      <c r="I1889">
        <v>5</v>
      </c>
      <c r="J1889" t="s">
        <v>3856</v>
      </c>
      <c r="K1889">
        <v>31</v>
      </c>
      <c r="L1889" t="s">
        <v>63</v>
      </c>
      <c r="M1889">
        <v>6</v>
      </c>
      <c r="N1889" t="s">
        <v>64</v>
      </c>
      <c r="O1889" t="s">
        <v>81</v>
      </c>
      <c r="P1889" t="s">
        <v>70</v>
      </c>
      <c r="Q1889" s="2">
        <v>26690.67</v>
      </c>
      <c r="R1889" s="2">
        <v>1788.98</v>
      </c>
      <c r="S1889" t="s">
        <v>94</v>
      </c>
      <c r="T1889" t="s">
        <v>52</v>
      </c>
      <c r="U1889" t="s">
        <v>38</v>
      </c>
      <c r="V1889">
        <v>3.1</v>
      </c>
      <c r="W1889" t="s">
        <v>76</v>
      </c>
      <c r="X1889" t="s">
        <v>84</v>
      </c>
      <c r="Y1889" t="s">
        <v>72</v>
      </c>
    </row>
    <row r="1890" spans="1:25" x14ac:dyDescent="0.3">
      <c r="A1890" t="s">
        <v>3857</v>
      </c>
      <c r="B1890" s="1">
        <v>46814</v>
      </c>
      <c r="C1890" t="s">
        <v>57</v>
      </c>
      <c r="D1890" t="s">
        <v>44</v>
      </c>
      <c r="E1890" t="s">
        <v>45</v>
      </c>
      <c r="F1890" t="s">
        <v>28</v>
      </c>
      <c r="G1890" t="s">
        <v>29</v>
      </c>
      <c r="H1890" t="s">
        <v>67</v>
      </c>
      <c r="I1890">
        <v>10</v>
      </c>
      <c r="J1890" t="s">
        <v>3858</v>
      </c>
      <c r="K1890">
        <v>35</v>
      </c>
      <c r="L1890" t="s">
        <v>80</v>
      </c>
      <c r="M1890">
        <v>4</v>
      </c>
      <c r="N1890" t="s">
        <v>48</v>
      </c>
      <c r="O1890" t="s">
        <v>34</v>
      </c>
      <c r="P1890" t="s">
        <v>50</v>
      </c>
      <c r="Q1890" s="2">
        <v>20852.650000000001</v>
      </c>
      <c r="R1890" s="2">
        <v>2473.17</v>
      </c>
      <c r="S1890" t="s">
        <v>51</v>
      </c>
      <c r="T1890" t="s">
        <v>52</v>
      </c>
      <c r="U1890" t="s">
        <v>38</v>
      </c>
      <c r="V1890">
        <v>1.8</v>
      </c>
      <c r="W1890" t="s">
        <v>124</v>
      </c>
      <c r="X1890" t="s">
        <v>55</v>
      </c>
      <c r="Y1890" t="s">
        <v>41</v>
      </c>
    </row>
    <row r="1891" spans="1:25" x14ac:dyDescent="0.3">
      <c r="A1891" t="s">
        <v>3859</v>
      </c>
      <c r="B1891" s="1">
        <v>46815</v>
      </c>
      <c r="C1891" t="s">
        <v>26</v>
      </c>
      <c r="D1891" t="s">
        <v>26</v>
      </c>
      <c r="E1891" t="s">
        <v>45</v>
      </c>
      <c r="F1891" t="s">
        <v>28</v>
      </c>
      <c r="G1891" t="s">
        <v>29</v>
      </c>
      <c r="H1891" t="s">
        <v>67</v>
      </c>
      <c r="I1891">
        <v>12</v>
      </c>
      <c r="J1891" t="s">
        <v>3860</v>
      </c>
      <c r="K1891">
        <v>44</v>
      </c>
      <c r="L1891" t="s">
        <v>63</v>
      </c>
      <c r="M1891">
        <v>3</v>
      </c>
      <c r="N1891" t="s">
        <v>64</v>
      </c>
      <c r="O1891" t="s">
        <v>49</v>
      </c>
      <c r="P1891" t="s">
        <v>82</v>
      </c>
      <c r="Q1891" s="2">
        <v>27091.63</v>
      </c>
      <c r="R1891" s="2">
        <v>317.62</v>
      </c>
      <c r="S1891" t="s">
        <v>94</v>
      </c>
      <c r="T1891" t="s">
        <v>71</v>
      </c>
      <c r="U1891" t="s">
        <v>53</v>
      </c>
      <c r="V1891">
        <v>2.8</v>
      </c>
      <c r="W1891" t="s">
        <v>76</v>
      </c>
      <c r="X1891" t="s">
        <v>84</v>
      </c>
      <c r="Y1891" t="s">
        <v>72</v>
      </c>
    </row>
    <row r="1892" spans="1:25" x14ac:dyDescent="0.3">
      <c r="A1892" t="s">
        <v>3861</v>
      </c>
      <c r="B1892" s="1">
        <v>46816</v>
      </c>
      <c r="C1892" t="s">
        <v>78</v>
      </c>
      <c r="D1892" t="s">
        <v>58</v>
      </c>
      <c r="E1892" t="s">
        <v>4084</v>
      </c>
      <c r="F1892" t="s">
        <v>60</v>
      </c>
      <c r="G1892" t="s">
        <v>29</v>
      </c>
      <c r="H1892" t="s">
        <v>30</v>
      </c>
      <c r="I1892">
        <v>5</v>
      </c>
      <c r="J1892" t="s">
        <v>3862</v>
      </c>
      <c r="K1892">
        <v>45</v>
      </c>
      <c r="L1892" t="s">
        <v>80</v>
      </c>
      <c r="M1892">
        <v>6</v>
      </c>
      <c r="N1892" t="s">
        <v>33</v>
      </c>
      <c r="O1892" t="s">
        <v>49</v>
      </c>
      <c r="P1892" t="s">
        <v>50</v>
      </c>
      <c r="Q1892" s="2">
        <v>13565.85</v>
      </c>
      <c r="R1892" s="2">
        <v>1377.96</v>
      </c>
      <c r="S1892" t="s">
        <v>51</v>
      </c>
      <c r="T1892" t="s">
        <v>71</v>
      </c>
      <c r="U1892" t="s">
        <v>75</v>
      </c>
      <c r="V1892">
        <v>4.9000000000000004</v>
      </c>
      <c r="W1892" t="s">
        <v>103</v>
      </c>
      <c r="X1892" t="s">
        <v>106</v>
      </c>
      <c r="Y1892" t="s">
        <v>41</v>
      </c>
    </row>
    <row r="1893" spans="1:25" x14ac:dyDescent="0.3">
      <c r="A1893" t="s">
        <v>3863</v>
      </c>
      <c r="B1893" s="1">
        <v>46817</v>
      </c>
      <c r="C1893" t="s">
        <v>57</v>
      </c>
      <c r="D1893" t="s">
        <v>44</v>
      </c>
      <c r="E1893" t="s">
        <v>45</v>
      </c>
      <c r="F1893" t="s">
        <v>28</v>
      </c>
      <c r="G1893" t="s">
        <v>29</v>
      </c>
      <c r="H1893" t="s">
        <v>67</v>
      </c>
      <c r="I1893">
        <v>8</v>
      </c>
      <c r="J1893" t="s">
        <v>3864</v>
      </c>
      <c r="K1893">
        <v>35</v>
      </c>
      <c r="L1893" t="s">
        <v>63</v>
      </c>
      <c r="M1893">
        <v>1</v>
      </c>
      <c r="N1893" t="s">
        <v>33</v>
      </c>
      <c r="O1893" t="s">
        <v>34</v>
      </c>
      <c r="P1893" t="s">
        <v>82</v>
      </c>
      <c r="Q1893" s="2">
        <v>20679.02</v>
      </c>
      <c r="R1893" s="2">
        <v>3383.84</v>
      </c>
      <c r="S1893" t="s">
        <v>94</v>
      </c>
      <c r="T1893" t="s">
        <v>71</v>
      </c>
      <c r="U1893" t="s">
        <v>53</v>
      </c>
      <c r="V1893">
        <v>2.5</v>
      </c>
      <c r="W1893" t="s">
        <v>76</v>
      </c>
      <c r="X1893" t="s">
        <v>55</v>
      </c>
      <c r="Y1893" t="s">
        <v>72</v>
      </c>
    </row>
    <row r="1894" spans="1:25" x14ac:dyDescent="0.3">
      <c r="A1894" t="s">
        <v>3865</v>
      </c>
      <c r="B1894" s="1">
        <v>46818</v>
      </c>
      <c r="C1894" t="s">
        <v>57</v>
      </c>
      <c r="D1894" t="s">
        <v>44</v>
      </c>
      <c r="E1894" t="s">
        <v>4085</v>
      </c>
      <c r="F1894" t="s">
        <v>60</v>
      </c>
      <c r="G1894" t="s">
        <v>29</v>
      </c>
      <c r="H1894" t="s">
        <v>46</v>
      </c>
      <c r="I1894">
        <v>9</v>
      </c>
      <c r="J1894" t="s">
        <v>3866</v>
      </c>
      <c r="K1894">
        <v>33</v>
      </c>
      <c r="L1894" t="s">
        <v>80</v>
      </c>
      <c r="M1894">
        <v>5</v>
      </c>
      <c r="N1894" t="s">
        <v>33</v>
      </c>
      <c r="O1894" t="s">
        <v>34</v>
      </c>
      <c r="P1894" t="s">
        <v>35</v>
      </c>
      <c r="Q1894" s="2">
        <v>37306.870000000003</v>
      </c>
      <c r="R1894" s="2">
        <v>3681.31</v>
      </c>
      <c r="S1894" t="s">
        <v>36</v>
      </c>
      <c r="T1894" t="s">
        <v>71</v>
      </c>
      <c r="U1894" t="s">
        <v>83</v>
      </c>
      <c r="V1894">
        <v>4.8</v>
      </c>
      <c r="W1894" t="s">
        <v>103</v>
      </c>
      <c r="X1894" t="s">
        <v>106</v>
      </c>
      <c r="Y1894" t="s">
        <v>41</v>
      </c>
    </row>
    <row r="1895" spans="1:25" x14ac:dyDescent="0.3">
      <c r="A1895" t="s">
        <v>3867</v>
      </c>
      <c r="B1895" s="1">
        <v>46819</v>
      </c>
      <c r="C1895" t="s">
        <v>78</v>
      </c>
      <c r="D1895" t="s">
        <v>58</v>
      </c>
      <c r="E1895" t="s">
        <v>4085</v>
      </c>
      <c r="F1895" t="s">
        <v>60</v>
      </c>
      <c r="G1895" t="s">
        <v>29</v>
      </c>
      <c r="H1895" t="s">
        <v>46</v>
      </c>
      <c r="I1895">
        <v>9</v>
      </c>
      <c r="J1895" t="s">
        <v>3868</v>
      </c>
      <c r="K1895">
        <v>69</v>
      </c>
      <c r="L1895" t="s">
        <v>80</v>
      </c>
      <c r="M1895">
        <v>7</v>
      </c>
      <c r="N1895" t="s">
        <v>91</v>
      </c>
      <c r="O1895" t="s">
        <v>69</v>
      </c>
      <c r="P1895" t="s">
        <v>70</v>
      </c>
      <c r="Q1895" s="2">
        <v>14784.03</v>
      </c>
      <c r="R1895" s="2">
        <v>1214.1099999999999</v>
      </c>
      <c r="S1895" t="s">
        <v>94</v>
      </c>
      <c r="T1895" t="s">
        <v>52</v>
      </c>
      <c r="U1895" t="s">
        <v>75</v>
      </c>
      <c r="V1895">
        <v>4.2</v>
      </c>
      <c r="W1895" t="s">
        <v>54</v>
      </c>
      <c r="X1895" t="s">
        <v>40</v>
      </c>
      <c r="Y1895" t="s">
        <v>41</v>
      </c>
    </row>
    <row r="1896" spans="1:25" x14ac:dyDescent="0.3">
      <c r="A1896" t="s">
        <v>3869</v>
      </c>
      <c r="B1896" s="1">
        <v>46820</v>
      </c>
      <c r="C1896" t="s">
        <v>78</v>
      </c>
      <c r="D1896" t="s">
        <v>58</v>
      </c>
      <c r="E1896" t="s">
        <v>120</v>
      </c>
      <c r="F1896" t="s">
        <v>28</v>
      </c>
      <c r="G1896" t="s">
        <v>29</v>
      </c>
      <c r="H1896" t="s">
        <v>86</v>
      </c>
      <c r="I1896">
        <v>4</v>
      </c>
      <c r="J1896" t="s">
        <v>3870</v>
      </c>
      <c r="K1896">
        <v>33</v>
      </c>
      <c r="L1896" t="s">
        <v>80</v>
      </c>
      <c r="M1896">
        <v>7</v>
      </c>
      <c r="N1896" t="s">
        <v>48</v>
      </c>
      <c r="O1896" t="s">
        <v>34</v>
      </c>
      <c r="P1896" t="s">
        <v>35</v>
      </c>
      <c r="Q1896" s="2">
        <v>16883.02</v>
      </c>
      <c r="R1896" s="2">
        <v>2519.1</v>
      </c>
      <c r="S1896" t="s">
        <v>115</v>
      </c>
      <c r="T1896" t="s">
        <v>71</v>
      </c>
      <c r="U1896" t="s">
        <v>75</v>
      </c>
      <c r="V1896">
        <v>2.8</v>
      </c>
      <c r="W1896" t="s">
        <v>76</v>
      </c>
      <c r="X1896" t="s">
        <v>65</v>
      </c>
      <c r="Y1896" t="s">
        <v>72</v>
      </c>
    </row>
    <row r="1897" spans="1:25" x14ac:dyDescent="0.3">
      <c r="A1897" t="s">
        <v>3871</v>
      </c>
      <c r="B1897" s="1">
        <v>46821</v>
      </c>
      <c r="C1897" t="s">
        <v>117</v>
      </c>
      <c r="D1897" t="s">
        <v>4083</v>
      </c>
      <c r="E1897" t="s">
        <v>4084</v>
      </c>
      <c r="F1897" t="s">
        <v>60</v>
      </c>
      <c r="G1897" t="s">
        <v>29</v>
      </c>
      <c r="H1897" t="s">
        <v>27</v>
      </c>
      <c r="I1897">
        <v>5</v>
      </c>
      <c r="J1897" t="s">
        <v>3872</v>
      </c>
      <c r="K1897">
        <v>30</v>
      </c>
      <c r="L1897" t="s">
        <v>63</v>
      </c>
      <c r="M1897">
        <v>2</v>
      </c>
      <c r="N1897" t="s">
        <v>33</v>
      </c>
      <c r="O1897" t="s">
        <v>49</v>
      </c>
      <c r="P1897" t="s">
        <v>35</v>
      </c>
      <c r="Q1897" s="2">
        <v>38719.769999999997</v>
      </c>
      <c r="R1897" s="2">
        <v>4087.66</v>
      </c>
      <c r="S1897" t="s">
        <v>94</v>
      </c>
      <c r="T1897" t="s">
        <v>71</v>
      </c>
      <c r="U1897" t="s">
        <v>38</v>
      </c>
      <c r="V1897">
        <v>3.2</v>
      </c>
      <c r="W1897" t="s">
        <v>76</v>
      </c>
      <c r="X1897" t="s">
        <v>84</v>
      </c>
      <c r="Y1897" t="s">
        <v>41</v>
      </c>
    </row>
    <row r="1898" spans="1:25" x14ac:dyDescent="0.3">
      <c r="A1898" t="s">
        <v>3873</v>
      </c>
      <c r="B1898" s="1">
        <v>46822</v>
      </c>
      <c r="C1898" t="s">
        <v>57</v>
      </c>
      <c r="D1898" t="s">
        <v>44</v>
      </c>
      <c r="E1898" t="s">
        <v>120</v>
      </c>
      <c r="F1898" t="s">
        <v>28</v>
      </c>
      <c r="G1898" t="s">
        <v>29</v>
      </c>
      <c r="H1898" t="s">
        <v>86</v>
      </c>
      <c r="I1898">
        <v>14</v>
      </c>
      <c r="J1898" t="s">
        <v>3874</v>
      </c>
      <c r="K1898">
        <v>46</v>
      </c>
      <c r="L1898" t="s">
        <v>80</v>
      </c>
      <c r="M1898">
        <v>2</v>
      </c>
      <c r="N1898" t="s">
        <v>64</v>
      </c>
      <c r="O1898" t="s">
        <v>69</v>
      </c>
      <c r="P1898" t="s">
        <v>82</v>
      </c>
      <c r="Q1898" s="2">
        <v>13002.62</v>
      </c>
      <c r="R1898" s="2">
        <v>1899.55</v>
      </c>
      <c r="S1898" t="s">
        <v>115</v>
      </c>
      <c r="T1898" t="s">
        <v>71</v>
      </c>
      <c r="U1898" t="s">
        <v>75</v>
      </c>
      <c r="V1898">
        <v>3.4</v>
      </c>
      <c r="W1898" t="s">
        <v>76</v>
      </c>
      <c r="X1898" t="s">
        <v>84</v>
      </c>
      <c r="Y1898" t="s">
        <v>41</v>
      </c>
    </row>
    <row r="1899" spans="1:25" x14ac:dyDescent="0.3">
      <c r="A1899" t="s">
        <v>3875</v>
      </c>
      <c r="B1899" s="1">
        <v>46823</v>
      </c>
      <c r="C1899" t="s">
        <v>43</v>
      </c>
      <c r="D1899" t="s">
        <v>58</v>
      </c>
      <c r="E1899" t="s">
        <v>4085</v>
      </c>
      <c r="F1899" t="s">
        <v>60</v>
      </c>
      <c r="G1899" t="s">
        <v>29</v>
      </c>
      <c r="H1899" t="s">
        <v>46</v>
      </c>
      <c r="I1899">
        <v>12</v>
      </c>
      <c r="J1899" t="s">
        <v>3876</v>
      </c>
      <c r="K1899">
        <v>26</v>
      </c>
      <c r="L1899" t="s">
        <v>80</v>
      </c>
      <c r="M1899">
        <v>1</v>
      </c>
      <c r="N1899" t="s">
        <v>91</v>
      </c>
      <c r="O1899" t="s">
        <v>81</v>
      </c>
      <c r="P1899" t="s">
        <v>82</v>
      </c>
      <c r="Q1899" s="2">
        <v>16064.94</v>
      </c>
      <c r="R1899" s="2">
        <v>668.86</v>
      </c>
      <c r="S1899" t="s">
        <v>94</v>
      </c>
      <c r="T1899" t="s">
        <v>71</v>
      </c>
      <c r="U1899" t="s">
        <v>83</v>
      </c>
      <c r="V1899">
        <v>3.7</v>
      </c>
      <c r="W1899" t="s">
        <v>54</v>
      </c>
      <c r="X1899" t="s">
        <v>84</v>
      </c>
      <c r="Y1899" t="s">
        <v>72</v>
      </c>
    </row>
    <row r="1900" spans="1:25" x14ac:dyDescent="0.3">
      <c r="A1900" t="s">
        <v>3877</v>
      </c>
      <c r="B1900" s="1">
        <v>46824</v>
      </c>
      <c r="C1900" t="s">
        <v>78</v>
      </c>
      <c r="D1900" t="s">
        <v>58</v>
      </c>
      <c r="E1900" t="s">
        <v>4085</v>
      </c>
      <c r="F1900" t="s">
        <v>60</v>
      </c>
      <c r="G1900" t="s">
        <v>29</v>
      </c>
      <c r="H1900" t="s">
        <v>46</v>
      </c>
      <c r="I1900">
        <v>12</v>
      </c>
      <c r="J1900" t="s">
        <v>3878</v>
      </c>
      <c r="K1900">
        <v>43</v>
      </c>
      <c r="L1900" t="s">
        <v>32</v>
      </c>
      <c r="M1900">
        <v>4</v>
      </c>
      <c r="N1900" t="s">
        <v>91</v>
      </c>
      <c r="O1900" t="s">
        <v>49</v>
      </c>
      <c r="P1900" t="s">
        <v>82</v>
      </c>
      <c r="Q1900" s="2">
        <v>5789.64</v>
      </c>
      <c r="R1900" s="2">
        <v>2159.35</v>
      </c>
      <c r="S1900" t="s">
        <v>36</v>
      </c>
      <c r="T1900" t="s">
        <v>71</v>
      </c>
      <c r="U1900" t="s">
        <v>83</v>
      </c>
      <c r="V1900">
        <v>1.3</v>
      </c>
      <c r="W1900" t="s">
        <v>124</v>
      </c>
      <c r="X1900" t="s">
        <v>40</v>
      </c>
      <c r="Y1900" t="s">
        <v>41</v>
      </c>
    </row>
    <row r="1901" spans="1:25" x14ac:dyDescent="0.3">
      <c r="A1901" t="s">
        <v>3879</v>
      </c>
      <c r="B1901" s="1">
        <v>46825</v>
      </c>
      <c r="C1901" t="s">
        <v>78</v>
      </c>
      <c r="D1901" t="s">
        <v>58</v>
      </c>
      <c r="E1901" t="s">
        <v>89</v>
      </c>
      <c r="F1901" t="s">
        <v>28</v>
      </c>
      <c r="G1901" t="s">
        <v>29</v>
      </c>
      <c r="H1901" t="s">
        <v>61</v>
      </c>
      <c r="I1901">
        <v>6</v>
      </c>
      <c r="J1901" t="s">
        <v>3880</v>
      </c>
      <c r="K1901">
        <v>45</v>
      </c>
      <c r="L1901" t="s">
        <v>32</v>
      </c>
      <c r="M1901">
        <v>7</v>
      </c>
      <c r="N1901" t="s">
        <v>48</v>
      </c>
      <c r="O1901" t="s">
        <v>81</v>
      </c>
      <c r="P1901" t="s">
        <v>82</v>
      </c>
      <c r="Q1901" s="2">
        <v>37402.32</v>
      </c>
      <c r="R1901" s="2">
        <v>3003.14</v>
      </c>
      <c r="S1901" t="s">
        <v>94</v>
      </c>
      <c r="T1901" t="s">
        <v>37</v>
      </c>
      <c r="U1901" t="s">
        <v>75</v>
      </c>
      <c r="V1901">
        <v>4.7</v>
      </c>
      <c r="W1901" t="s">
        <v>103</v>
      </c>
      <c r="X1901" t="s">
        <v>65</v>
      </c>
      <c r="Y1901" t="s">
        <v>72</v>
      </c>
    </row>
    <row r="1902" spans="1:25" x14ac:dyDescent="0.3">
      <c r="A1902" t="s">
        <v>3881</v>
      </c>
      <c r="B1902" s="1">
        <v>46826</v>
      </c>
      <c r="C1902" t="s">
        <v>26</v>
      </c>
      <c r="D1902" t="s">
        <v>26</v>
      </c>
      <c r="E1902" t="s">
        <v>45</v>
      </c>
      <c r="F1902" t="s">
        <v>28</v>
      </c>
      <c r="G1902" t="s">
        <v>29</v>
      </c>
      <c r="H1902" t="s">
        <v>67</v>
      </c>
      <c r="I1902">
        <v>9</v>
      </c>
      <c r="J1902" t="s">
        <v>3882</v>
      </c>
      <c r="K1902">
        <v>58</v>
      </c>
      <c r="L1902" t="s">
        <v>80</v>
      </c>
      <c r="M1902">
        <v>6</v>
      </c>
      <c r="N1902" t="s">
        <v>48</v>
      </c>
      <c r="O1902" t="s">
        <v>81</v>
      </c>
      <c r="P1902" t="s">
        <v>35</v>
      </c>
      <c r="Q1902" s="2">
        <v>32805.660000000003</v>
      </c>
      <c r="R1902" s="2">
        <v>36.99</v>
      </c>
      <c r="S1902" t="s">
        <v>51</v>
      </c>
      <c r="T1902" t="s">
        <v>37</v>
      </c>
      <c r="U1902" t="s">
        <v>38</v>
      </c>
      <c r="V1902">
        <v>3.4</v>
      </c>
      <c r="W1902" t="s">
        <v>39</v>
      </c>
      <c r="X1902" t="s">
        <v>106</v>
      </c>
      <c r="Y1902" t="s">
        <v>41</v>
      </c>
    </row>
    <row r="1903" spans="1:25" x14ac:dyDescent="0.3">
      <c r="A1903" t="s">
        <v>3883</v>
      </c>
      <c r="B1903" s="1">
        <v>46827</v>
      </c>
      <c r="C1903" t="s">
        <v>43</v>
      </c>
      <c r="D1903" t="s">
        <v>58</v>
      </c>
      <c r="E1903" t="s">
        <v>4085</v>
      </c>
      <c r="F1903" t="s">
        <v>60</v>
      </c>
      <c r="G1903" t="s">
        <v>29</v>
      </c>
      <c r="H1903" t="s">
        <v>59</v>
      </c>
      <c r="I1903">
        <v>4</v>
      </c>
      <c r="J1903" t="s">
        <v>3884</v>
      </c>
      <c r="K1903">
        <v>30</v>
      </c>
      <c r="L1903" t="s">
        <v>32</v>
      </c>
      <c r="M1903">
        <v>2</v>
      </c>
      <c r="N1903" t="s">
        <v>48</v>
      </c>
      <c r="O1903" t="s">
        <v>81</v>
      </c>
      <c r="P1903" t="s">
        <v>82</v>
      </c>
      <c r="Q1903" s="2">
        <v>36247.35</v>
      </c>
      <c r="R1903" s="2">
        <v>1742.84</v>
      </c>
      <c r="S1903" t="s">
        <v>36</v>
      </c>
      <c r="T1903" t="s">
        <v>37</v>
      </c>
      <c r="U1903" t="s">
        <v>83</v>
      </c>
      <c r="V1903">
        <v>4.7</v>
      </c>
      <c r="W1903" t="s">
        <v>103</v>
      </c>
      <c r="X1903" t="s">
        <v>40</v>
      </c>
      <c r="Y1903" t="s">
        <v>72</v>
      </c>
    </row>
    <row r="1904" spans="1:25" x14ac:dyDescent="0.3">
      <c r="A1904" t="s">
        <v>3885</v>
      </c>
      <c r="B1904" s="1">
        <v>46828</v>
      </c>
      <c r="C1904" t="s">
        <v>43</v>
      </c>
      <c r="D1904" t="s">
        <v>58</v>
      </c>
      <c r="E1904" t="s">
        <v>120</v>
      </c>
      <c r="F1904" t="s">
        <v>28</v>
      </c>
      <c r="G1904" t="s">
        <v>29</v>
      </c>
      <c r="H1904" t="s">
        <v>86</v>
      </c>
      <c r="I1904">
        <v>5</v>
      </c>
      <c r="J1904" t="s">
        <v>3886</v>
      </c>
      <c r="K1904">
        <v>53</v>
      </c>
      <c r="L1904" t="s">
        <v>80</v>
      </c>
      <c r="M1904">
        <v>1</v>
      </c>
      <c r="N1904" t="s">
        <v>91</v>
      </c>
      <c r="O1904" t="s">
        <v>49</v>
      </c>
      <c r="P1904" t="s">
        <v>82</v>
      </c>
      <c r="Q1904" s="2">
        <v>14644.75</v>
      </c>
      <c r="R1904" s="2">
        <v>3037.18</v>
      </c>
      <c r="S1904" t="s">
        <v>36</v>
      </c>
      <c r="T1904" t="s">
        <v>52</v>
      </c>
      <c r="U1904" t="s">
        <v>53</v>
      </c>
      <c r="V1904">
        <v>3.5</v>
      </c>
      <c r="W1904" t="s">
        <v>39</v>
      </c>
      <c r="X1904" t="s">
        <v>40</v>
      </c>
      <c r="Y1904" t="s">
        <v>41</v>
      </c>
    </row>
    <row r="1905" spans="1:25" x14ac:dyDescent="0.3">
      <c r="A1905" t="s">
        <v>3887</v>
      </c>
      <c r="B1905" s="1">
        <v>46829</v>
      </c>
      <c r="C1905" t="s">
        <v>78</v>
      </c>
      <c r="D1905" t="s">
        <v>58</v>
      </c>
      <c r="E1905" t="s">
        <v>120</v>
      </c>
      <c r="F1905" t="s">
        <v>28</v>
      </c>
      <c r="G1905" t="s">
        <v>29</v>
      </c>
      <c r="H1905" t="s">
        <v>86</v>
      </c>
      <c r="I1905">
        <v>9</v>
      </c>
      <c r="J1905" t="s">
        <v>3888</v>
      </c>
      <c r="K1905">
        <v>26</v>
      </c>
      <c r="L1905" t="s">
        <v>32</v>
      </c>
      <c r="M1905">
        <v>4</v>
      </c>
      <c r="N1905" t="s">
        <v>33</v>
      </c>
      <c r="O1905" t="s">
        <v>81</v>
      </c>
      <c r="P1905" t="s">
        <v>35</v>
      </c>
      <c r="Q1905" s="2">
        <v>35931.94</v>
      </c>
      <c r="R1905" s="2">
        <v>4759.5600000000004</v>
      </c>
      <c r="S1905" t="s">
        <v>51</v>
      </c>
      <c r="T1905" t="s">
        <v>71</v>
      </c>
      <c r="U1905" t="s">
        <v>83</v>
      </c>
      <c r="V1905">
        <v>2.7</v>
      </c>
      <c r="W1905" t="s">
        <v>76</v>
      </c>
      <c r="X1905" t="s">
        <v>55</v>
      </c>
      <c r="Y1905" t="s">
        <v>41</v>
      </c>
    </row>
    <row r="1906" spans="1:25" x14ac:dyDescent="0.3">
      <c r="A1906" t="s">
        <v>3889</v>
      </c>
      <c r="B1906" s="1">
        <v>46830</v>
      </c>
      <c r="C1906" t="s">
        <v>117</v>
      </c>
      <c r="D1906" t="s">
        <v>4083</v>
      </c>
      <c r="E1906" t="s">
        <v>45</v>
      </c>
      <c r="F1906" t="s">
        <v>28</v>
      </c>
      <c r="G1906" t="s">
        <v>29</v>
      </c>
      <c r="H1906" t="s">
        <v>67</v>
      </c>
      <c r="I1906">
        <v>9</v>
      </c>
      <c r="J1906" t="s">
        <v>3890</v>
      </c>
      <c r="K1906">
        <v>64</v>
      </c>
      <c r="L1906" t="s">
        <v>63</v>
      </c>
      <c r="M1906">
        <v>1</v>
      </c>
      <c r="N1906" t="s">
        <v>64</v>
      </c>
      <c r="O1906" t="s">
        <v>49</v>
      </c>
      <c r="P1906" t="s">
        <v>70</v>
      </c>
      <c r="Q1906" s="2">
        <v>31836.95</v>
      </c>
      <c r="R1906" s="2">
        <v>2042.74</v>
      </c>
      <c r="S1906" t="s">
        <v>36</v>
      </c>
      <c r="T1906" t="s">
        <v>52</v>
      </c>
      <c r="U1906" t="s">
        <v>75</v>
      </c>
      <c r="V1906">
        <v>3.3</v>
      </c>
      <c r="W1906" t="s">
        <v>76</v>
      </c>
      <c r="X1906" t="s">
        <v>40</v>
      </c>
      <c r="Y1906" t="s">
        <v>72</v>
      </c>
    </row>
    <row r="1907" spans="1:25" x14ac:dyDescent="0.3">
      <c r="A1907" t="s">
        <v>3891</v>
      </c>
      <c r="B1907" s="1">
        <v>46831</v>
      </c>
      <c r="C1907" t="s">
        <v>26</v>
      </c>
      <c r="D1907" t="s">
        <v>26</v>
      </c>
      <c r="E1907" t="s">
        <v>45</v>
      </c>
      <c r="F1907" t="s">
        <v>28</v>
      </c>
      <c r="G1907" t="s">
        <v>29</v>
      </c>
      <c r="H1907" t="s">
        <v>67</v>
      </c>
      <c r="I1907">
        <v>12</v>
      </c>
      <c r="J1907" t="s">
        <v>3892</v>
      </c>
      <c r="K1907">
        <v>31</v>
      </c>
      <c r="L1907" t="s">
        <v>63</v>
      </c>
      <c r="M1907">
        <v>1</v>
      </c>
      <c r="N1907" t="s">
        <v>33</v>
      </c>
      <c r="O1907" t="s">
        <v>81</v>
      </c>
      <c r="P1907" t="s">
        <v>70</v>
      </c>
      <c r="Q1907" s="2">
        <v>21475.53</v>
      </c>
      <c r="R1907" s="2">
        <v>814.86</v>
      </c>
      <c r="S1907" t="s">
        <v>36</v>
      </c>
      <c r="T1907" t="s">
        <v>71</v>
      </c>
      <c r="U1907" t="s">
        <v>53</v>
      </c>
      <c r="V1907">
        <v>4.3</v>
      </c>
      <c r="W1907" t="s">
        <v>54</v>
      </c>
      <c r="X1907" t="s">
        <v>40</v>
      </c>
      <c r="Y1907" t="s">
        <v>72</v>
      </c>
    </row>
    <row r="1908" spans="1:25" x14ac:dyDescent="0.3">
      <c r="A1908" t="s">
        <v>3893</v>
      </c>
      <c r="B1908" s="1">
        <v>46832</v>
      </c>
      <c r="C1908" t="s">
        <v>43</v>
      </c>
      <c r="D1908" t="s">
        <v>58</v>
      </c>
      <c r="E1908" t="s">
        <v>89</v>
      </c>
      <c r="F1908" t="s">
        <v>28</v>
      </c>
      <c r="G1908" t="s">
        <v>29</v>
      </c>
      <c r="H1908" t="s">
        <v>61</v>
      </c>
      <c r="I1908">
        <v>5</v>
      </c>
      <c r="J1908" t="s">
        <v>3894</v>
      </c>
      <c r="K1908">
        <v>68</v>
      </c>
      <c r="L1908" t="s">
        <v>80</v>
      </c>
      <c r="M1908">
        <v>4</v>
      </c>
      <c r="N1908" t="s">
        <v>64</v>
      </c>
      <c r="O1908" t="s">
        <v>34</v>
      </c>
      <c r="P1908" t="s">
        <v>50</v>
      </c>
      <c r="Q1908" s="2">
        <v>24702.16</v>
      </c>
      <c r="R1908" s="2">
        <v>2671.1</v>
      </c>
      <c r="S1908" t="s">
        <v>51</v>
      </c>
      <c r="T1908" t="s">
        <v>37</v>
      </c>
      <c r="U1908" t="s">
        <v>75</v>
      </c>
      <c r="V1908">
        <v>2.2999999999999998</v>
      </c>
      <c r="W1908" t="s">
        <v>76</v>
      </c>
      <c r="X1908" t="s">
        <v>84</v>
      </c>
      <c r="Y1908" t="s">
        <v>41</v>
      </c>
    </row>
    <row r="1909" spans="1:25" x14ac:dyDescent="0.3">
      <c r="A1909" t="s">
        <v>3895</v>
      </c>
      <c r="B1909" s="1">
        <v>46833</v>
      </c>
      <c r="C1909" t="s">
        <v>78</v>
      </c>
      <c r="D1909" t="s">
        <v>58</v>
      </c>
      <c r="E1909" t="s">
        <v>4084</v>
      </c>
      <c r="F1909" t="s">
        <v>60</v>
      </c>
      <c r="G1909" t="s">
        <v>29</v>
      </c>
      <c r="H1909" t="s">
        <v>27</v>
      </c>
      <c r="I1909">
        <v>14</v>
      </c>
      <c r="J1909" t="s">
        <v>3896</v>
      </c>
      <c r="K1909">
        <v>29</v>
      </c>
      <c r="L1909" t="s">
        <v>80</v>
      </c>
      <c r="M1909">
        <v>4</v>
      </c>
      <c r="N1909" t="s">
        <v>33</v>
      </c>
      <c r="O1909" t="s">
        <v>34</v>
      </c>
      <c r="P1909" t="s">
        <v>35</v>
      </c>
      <c r="Q1909" s="2">
        <v>30556.42</v>
      </c>
      <c r="R1909" s="2">
        <v>1428.76</v>
      </c>
      <c r="S1909" t="s">
        <v>36</v>
      </c>
      <c r="T1909" t="s">
        <v>71</v>
      </c>
      <c r="U1909" t="s">
        <v>75</v>
      </c>
      <c r="V1909">
        <v>4.8</v>
      </c>
      <c r="W1909" t="s">
        <v>103</v>
      </c>
      <c r="X1909" t="s">
        <v>55</v>
      </c>
      <c r="Y1909" t="s">
        <v>72</v>
      </c>
    </row>
    <row r="1910" spans="1:25" x14ac:dyDescent="0.3">
      <c r="A1910" t="s">
        <v>3897</v>
      </c>
      <c r="B1910" s="1">
        <v>46834</v>
      </c>
      <c r="C1910" t="s">
        <v>43</v>
      </c>
      <c r="D1910" t="s">
        <v>58</v>
      </c>
      <c r="E1910" t="s">
        <v>120</v>
      </c>
      <c r="F1910" t="s">
        <v>28</v>
      </c>
      <c r="G1910" t="s">
        <v>29</v>
      </c>
      <c r="H1910" t="s">
        <v>86</v>
      </c>
      <c r="I1910">
        <v>3</v>
      </c>
      <c r="J1910" t="s">
        <v>3898</v>
      </c>
      <c r="K1910">
        <v>49</v>
      </c>
      <c r="L1910" t="s">
        <v>63</v>
      </c>
      <c r="M1910">
        <v>4</v>
      </c>
      <c r="N1910" t="s">
        <v>48</v>
      </c>
      <c r="O1910" t="s">
        <v>49</v>
      </c>
      <c r="P1910" t="s">
        <v>82</v>
      </c>
      <c r="Q1910" s="2">
        <v>27198.15</v>
      </c>
      <c r="R1910" s="2">
        <v>1073.9000000000001</v>
      </c>
      <c r="S1910" t="s">
        <v>36</v>
      </c>
      <c r="T1910" t="s">
        <v>52</v>
      </c>
      <c r="U1910" t="s">
        <v>75</v>
      </c>
      <c r="V1910">
        <v>2.9</v>
      </c>
      <c r="W1910" t="s">
        <v>76</v>
      </c>
      <c r="X1910" t="s">
        <v>106</v>
      </c>
      <c r="Y1910" t="s">
        <v>72</v>
      </c>
    </row>
    <row r="1911" spans="1:25" x14ac:dyDescent="0.3">
      <c r="A1911" t="s">
        <v>3899</v>
      </c>
      <c r="B1911" s="1">
        <v>46835</v>
      </c>
      <c r="C1911" t="s">
        <v>26</v>
      </c>
      <c r="D1911" t="s">
        <v>26</v>
      </c>
      <c r="E1911" t="s">
        <v>45</v>
      </c>
      <c r="F1911" t="s">
        <v>28</v>
      </c>
      <c r="G1911" t="s">
        <v>29</v>
      </c>
      <c r="H1911" t="s">
        <v>67</v>
      </c>
      <c r="I1911">
        <v>14</v>
      </c>
      <c r="J1911" t="s">
        <v>3900</v>
      </c>
      <c r="K1911">
        <v>55</v>
      </c>
      <c r="L1911" t="s">
        <v>63</v>
      </c>
      <c r="M1911">
        <v>1</v>
      </c>
      <c r="N1911" t="s">
        <v>64</v>
      </c>
      <c r="O1911" t="s">
        <v>81</v>
      </c>
      <c r="P1911" t="s">
        <v>50</v>
      </c>
      <c r="Q1911" s="2">
        <v>33882.26</v>
      </c>
      <c r="R1911" s="2">
        <v>2952.02</v>
      </c>
      <c r="S1911" t="s">
        <v>36</v>
      </c>
      <c r="T1911" t="s">
        <v>52</v>
      </c>
      <c r="U1911" t="s">
        <v>38</v>
      </c>
      <c r="V1911">
        <v>4.8</v>
      </c>
      <c r="W1911" t="s">
        <v>103</v>
      </c>
      <c r="X1911" t="s">
        <v>65</v>
      </c>
      <c r="Y1911" t="s">
        <v>41</v>
      </c>
    </row>
    <row r="1912" spans="1:25" x14ac:dyDescent="0.3">
      <c r="A1912" t="s">
        <v>3901</v>
      </c>
      <c r="B1912" s="1">
        <v>46836</v>
      </c>
      <c r="C1912" t="s">
        <v>26</v>
      </c>
      <c r="D1912" t="s">
        <v>26</v>
      </c>
      <c r="E1912" t="s">
        <v>120</v>
      </c>
      <c r="F1912" t="s">
        <v>28</v>
      </c>
      <c r="G1912" t="s">
        <v>29</v>
      </c>
      <c r="H1912" t="s">
        <v>86</v>
      </c>
      <c r="I1912">
        <v>5</v>
      </c>
      <c r="J1912" t="s">
        <v>3902</v>
      </c>
      <c r="K1912">
        <v>20</v>
      </c>
      <c r="L1912" t="s">
        <v>32</v>
      </c>
      <c r="M1912">
        <v>2</v>
      </c>
      <c r="N1912" t="s">
        <v>91</v>
      </c>
      <c r="O1912" t="s">
        <v>81</v>
      </c>
      <c r="P1912" t="s">
        <v>70</v>
      </c>
      <c r="Q1912" s="2">
        <v>13144.08</v>
      </c>
      <c r="R1912" s="2">
        <v>4579.42</v>
      </c>
      <c r="S1912" t="s">
        <v>36</v>
      </c>
      <c r="T1912" t="s">
        <v>71</v>
      </c>
      <c r="U1912" t="s">
        <v>38</v>
      </c>
      <c r="V1912">
        <v>4.5</v>
      </c>
      <c r="W1912" t="s">
        <v>103</v>
      </c>
      <c r="X1912" t="s">
        <v>106</v>
      </c>
      <c r="Y1912" t="s">
        <v>72</v>
      </c>
    </row>
    <row r="1913" spans="1:25" x14ac:dyDescent="0.3">
      <c r="A1913" t="s">
        <v>3903</v>
      </c>
      <c r="B1913" s="1">
        <v>46837</v>
      </c>
      <c r="C1913" t="s">
        <v>57</v>
      </c>
      <c r="D1913" t="s">
        <v>44</v>
      </c>
      <c r="E1913" t="s">
        <v>45</v>
      </c>
      <c r="F1913" t="s">
        <v>28</v>
      </c>
      <c r="G1913" t="s">
        <v>29</v>
      </c>
      <c r="H1913" t="s">
        <v>67</v>
      </c>
      <c r="I1913">
        <v>7</v>
      </c>
      <c r="J1913" t="s">
        <v>3904</v>
      </c>
      <c r="K1913">
        <v>69</v>
      </c>
      <c r="L1913" t="s">
        <v>80</v>
      </c>
      <c r="M1913">
        <v>3</v>
      </c>
      <c r="N1913" t="s">
        <v>64</v>
      </c>
      <c r="O1913" t="s">
        <v>81</v>
      </c>
      <c r="P1913" t="s">
        <v>70</v>
      </c>
      <c r="Q1913" s="2">
        <v>29331.95</v>
      </c>
      <c r="R1913" s="2">
        <v>4176.12</v>
      </c>
      <c r="S1913" t="s">
        <v>94</v>
      </c>
      <c r="T1913" t="s">
        <v>52</v>
      </c>
      <c r="U1913" t="s">
        <v>83</v>
      </c>
      <c r="V1913">
        <v>4.0999999999999996</v>
      </c>
      <c r="W1913" t="s">
        <v>54</v>
      </c>
      <c r="X1913" t="s">
        <v>55</v>
      </c>
      <c r="Y1913" t="s">
        <v>41</v>
      </c>
    </row>
    <row r="1914" spans="1:25" x14ac:dyDescent="0.3">
      <c r="A1914" t="s">
        <v>3905</v>
      </c>
      <c r="B1914" s="1">
        <v>46838</v>
      </c>
      <c r="C1914" t="s">
        <v>78</v>
      </c>
      <c r="D1914" t="s">
        <v>58</v>
      </c>
      <c r="E1914" t="s">
        <v>4085</v>
      </c>
      <c r="F1914" t="s">
        <v>60</v>
      </c>
      <c r="G1914" t="s">
        <v>29</v>
      </c>
      <c r="H1914" t="s">
        <v>46</v>
      </c>
      <c r="I1914">
        <v>9</v>
      </c>
      <c r="J1914" t="s">
        <v>3906</v>
      </c>
      <c r="K1914">
        <v>33</v>
      </c>
      <c r="L1914" t="s">
        <v>63</v>
      </c>
      <c r="M1914">
        <v>3</v>
      </c>
      <c r="N1914" t="s">
        <v>91</v>
      </c>
      <c r="O1914" t="s">
        <v>34</v>
      </c>
      <c r="P1914" t="s">
        <v>35</v>
      </c>
      <c r="Q1914" s="2">
        <v>25262.58</v>
      </c>
      <c r="R1914" s="2">
        <v>911.46</v>
      </c>
      <c r="S1914" t="s">
        <v>36</v>
      </c>
      <c r="T1914" t="s">
        <v>37</v>
      </c>
      <c r="U1914" t="s">
        <v>75</v>
      </c>
      <c r="V1914">
        <v>2.9</v>
      </c>
      <c r="W1914" t="s">
        <v>76</v>
      </c>
      <c r="X1914" t="s">
        <v>84</v>
      </c>
      <c r="Y1914" t="s">
        <v>72</v>
      </c>
    </row>
    <row r="1915" spans="1:25" x14ac:dyDescent="0.3">
      <c r="A1915" t="s">
        <v>3907</v>
      </c>
      <c r="B1915" s="1">
        <v>46839</v>
      </c>
      <c r="C1915" t="s">
        <v>26</v>
      </c>
      <c r="D1915" t="s">
        <v>26</v>
      </c>
      <c r="E1915" t="s">
        <v>120</v>
      </c>
      <c r="F1915" t="s">
        <v>28</v>
      </c>
      <c r="G1915" t="s">
        <v>29</v>
      </c>
      <c r="H1915" t="s">
        <v>86</v>
      </c>
      <c r="I1915">
        <v>6</v>
      </c>
      <c r="J1915" t="s">
        <v>3908</v>
      </c>
      <c r="K1915">
        <v>37</v>
      </c>
      <c r="L1915" t="s">
        <v>63</v>
      </c>
      <c r="M1915">
        <v>1</v>
      </c>
      <c r="N1915" t="s">
        <v>33</v>
      </c>
      <c r="O1915" t="s">
        <v>81</v>
      </c>
      <c r="P1915" t="s">
        <v>82</v>
      </c>
      <c r="Q1915" s="2">
        <v>25745.919999999998</v>
      </c>
      <c r="R1915" s="2">
        <v>3829.4</v>
      </c>
      <c r="S1915" t="s">
        <v>36</v>
      </c>
      <c r="T1915" t="s">
        <v>71</v>
      </c>
      <c r="U1915" t="s">
        <v>53</v>
      </c>
      <c r="V1915">
        <v>3.3</v>
      </c>
      <c r="W1915" t="s">
        <v>76</v>
      </c>
      <c r="X1915" t="s">
        <v>65</v>
      </c>
      <c r="Y1915" t="s">
        <v>41</v>
      </c>
    </row>
    <row r="1916" spans="1:25" x14ac:dyDescent="0.3">
      <c r="A1916" t="s">
        <v>3909</v>
      </c>
      <c r="B1916" s="1">
        <v>46840</v>
      </c>
      <c r="C1916" t="s">
        <v>57</v>
      </c>
      <c r="D1916" t="s">
        <v>44</v>
      </c>
      <c r="E1916" t="s">
        <v>4085</v>
      </c>
      <c r="F1916" t="s">
        <v>60</v>
      </c>
      <c r="G1916" t="s">
        <v>29</v>
      </c>
      <c r="H1916" t="s">
        <v>46</v>
      </c>
      <c r="I1916">
        <v>13</v>
      </c>
      <c r="J1916" t="s">
        <v>3910</v>
      </c>
      <c r="K1916">
        <v>49</v>
      </c>
      <c r="L1916" t="s">
        <v>80</v>
      </c>
      <c r="M1916">
        <v>1</v>
      </c>
      <c r="N1916" t="s">
        <v>48</v>
      </c>
      <c r="O1916" t="s">
        <v>81</v>
      </c>
      <c r="P1916" t="s">
        <v>82</v>
      </c>
      <c r="Q1916" s="2">
        <v>26122.19</v>
      </c>
      <c r="R1916" s="2">
        <v>1149.3399999999999</v>
      </c>
      <c r="S1916" t="s">
        <v>36</v>
      </c>
      <c r="T1916" t="s">
        <v>37</v>
      </c>
      <c r="U1916" t="s">
        <v>53</v>
      </c>
      <c r="V1916">
        <v>4.4000000000000004</v>
      </c>
      <c r="W1916" t="s">
        <v>39</v>
      </c>
      <c r="X1916" t="s">
        <v>106</v>
      </c>
      <c r="Y1916" t="s">
        <v>72</v>
      </c>
    </row>
    <row r="1917" spans="1:25" x14ac:dyDescent="0.3">
      <c r="A1917" t="s">
        <v>3911</v>
      </c>
      <c r="B1917" s="1">
        <v>46841</v>
      </c>
      <c r="C1917" t="s">
        <v>57</v>
      </c>
      <c r="D1917" t="s">
        <v>44</v>
      </c>
      <c r="E1917" t="s">
        <v>120</v>
      </c>
      <c r="F1917" t="s">
        <v>28</v>
      </c>
      <c r="G1917" t="s">
        <v>29</v>
      </c>
      <c r="H1917" t="s">
        <v>86</v>
      </c>
      <c r="I1917">
        <v>13</v>
      </c>
      <c r="J1917" t="s">
        <v>3912</v>
      </c>
      <c r="K1917">
        <v>40</v>
      </c>
      <c r="L1917" t="s">
        <v>32</v>
      </c>
      <c r="M1917">
        <v>2</v>
      </c>
      <c r="N1917" t="s">
        <v>64</v>
      </c>
      <c r="O1917" t="s">
        <v>49</v>
      </c>
      <c r="P1917" t="s">
        <v>50</v>
      </c>
      <c r="Q1917" s="2">
        <v>44666.239999999998</v>
      </c>
      <c r="R1917" s="2">
        <v>1453.51</v>
      </c>
      <c r="S1917" t="s">
        <v>94</v>
      </c>
      <c r="T1917" t="s">
        <v>37</v>
      </c>
      <c r="U1917" t="s">
        <v>53</v>
      </c>
      <c r="V1917">
        <v>3.2</v>
      </c>
      <c r="W1917" t="s">
        <v>39</v>
      </c>
      <c r="X1917" t="s">
        <v>65</v>
      </c>
      <c r="Y1917" t="s">
        <v>41</v>
      </c>
    </row>
    <row r="1918" spans="1:25" x14ac:dyDescent="0.3">
      <c r="A1918" t="s">
        <v>3913</v>
      </c>
      <c r="B1918" s="1">
        <v>46842</v>
      </c>
      <c r="C1918" t="s">
        <v>43</v>
      </c>
      <c r="D1918" t="s">
        <v>58</v>
      </c>
      <c r="E1918" t="s">
        <v>4084</v>
      </c>
      <c r="F1918" t="s">
        <v>60</v>
      </c>
      <c r="G1918" t="s">
        <v>29</v>
      </c>
      <c r="H1918" t="s">
        <v>30</v>
      </c>
      <c r="I1918">
        <v>3</v>
      </c>
      <c r="J1918" t="s">
        <v>3914</v>
      </c>
      <c r="K1918">
        <v>34</v>
      </c>
      <c r="L1918" t="s">
        <v>32</v>
      </c>
      <c r="M1918">
        <v>4</v>
      </c>
      <c r="N1918" t="s">
        <v>91</v>
      </c>
      <c r="O1918" t="s">
        <v>81</v>
      </c>
      <c r="P1918" t="s">
        <v>70</v>
      </c>
      <c r="Q1918" s="2">
        <v>41838.230000000003</v>
      </c>
      <c r="R1918" s="2">
        <v>4600.26</v>
      </c>
      <c r="S1918" t="s">
        <v>115</v>
      </c>
      <c r="T1918" t="s">
        <v>52</v>
      </c>
      <c r="U1918" t="s">
        <v>38</v>
      </c>
      <c r="V1918">
        <v>4</v>
      </c>
      <c r="W1918" t="s">
        <v>39</v>
      </c>
      <c r="X1918" t="s">
        <v>65</v>
      </c>
      <c r="Y1918" t="s">
        <v>41</v>
      </c>
    </row>
    <row r="1919" spans="1:25" x14ac:dyDescent="0.3">
      <c r="A1919" t="s">
        <v>3915</v>
      </c>
      <c r="B1919" s="1">
        <v>46843</v>
      </c>
      <c r="C1919" t="s">
        <v>43</v>
      </c>
      <c r="D1919" t="s">
        <v>58</v>
      </c>
      <c r="E1919" t="s">
        <v>89</v>
      </c>
      <c r="F1919" t="s">
        <v>28</v>
      </c>
      <c r="G1919" t="s">
        <v>29</v>
      </c>
      <c r="H1919" t="s">
        <v>61</v>
      </c>
      <c r="I1919">
        <v>8</v>
      </c>
      <c r="J1919" t="s">
        <v>3916</v>
      </c>
      <c r="K1919">
        <v>33</v>
      </c>
      <c r="L1919" t="s">
        <v>32</v>
      </c>
      <c r="M1919">
        <v>1</v>
      </c>
      <c r="N1919" t="s">
        <v>33</v>
      </c>
      <c r="O1919" t="s">
        <v>34</v>
      </c>
      <c r="P1919" t="s">
        <v>50</v>
      </c>
      <c r="Q1919" s="2">
        <v>33330.65</v>
      </c>
      <c r="R1919" s="2">
        <v>4555.25</v>
      </c>
      <c r="S1919" t="s">
        <v>36</v>
      </c>
      <c r="T1919" t="s">
        <v>71</v>
      </c>
      <c r="U1919" t="s">
        <v>38</v>
      </c>
      <c r="V1919">
        <v>4.2</v>
      </c>
      <c r="W1919" t="s">
        <v>39</v>
      </c>
      <c r="X1919" t="s">
        <v>65</v>
      </c>
      <c r="Y1919" t="s">
        <v>72</v>
      </c>
    </row>
    <row r="1920" spans="1:25" x14ac:dyDescent="0.3">
      <c r="A1920" t="s">
        <v>3917</v>
      </c>
      <c r="B1920" s="1">
        <v>46844</v>
      </c>
      <c r="C1920" t="s">
        <v>57</v>
      </c>
      <c r="D1920" t="s">
        <v>44</v>
      </c>
      <c r="E1920" t="s">
        <v>4085</v>
      </c>
      <c r="F1920" t="s">
        <v>60</v>
      </c>
      <c r="G1920" t="s">
        <v>29</v>
      </c>
      <c r="H1920" t="s">
        <v>59</v>
      </c>
      <c r="I1920">
        <v>4</v>
      </c>
      <c r="J1920" t="s">
        <v>3918</v>
      </c>
      <c r="K1920">
        <v>55</v>
      </c>
      <c r="L1920" t="s">
        <v>32</v>
      </c>
      <c r="M1920">
        <v>7</v>
      </c>
      <c r="N1920" t="s">
        <v>48</v>
      </c>
      <c r="O1920" t="s">
        <v>81</v>
      </c>
      <c r="P1920" t="s">
        <v>50</v>
      </c>
      <c r="Q1920" s="2">
        <v>37241.910000000003</v>
      </c>
      <c r="R1920" s="2">
        <v>843.15</v>
      </c>
      <c r="S1920" t="s">
        <v>115</v>
      </c>
      <c r="T1920" t="s">
        <v>37</v>
      </c>
      <c r="U1920" t="s">
        <v>75</v>
      </c>
      <c r="V1920">
        <v>3.1</v>
      </c>
      <c r="W1920" t="s">
        <v>76</v>
      </c>
      <c r="X1920" t="s">
        <v>40</v>
      </c>
      <c r="Y1920" t="s">
        <v>72</v>
      </c>
    </row>
    <row r="1921" spans="1:25" x14ac:dyDescent="0.3">
      <c r="A1921" t="s">
        <v>3919</v>
      </c>
      <c r="B1921" s="1">
        <v>46845</v>
      </c>
      <c r="C1921" t="s">
        <v>43</v>
      </c>
      <c r="D1921" t="s">
        <v>58</v>
      </c>
      <c r="E1921" t="s">
        <v>45</v>
      </c>
      <c r="F1921" t="s">
        <v>28</v>
      </c>
      <c r="G1921" t="s">
        <v>29</v>
      </c>
      <c r="H1921" t="s">
        <v>67</v>
      </c>
      <c r="I1921">
        <v>14</v>
      </c>
      <c r="J1921" t="s">
        <v>3920</v>
      </c>
      <c r="K1921">
        <v>25</v>
      </c>
      <c r="L1921" t="s">
        <v>63</v>
      </c>
      <c r="M1921">
        <v>5</v>
      </c>
      <c r="N1921" t="s">
        <v>48</v>
      </c>
      <c r="O1921" t="s">
        <v>34</v>
      </c>
      <c r="P1921" t="s">
        <v>50</v>
      </c>
      <c r="Q1921" s="2">
        <v>6926.12</v>
      </c>
      <c r="R1921" s="2">
        <v>320.95999999999998</v>
      </c>
      <c r="S1921" t="s">
        <v>115</v>
      </c>
      <c r="T1921" t="s">
        <v>37</v>
      </c>
      <c r="U1921" t="s">
        <v>53</v>
      </c>
      <c r="V1921">
        <v>3.1</v>
      </c>
      <c r="W1921" t="s">
        <v>76</v>
      </c>
      <c r="X1921" t="s">
        <v>55</v>
      </c>
      <c r="Y1921" t="s">
        <v>41</v>
      </c>
    </row>
    <row r="1922" spans="1:25" x14ac:dyDescent="0.3">
      <c r="A1922" t="s">
        <v>3921</v>
      </c>
      <c r="B1922" s="1">
        <v>46846</v>
      </c>
      <c r="C1922" t="s">
        <v>26</v>
      </c>
      <c r="D1922" t="s">
        <v>26</v>
      </c>
      <c r="E1922" t="s">
        <v>4084</v>
      </c>
      <c r="F1922" t="s">
        <v>60</v>
      </c>
      <c r="G1922" t="s">
        <v>29</v>
      </c>
      <c r="H1922" t="s">
        <v>30</v>
      </c>
      <c r="I1922">
        <v>5</v>
      </c>
      <c r="J1922" t="s">
        <v>3922</v>
      </c>
      <c r="K1922">
        <v>36</v>
      </c>
      <c r="L1922" t="s">
        <v>80</v>
      </c>
      <c r="M1922">
        <v>4</v>
      </c>
      <c r="N1922" t="s">
        <v>48</v>
      </c>
      <c r="O1922" t="s">
        <v>34</v>
      </c>
      <c r="P1922" t="s">
        <v>82</v>
      </c>
      <c r="Q1922" s="2">
        <v>38479.629999999997</v>
      </c>
      <c r="R1922" s="2">
        <v>1465.59</v>
      </c>
      <c r="S1922" t="s">
        <v>51</v>
      </c>
      <c r="T1922" t="s">
        <v>71</v>
      </c>
      <c r="U1922" t="s">
        <v>53</v>
      </c>
      <c r="V1922">
        <v>1.8</v>
      </c>
      <c r="W1922" t="s">
        <v>124</v>
      </c>
      <c r="X1922" t="s">
        <v>55</v>
      </c>
      <c r="Y1922" t="s">
        <v>72</v>
      </c>
    </row>
    <row r="1923" spans="1:25" x14ac:dyDescent="0.3">
      <c r="A1923" t="s">
        <v>3923</v>
      </c>
      <c r="B1923" s="1">
        <v>46847</v>
      </c>
      <c r="C1923" t="s">
        <v>117</v>
      </c>
      <c r="D1923" t="s">
        <v>4083</v>
      </c>
      <c r="E1923" t="s">
        <v>120</v>
      </c>
      <c r="F1923" t="s">
        <v>28</v>
      </c>
      <c r="G1923" t="s">
        <v>29</v>
      </c>
      <c r="H1923" t="s">
        <v>86</v>
      </c>
      <c r="I1923">
        <v>6</v>
      </c>
      <c r="J1923" t="s">
        <v>3924</v>
      </c>
      <c r="K1923">
        <v>47</v>
      </c>
      <c r="L1923" t="s">
        <v>80</v>
      </c>
      <c r="M1923">
        <v>7</v>
      </c>
      <c r="N1923" t="s">
        <v>33</v>
      </c>
      <c r="O1923" t="s">
        <v>69</v>
      </c>
      <c r="P1923" t="s">
        <v>70</v>
      </c>
      <c r="Q1923" s="2">
        <v>26877.41</v>
      </c>
      <c r="R1923" s="2">
        <v>2908.88</v>
      </c>
      <c r="S1923" t="s">
        <v>51</v>
      </c>
      <c r="T1923" t="s">
        <v>52</v>
      </c>
      <c r="U1923" t="s">
        <v>38</v>
      </c>
      <c r="V1923">
        <v>2</v>
      </c>
      <c r="W1923" t="s">
        <v>76</v>
      </c>
      <c r="X1923" t="s">
        <v>84</v>
      </c>
      <c r="Y1923" t="s">
        <v>41</v>
      </c>
    </row>
    <row r="1924" spans="1:25" x14ac:dyDescent="0.3">
      <c r="A1924" t="s">
        <v>3925</v>
      </c>
      <c r="B1924" s="1">
        <v>46848</v>
      </c>
      <c r="C1924" t="s">
        <v>26</v>
      </c>
      <c r="D1924" t="s">
        <v>26</v>
      </c>
      <c r="E1924" t="s">
        <v>4085</v>
      </c>
      <c r="F1924" t="s">
        <v>60</v>
      </c>
      <c r="G1924" t="s">
        <v>29</v>
      </c>
      <c r="H1924" t="s">
        <v>59</v>
      </c>
      <c r="I1924">
        <v>8</v>
      </c>
      <c r="J1924" t="s">
        <v>3926</v>
      </c>
      <c r="K1924">
        <v>51</v>
      </c>
      <c r="L1924" t="s">
        <v>63</v>
      </c>
      <c r="M1924">
        <v>1</v>
      </c>
      <c r="N1924" t="s">
        <v>33</v>
      </c>
      <c r="O1924" t="s">
        <v>34</v>
      </c>
      <c r="P1924" t="s">
        <v>50</v>
      </c>
      <c r="Q1924" s="2">
        <v>19298.64</v>
      </c>
      <c r="R1924" s="2">
        <v>4384.46</v>
      </c>
      <c r="S1924" t="s">
        <v>115</v>
      </c>
      <c r="T1924" t="s">
        <v>37</v>
      </c>
      <c r="U1924" t="s">
        <v>38</v>
      </c>
      <c r="V1924">
        <v>4.5999999999999996</v>
      </c>
      <c r="W1924" t="s">
        <v>103</v>
      </c>
      <c r="X1924" t="s">
        <v>106</v>
      </c>
      <c r="Y1924" t="s">
        <v>41</v>
      </c>
    </row>
    <row r="1925" spans="1:25" x14ac:dyDescent="0.3">
      <c r="A1925" t="s">
        <v>3927</v>
      </c>
      <c r="B1925" s="1">
        <v>46849</v>
      </c>
      <c r="C1925" t="s">
        <v>57</v>
      </c>
      <c r="D1925" t="s">
        <v>44</v>
      </c>
      <c r="E1925" t="s">
        <v>120</v>
      </c>
      <c r="F1925" t="s">
        <v>28</v>
      </c>
      <c r="G1925" t="s">
        <v>29</v>
      </c>
      <c r="H1925" t="s">
        <v>86</v>
      </c>
      <c r="I1925">
        <v>8</v>
      </c>
      <c r="J1925" t="s">
        <v>3928</v>
      </c>
      <c r="K1925">
        <v>31</v>
      </c>
      <c r="L1925" t="s">
        <v>63</v>
      </c>
      <c r="M1925">
        <v>5</v>
      </c>
      <c r="N1925" t="s">
        <v>33</v>
      </c>
      <c r="O1925" t="s">
        <v>69</v>
      </c>
      <c r="P1925" t="s">
        <v>70</v>
      </c>
      <c r="Q1925" s="2">
        <v>11289.96</v>
      </c>
      <c r="R1925" s="2">
        <v>594.19000000000005</v>
      </c>
      <c r="S1925" t="s">
        <v>94</v>
      </c>
      <c r="T1925" t="s">
        <v>71</v>
      </c>
      <c r="U1925" t="s">
        <v>53</v>
      </c>
      <c r="V1925">
        <v>4.4000000000000004</v>
      </c>
      <c r="W1925" t="s">
        <v>39</v>
      </c>
      <c r="X1925" t="s">
        <v>84</v>
      </c>
      <c r="Y1925" t="s">
        <v>72</v>
      </c>
    </row>
    <row r="1926" spans="1:25" x14ac:dyDescent="0.3">
      <c r="A1926" t="s">
        <v>3929</v>
      </c>
      <c r="B1926" s="1">
        <v>46850</v>
      </c>
      <c r="C1926" t="s">
        <v>57</v>
      </c>
      <c r="D1926" t="s">
        <v>44</v>
      </c>
      <c r="E1926" t="s">
        <v>120</v>
      </c>
      <c r="F1926" t="s">
        <v>28</v>
      </c>
      <c r="G1926" t="s">
        <v>29</v>
      </c>
      <c r="H1926" t="s">
        <v>86</v>
      </c>
      <c r="I1926">
        <v>9</v>
      </c>
      <c r="J1926" t="s">
        <v>3930</v>
      </c>
      <c r="K1926">
        <v>39</v>
      </c>
      <c r="L1926" t="s">
        <v>63</v>
      </c>
      <c r="M1926">
        <v>7</v>
      </c>
      <c r="N1926" t="s">
        <v>48</v>
      </c>
      <c r="O1926" t="s">
        <v>69</v>
      </c>
      <c r="P1926" t="s">
        <v>70</v>
      </c>
      <c r="Q1926" s="2">
        <v>8384.4</v>
      </c>
      <c r="R1926" s="2">
        <v>2074.79</v>
      </c>
      <c r="S1926" t="s">
        <v>36</v>
      </c>
      <c r="T1926" t="s">
        <v>71</v>
      </c>
      <c r="U1926" t="s">
        <v>53</v>
      </c>
      <c r="V1926">
        <v>1</v>
      </c>
      <c r="W1926" t="s">
        <v>124</v>
      </c>
      <c r="X1926" t="s">
        <v>106</v>
      </c>
      <c r="Y1926" t="s">
        <v>72</v>
      </c>
    </row>
    <row r="1927" spans="1:25" x14ac:dyDescent="0.3">
      <c r="A1927" t="s">
        <v>3931</v>
      </c>
      <c r="B1927" s="1">
        <v>46851</v>
      </c>
      <c r="C1927" t="s">
        <v>26</v>
      </c>
      <c r="D1927" t="s">
        <v>26</v>
      </c>
      <c r="E1927" t="s">
        <v>120</v>
      </c>
      <c r="F1927" t="s">
        <v>28</v>
      </c>
      <c r="G1927" t="s">
        <v>29</v>
      </c>
      <c r="H1927" t="s">
        <v>86</v>
      </c>
      <c r="I1927">
        <v>7</v>
      </c>
      <c r="J1927" t="s">
        <v>3932</v>
      </c>
      <c r="K1927">
        <v>61</v>
      </c>
      <c r="L1927" t="s">
        <v>80</v>
      </c>
      <c r="M1927">
        <v>6</v>
      </c>
      <c r="N1927" t="s">
        <v>64</v>
      </c>
      <c r="O1927" t="s">
        <v>81</v>
      </c>
      <c r="P1927" t="s">
        <v>50</v>
      </c>
      <c r="Q1927" s="2">
        <v>7019.86</v>
      </c>
      <c r="R1927" s="2">
        <v>1358.75</v>
      </c>
      <c r="S1927" t="s">
        <v>36</v>
      </c>
      <c r="T1927" t="s">
        <v>37</v>
      </c>
      <c r="U1927" t="s">
        <v>83</v>
      </c>
      <c r="V1927">
        <v>4.5</v>
      </c>
      <c r="W1927" t="s">
        <v>103</v>
      </c>
      <c r="X1927" t="s">
        <v>65</v>
      </c>
      <c r="Y1927" t="s">
        <v>72</v>
      </c>
    </row>
    <row r="1928" spans="1:25" x14ac:dyDescent="0.3">
      <c r="A1928" t="s">
        <v>3933</v>
      </c>
      <c r="B1928" s="1">
        <v>46852</v>
      </c>
      <c r="C1928" t="s">
        <v>43</v>
      </c>
      <c r="D1928" t="s">
        <v>58</v>
      </c>
      <c r="E1928" t="s">
        <v>89</v>
      </c>
      <c r="F1928" t="s">
        <v>28</v>
      </c>
      <c r="G1928" t="s">
        <v>29</v>
      </c>
      <c r="H1928" t="s">
        <v>61</v>
      </c>
      <c r="I1928">
        <v>9</v>
      </c>
      <c r="J1928" t="s">
        <v>3934</v>
      </c>
      <c r="K1928">
        <v>34</v>
      </c>
      <c r="L1928" t="s">
        <v>80</v>
      </c>
      <c r="M1928">
        <v>2</v>
      </c>
      <c r="N1928" t="s">
        <v>91</v>
      </c>
      <c r="O1928" t="s">
        <v>69</v>
      </c>
      <c r="P1928" t="s">
        <v>50</v>
      </c>
      <c r="Q1928" s="2">
        <v>12280.83</v>
      </c>
      <c r="R1928" s="2">
        <v>74.64</v>
      </c>
      <c r="S1928" t="s">
        <v>36</v>
      </c>
      <c r="T1928" t="s">
        <v>37</v>
      </c>
      <c r="U1928" t="s">
        <v>38</v>
      </c>
      <c r="V1928">
        <v>1.1000000000000001</v>
      </c>
      <c r="W1928" t="s">
        <v>124</v>
      </c>
      <c r="X1928" t="s">
        <v>106</v>
      </c>
      <c r="Y1928" t="s">
        <v>41</v>
      </c>
    </row>
    <row r="1929" spans="1:25" x14ac:dyDescent="0.3">
      <c r="A1929" t="s">
        <v>3935</v>
      </c>
      <c r="B1929" s="1">
        <v>46853</v>
      </c>
      <c r="C1929" t="s">
        <v>43</v>
      </c>
      <c r="D1929" t="s">
        <v>58</v>
      </c>
      <c r="E1929" t="s">
        <v>89</v>
      </c>
      <c r="F1929" t="s">
        <v>28</v>
      </c>
      <c r="G1929" t="s">
        <v>29</v>
      </c>
      <c r="H1929" t="s">
        <v>61</v>
      </c>
      <c r="I1929">
        <v>4</v>
      </c>
      <c r="J1929" t="s">
        <v>3936</v>
      </c>
      <c r="K1929">
        <v>32</v>
      </c>
      <c r="L1929" t="s">
        <v>80</v>
      </c>
      <c r="M1929">
        <v>5</v>
      </c>
      <c r="N1929" t="s">
        <v>33</v>
      </c>
      <c r="O1929" t="s">
        <v>49</v>
      </c>
      <c r="P1929" t="s">
        <v>35</v>
      </c>
      <c r="Q1929" s="2">
        <v>6356.47</v>
      </c>
      <c r="R1929" s="2">
        <v>3942.23</v>
      </c>
      <c r="S1929" t="s">
        <v>51</v>
      </c>
      <c r="T1929" t="s">
        <v>37</v>
      </c>
      <c r="U1929" t="s">
        <v>75</v>
      </c>
      <c r="V1929">
        <v>2.8</v>
      </c>
      <c r="W1929" t="s">
        <v>76</v>
      </c>
      <c r="X1929" t="s">
        <v>106</v>
      </c>
      <c r="Y1929" t="s">
        <v>72</v>
      </c>
    </row>
    <row r="1930" spans="1:25" x14ac:dyDescent="0.3">
      <c r="A1930" t="s">
        <v>3937</v>
      </c>
      <c r="B1930" s="1">
        <v>46854</v>
      </c>
      <c r="C1930" t="s">
        <v>57</v>
      </c>
      <c r="D1930" t="s">
        <v>44</v>
      </c>
      <c r="E1930" t="s">
        <v>45</v>
      </c>
      <c r="F1930" t="s">
        <v>28</v>
      </c>
      <c r="G1930" t="s">
        <v>29</v>
      </c>
      <c r="H1930" t="s">
        <v>67</v>
      </c>
      <c r="I1930">
        <v>3</v>
      </c>
      <c r="J1930" t="s">
        <v>3938</v>
      </c>
      <c r="K1930">
        <v>67</v>
      </c>
      <c r="L1930" t="s">
        <v>32</v>
      </c>
      <c r="M1930">
        <v>1</v>
      </c>
      <c r="N1930" t="s">
        <v>64</v>
      </c>
      <c r="O1930" t="s">
        <v>34</v>
      </c>
      <c r="P1930" t="s">
        <v>82</v>
      </c>
      <c r="Q1930" s="2">
        <v>37968.9</v>
      </c>
      <c r="R1930" s="2">
        <v>4066.42</v>
      </c>
      <c r="S1930" t="s">
        <v>51</v>
      </c>
      <c r="T1930" t="s">
        <v>52</v>
      </c>
      <c r="U1930" t="s">
        <v>75</v>
      </c>
      <c r="V1930">
        <v>1.3</v>
      </c>
      <c r="W1930" t="s">
        <v>124</v>
      </c>
      <c r="X1930" t="s">
        <v>65</v>
      </c>
      <c r="Y1930" t="s">
        <v>72</v>
      </c>
    </row>
    <row r="1931" spans="1:25" x14ac:dyDescent="0.3">
      <c r="A1931" t="s">
        <v>3939</v>
      </c>
      <c r="B1931" s="1">
        <v>46855</v>
      </c>
      <c r="C1931" t="s">
        <v>78</v>
      </c>
      <c r="D1931" t="s">
        <v>58</v>
      </c>
      <c r="E1931" t="s">
        <v>4085</v>
      </c>
      <c r="F1931" t="s">
        <v>60</v>
      </c>
      <c r="G1931" t="s">
        <v>29</v>
      </c>
      <c r="H1931" t="s">
        <v>59</v>
      </c>
      <c r="I1931">
        <v>14</v>
      </c>
      <c r="J1931" t="s">
        <v>3940</v>
      </c>
      <c r="K1931">
        <v>65</v>
      </c>
      <c r="L1931" t="s">
        <v>63</v>
      </c>
      <c r="M1931">
        <v>3</v>
      </c>
      <c r="N1931" t="s">
        <v>91</v>
      </c>
      <c r="O1931" t="s">
        <v>49</v>
      </c>
      <c r="P1931" t="s">
        <v>70</v>
      </c>
      <c r="Q1931" s="2">
        <v>16187.64</v>
      </c>
      <c r="R1931" s="2">
        <v>1106.1500000000001</v>
      </c>
      <c r="S1931" t="s">
        <v>36</v>
      </c>
      <c r="T1931" t="s">
        <v>52</v>
      </c>
      <c r="U1931" t="s">
        <v>53</v>
      </c>
      <c r="V1931">
        <v>4.9000000000000004</v>
      </c>
      <c r="W1931" t="s">
        <v>103</v>
      </c>
      <c r="X1931" t="s">
        <v>84</v>
      </c>
      <c r="Y1931" t="s">
        <v>72</v>
      </c>
    </row>
    <row r="1932" spans="1:25" x14ac:dyDescent="0.3">
      <c r="A1932" t="s">
        <v>3941</v>
      </c>
      <c r="B1932" s="1">
        <v>46856</v>
      </c>
      <c r="C1932" t="s">
        <v>43</v>
      </c>
      <c r="D1932" t="s">
        <v>58</v>
      </c>
      <c r="E1932" t="s">
        <v>4084</v>
      </c>
      <c r="F1932" t="s">
        <v>60</v>
      </c>
      <c r="G1932" t="s">
        <v>29</v>
      </c>
      <c r="H1932" t="s">
        <v>30</v>
      </c>
      <c r="I1932">
        <v>12</v>
      </c>
      <c r="J1932" t="s">
        <v>3942</v>
      </c>
      <c r="K1932">
        <v>49</v>
      </c>
      <c r="L1932" t="s">
        <v>63</v>
      </c>
      <c r="M1932">
        <v>7</v>
      </c>
      <c r="N1932" t="s">
        <v>48</v>
      </c>
      <c r="O1932" t="s">
        <v>69</v>
      </c>
      <c r="P1932" t="s">
        <v>50</v>
      </c>
      <c r="Q1932" s="2">
        <v>21593.32</v>
      </c>
      <c r="R1932" s="2">
        <v>756.2</v>
      </c>
      <c r="S1932" t="s">
        <v>115</v>
      </c>
      <c r="T1932" t="s">
        <v>71</v>
      </c>
      <c r="U1932" t="s">
        <v>38</v>
      </c>
      <c r="V1932">
        <v>4.9000000000000004</v>
      </c>
      <c r="W1932" t="s">
        <v>103</v>
      </c>
      <c r="X1932" t="s">
        <v>106</v>
      </c>
      <c r="Y1932" t="s">
        <v>41</v>
      </c>
    </row>
    <row r="1933" spans="1:25" x14ac:dyDescent="0.3">
      <c r="A1933" t="s">
        <v>3943</v>
      </c>
      <c r="B1933" s="1">
        <v>46857</v>
      </c>
      <c r="C1933" t="s">
        <v>26</v>
      </c>
      <c r="D1933" t="s">
        <v>26</v>
      </c>
      <c r="E1933" t="s">
        <v>4084</v>
      </c>
      <c r="F1933" t="s">
        <v>60</v>
      </c>
      <c r="G1933" t="s">
        <v>29</v>
      </c>
      <c r="H1933" t="s">
        <v>30</v>
      </c>
      <c r="I1933">
        <v>10</v>
      </c>
      <c r="J1933" t="s">
        <v>3944</v>
      </c>
      <c r="K1933">
        <v>30</v>
      </c>
      <c r="L1933" t="s">
        <v>63</v>
      </c>
      <c r="M1933">
        <v>1</v>
      </c>
      <c r="N1933" t="s">
        <v>64</v>
      </c>
      <c r="O1933" t="s">
        <v>81</v>
      </c>
      <c r="P1933" t="s">
        <v>50</v>
      </c>
      <c r="Q1933" s="2">
        <v>42022.23</v>
      </c>
      <c r="R1933" s="2">
        <v>722.8</v>
      </c>
      <c r="S1933" t="s">
        <v>51</v>
      </c>
      <c r="T1933" t="s">
        <v>71</v>
      </c>
      <c r="U1933" t="s">
        <v>75</v>
      </c>
      <c r="V1933">
        <v>3.4</v>
      </c>
      <c r="W1933" t="s">
        <v>76</v>
      </c>
      <c r="X1933" t="s">
        <v>84</v>
      </c>
      <c r="Y1933" t="s">
        <v>72</v>
      </c>
    </row>
    <row r="1934" spans="1:25" x14ac:dyDescent="0.3">
      <c r="A1934" t="s">
        <v>3945</v>
      </c>
      <c r="B1934" s="1">
        <v>46858</v>
      </c>
      <c r="C1934" t="s">
        <v>43</v>
      </c>
      <c r="D1934" t="s">
        <v>58</v>
      </c>
      <c r="E1934" t="s">
        <v>4084</v>
      </c>
      <c r="F1934" t="s">
        <v>60</v>
      </c>
      <c r="G1934" t="s">
        <v>29</v>
      </c>
      <c r="H1934" t="s">
        <v>27</v>
      </c>
      <c r="I1934">
        <v>3</v>
      </c>
      <c r="J1934" t="s">
        <v>3946</v>
      </c>
      <c r="K1934">
        <v>38</v>
      </c>
      <c r="L1934" t="s">
        <v>80</v>
      </c>
      <c r="M1934">
        <v>3</v>
      </c>
      <c r="N1934" t="s">
        <v>48</v>
      </c>
      <c r="O1934" t="s">
        <v>34</v>
      </c>
      <c r="P1934" t="s">
        <v>70</v>
      </c>
      <c r="Q1934" s="2">
        <v>10159.59</v>
      </c>
      <c r="R1934" s="2">
        <v>2319.7399999999998</v>
      </c>
      <c r="S1934" t="s">
        <v>36</v>
      </c>
      <c r="T1934" t="s">
        <v>37</v>
      </c>
      <c r="U1934" t="s">
        <v>38</v>
      </c>
      <c r="V1934">
        <v>2.6</v>
      </c>
      <c r="W1934" t="s">
        <v>76</v>
      </c>
      <c r="X1934" t="s">
        <v>84</v>
      </c>
      <c r="Y1934" t="s">
        <v>72</v>
      </c>
    </row>
    <row r="1935" spans="1:25" x14ac:dyDescent="0.3">
      <c r="A1935" t="s">
        <v>3947</v>
      </c>
      <c r="B1935" s="1">
        <v>46859</v>
      </c>
      <c r="C1935" t="s">
        <v>26</v>
      </c>
      <c r="D1935" t="s">
        <v>26</v>
      </c>
      <c r="E1935" t="s">
        <v>120</v>
      </c>
      <c r="F1935" t="s">
        <v>28</v>
      </c>
      <c r="G1935" t="s">
        <v>29</v>
      </c>
      <c r="H1935" t="s">
        <v>86</v>
      </c>
      <c r="I1935">
        <v>14</v>
      </c>
      <c r="J1935" t="s">
        <v>3948</v>
      </c>
      <c r="K1935">
        <v>66</v>
      </c>
      <c r="L1935" t="s">
        <v>63</v>
      </c>
      <c r="M1935">
        <v>2</v>
      </c>
      <c r="N1935" t="s">
        <v>91</v>
      </c>
      <c r="O1935" t="s">
        <v>49</v>
      </c>
      <c r="P1935" t="s">
        <v>50</v>
      </c>
      <c r="Q1935" s="2">
        <v>42601.73</v>
      </c>
      <c r="R1935" s="2">
        <v>1232.48</v>
      </c>
      <c r="S1935" t="s">
        <v>115</v>
      </c>
      <c r="T1935" t="s">
        <v>71</v>
      </c>
      <c r="U1935" t="s">
        <v>53</v>
      </c>
      <c r="V1935">
        <v>3</v>
      </c>
      <c r="W1935" t="s">
        <v>39</v>
      </c>
      <c r="X1935" t="s">
        <v>55</v>
      </c>
      <c r="Y1935" t="s">
        <v>41</v>
      </c>
    </row>
    <row r="1936" spans="1:25" x14ac:dyDescent="0.3">
      <c r="A1936" t="s">
        <v>3949</v>
      </c>
      <c r="B1936" s="1">
        <v>46860</v>
      </c>
      <c r="C1936" t="s">
        <v>57</v>
      </c>
      <c r="D1936" t="s">
        <v>44</v>
      </c>
      <c r="E1936" t="s">
        <v>89</v>
      </c>
      <c r="F1936" t="s">
        <v>28</v>
      </c>
      <c r="G1936" t="s">
        <v>29</v>
      </c>
      <c r="H1936" t="s">
        <v>61</v>
      </c>
      <c r="I1936">
        <v>4</v>
      </c>
      <c r="J1936" t="s">
        <v>3950</v>
      </c>
      <c r="K1936">
        <v>57</v>
      </c>
      <c r="L1936" t="s">
        <v>63</v>
      </c>
      <c r="M1936">
        <v>2</v>
      </c>
      <c r="N1936" t="s">
        <v>33</v>
      </c>
      <c r="O1936" t="s">
        <v>81</v>
      </c>
      <c r="P1936" t="s">
        <v>35</v>
      </c>
      <c r="Q1936" s="2">
        <v>33779.32</v>
      </c>
      <c r="R1936" s="2">
        <v>2556.7800000000002</v>
      </c>
      <c r="S1936" t="s">
        <v>36</v>
      </c>
      <c r="T1936" t="s">
        <v>52</v>
      </c>
      <c r="U1936" t="s">
        <v>53</v>
      </c>
      <c r="V1936">
        <v>4</v>
      </c>
      <c r="W1936" t="s">
        <v>54</v>
      </c>
      <c r="X1936" t="s">
        <v>65</v>
      </c>
      <c r="Y1936" t="s">
        <v>72</v>
      </c>
    </row>
    <row r="1937" spans="1:25" x14ac:dyDescent="0.3">
      <c r="A1937" t="s">
        <v>3951</v>
      </c>
      <c r="B1937" s="1">
        <v>46861</v>
      </c>
      <c r="C1937" t="s">
        <v>43</v>
      </c>
      <c r="D1937" t="s">
        <v>58</v>
      </c>
      <c r="E1937" t="s">
        <v>4085</v>
      </c>
      <c r="F1937" t="s">
        <v>60</v>
      </c>
      <c r="G1937" t="s">
        <v>29</v>
      </c>
      <c r="H1937" t="s">
        <v>59</v>
      </c>
      <c r="I1937">
        <v>13</v>
      </c>
      <c r="J1937" t="s">
        <v>3952</v>
      </c>
      <c r="K1937">
        <v>50</v>
      </c>
      <c r="L1937" t="s">
        <v>32</v>
      </c>
      <c r="M1937">
        <v>4</v>
      </c>
      <c r="N1937" t="s">
        <v>48</v>
      </c>
      <c r="O1937" t="s">
        <v>69</v>
      </c>
      <c r="P1937" t="s">
        <v>70</v>
      </c>
      <c r="Q1937" s="2">
        <v>20391.330000000002</v>
      </c>
      <c r="R1937" s="2">
        <v>1924.26</v>
      </c>
      <c r="S1937" t="s">
        <v>51</v>
      </c>
      <c r="T1937" t="s">
        <v>71</v>
      </c>
      <c r="U1937" t="s">
        <v>53</v>
      </c>
      <c r="V1937">
        <v>1.9</v>
      </c>
      <c r="W1937" t="s">
        <v>124</v>
      </c>
      <c r="X1937" t="s">
        <v>65</v>
      </c>
      <c r="Y1937" t="s">
        <v>41</v>
      </c>
    </row>
    <row r="1938" spans="1:25" x14ac:dyDescent="0.3">
      <c r="A1938" t="s">
        <v>3953</v>
      </c>
      <c r="B1938" s="1">
        <v>46862</v>
      </c>
      <c r="C1938" t="s">
        <v>26</v>
      </c>
      <c r="D1938" t="s">
        <v>26</v>
      </c>
      <c r="E1938" t="s">
        <v>120</v>
      </c>
      <c r="F1938" t="s">
        <v>28</v>
      </c>
      <c r="G1938" t="s">
        <v>29</v>
      </c>
      <c r="H1938" t="s">
        <v>86</v>
      </c>
      <c r="I1938">
        <v>14</v>
      </c>
      <c r="J1938" t="s">
        <v>3954</v>
      </c>
      <c r="K1938">
        <v>44</v>
      </c>
      <c r="L1938" t="s">
        <v>80</v>
      </c>
      <c r="M1938">
        <v>7</v>
      </c>
      <c r="N1938" t="s">
        <v>64</v>
      </c>
      <c r="O1938" t="s">
        <v>81</v>
      </c>
      <c r="P1938" t="s">
        <v>50</v>
      </c>
      <c r="Q1938" s="2">
        <v>10301.32</v>
      </c>
      <c r="R1938" s="2">
        <v>1054.45</v>
      </c>
      <c r="S1938" t="s">
        <v>94</v>
      </c>
      <c r="T1938" t="s">
        <v>71</v>
      </c>
      <c r="U1938" t="s">
        <v>38</v>
      </c>
      <c r="V1938">
        <v>2.8</v>
      </c>
      <c r="W1938" t="s">
        <v>76</v>
      </c>
      <c r="X1938" t="s">
        <v>40</v>
      </c>
      <c r="Y1938" t="s">
        <v>72</v>
      </c>
    </row>
    <row r="1939" spans="1:25" x14ac:dyDescent="0.3">
      <c r="A1939" t="s">
        <v>3955</v>
      </c>
      <c r="B1939" s="1">
        <v>46863</v>
      </c>
      <c r="C1939" t="s">
        <v>57</v>
      </c>
      <c r="D1939" t="s">
        <v>44</v>
      </c>
      <c r="E1939" t="s">
        <v>89</v>
      </c>
      <c r="F1939" t="s">
        <v>28</v>
      </c>
      <c r="G1939" t="s">
        <v>29</v>
      </c>
      <c r="H1939" t="s">
        <v>61</v>
      </c>
      <c r="I1939">
        <v>12</v>
      </c>
      <c r="J1939" t="s">
        <v>3956</v>
      </c>
      <c r="K1939">
        <v>52</v>
      </c>
      <c r="L1939" t="s">
        <v>63</v>
      </c>
      <c r="M1939">
        <v>4</v>
      </c>
      <c r="N1939" t="s">
        <v>33</v>
      </c>
      <c r="O1939" t="s">
        <v>49</v>
      </c>
      <c r="P1939" t="s">
        <v>70</v>
      </c>
      <c r="Q1939" s="2">
        <v>9117.17</v>
      </c>
      <c r="R1939" s="2">
        <v>3755.96</v>
      </c>
      <c r="S1939" t="s">
        <v>94</v>
      </c>
      <c r="T1939" t="s">
        <v>37</v>
      </c>
      <c r="U1939" t="s">
        <v>75</v>
      </c>
      <c r="V1939">
        <v>3.9</v>
      </c>
      <c r="W1939" t="s">
        <v>54</v>
      </c>
      <c r="X1939" t="s">
        <v>84</v>
      </c>
      <c r="Y1939" t="s">
        <v>41</v>
      </c>
    </row>
    <row r="1940" spans="1:25" x14ac:dyDescent="0.3">
      <c r="A1940" t="s">
        <v>3957</v>
      </c>
      <c r="B1940" s="1">
        <v>46864</v>
      </c>
      <c r="C1940" t="s">
        <v>78</v>
      </c>
      <c r="D1940" t="s">
        <v>58</v>
      </c>
      <c r="E1940" t="s">
        <v>89</v>
      </c>
      <c r="F1940" t="s">
        <v>28</v>
      </c>
      <c r="G1940" t="s">
        <v>29</v>
      </c>
      <c r="H1940" t="s">
        <v>61</v>
      </c>
      <c r="I1940">
        <v>8</v>
      </c>
      <c r="J1940" t="s">
        <v>3958</v>
      </c>
      <c r="K1940">
        <v>33</v>
      </c>
      <c r="L1940" t="s">
        <v>80</v>
      </c>
      <c r="M1940">
        <v>3</v>
      </c>
      <c r="N1940" t="s">
        <v>64</v>
      </c>
      <c r="O1940" t="s">
        <v>81</v>
      </c>
      <c r="P1940" t="s">
        <v>50</v>
      </c>
      <c r="Q1940" s="2">
        <v>20098.150000000001</v>
      </c>
      <c r="R1940" s="2">
        <v>751.82</v>
      </c>
      <c r="S1940" t="s">
        <v>51</v>
      </c>
      <c r="T1940" t="s">
        <v>37</v>
      </c>
      <c r="U1940" t="s">
        <v>83</v>
      </c>
      <c r="V1940">
        <v>2.6</v>
      </c>
      <c r="W1940" t="s">
        <v>76</v>
      </c>
      <c r="X1940" t="s">
        <v>40</v>
      </c>
      <c r="Y1940" t="s">
        <v>41</v>
      </c>
    </row>
    <row r="1941" spans="1:25" x14ac:dyDescent="0.3">
      <c r="A1941" t="s">
        <v>3959</v>
      </c>
      <c r="B1941" s="1">
        <v>46865</v>
      </c>
      <c r="C1941" t="s">
        <v>26</v>
      </c>
      <c r="D1941" t="s">
        <v>26</v>
      </c>
      <c r="E1941" t="s">
        <v>4085</v>
      </c>
      <c r="F1941" t="s">
        <v>60</v>
      </c>
      <c r="G1941" t="s">
        <v>29</v>
      </c>
      <c r="H1941" t="s">
        <v>59</v>
      </c>
      <c r="I1941">
        <v>3</v>
      </c>
      <c r="J1941" t="s">
        <v>3960</v>
      </c>
      <c r="K1941">
        <v>45</v>
      </c>
      <c r="L1941" t="s">
        <v>80</v>
      </c>
      <c r="M1941">
        <v>3</v>
      </c>
      <c r="N1941" t="s">
        <v>91</v>
      </c>
      <c r="O1941" t="s">
        <v>49</v>
      </c>
      <c r="P1941" t="s">
        <v>50</v>
      </c>
      <c r="Q1941" s="2">
        <v>11315.39</v>
      </c>
      <c r="R1941" s="2">
        <v>3994.51</v>
      </c>
      <c r="S1941" t="s">
        <v>115</v>
      </c>
      <c r="T1941" t="s">
        <v>52</v>
      </c>
      <c r="U1941" t="s">
        <v>75</v>
      </c>
      <c r="V1941">
        <v>1.1000000000000001</v>
      </c>
      <c r="W1941" t="s">
        <v>124</v>
      </c>
      <c r="X1941" t="s">
        <v>65</v>
      </c>
      <c r="Y1941" t="s">
        <v>41</v>
      </c>
    </row>
    <row r="1942" spans="1:25" x14ac:dyDescent="0.3">
      <c r="A1942" t="s">
        <v>3961</v>
      </c>
      <c r="B1942" s="1">
        <v>46866</v>
      </c>
      <c r="C1942" t="s">
        <v>78</v>
      </c>
      <c r="D1942" t="s">
        <v>58</v>
      </c>
      <c r="E1942" t="s">
        <v>4085</v>
      </c>
      <c r="F1942" t="s">
        <v>60</v>
      </c>
      <c r="G1942" t="s">
        <v>29</v>
      </c>
      <c r="H1942" t="s">
        <v>59</v>
      </c>
      <c r="I1942">
        <v>12</v>
      </c>
      <c r="J1942" t="s">
        <v>3962</v>
      </c>
      <c r="K1942">
        <v>51</v>
      </c>
      <c r="L1942" t="s">
        <v>80</v>
      </c>
      <c r="M1942">
        <v>2</v>
      </c>
      <c r="N1942" t="s">
        <v>91</v>
      </c>
      <c r="O1942" t="s">
        <v>81</v>
      </c>
      <c r="P1942" t="s">
        <v>82</v>
      </c>
      <c r="Q1942" s="2">
        <v>17046.96</v>
      </c>
      <c r="R1942" s="2">
        <v>2807.23</v>
      </c>
      <c r="S1942" t="s">
        <v>36</v>
      </c>
      <c r="T1942" t="s">
        <v>71</v>
      </c>
      <c r="U1942" t="s">
        <v>38</v>
      </c>
      <c r="V1942">
        <v>3</v>
      </c>
      <c r="W1942" t="s">
        <v>76</v>
      </c>
      <c r="X1942" t="s">
        <v>65</v>
      </c>
      <c r="Y1942" t="s">
        <v>72</v>
      </c>
    </row>
    <row r="1943" spans="1:25" x14ac:dyDescent="0.3">
      <c r="A1943" t="s">
        <v>3963</v>
      </c>
      <c r="B1943" s="1">
        <v>46867</v>
      </c>
      <c r="C1943" t="s">
        <v>78</v>
      </c>
      <c r="D1943" t="s">
        <v>58</v>
      </c>
      <c r="E1943" t="s">
        <v>4085</v>
      </c>
      <c r="F1943" t="s">
        <v>60</v>
      </c>
      <c r="G1943" t="s">
        <v>29</v>
      </c>
      <c r="H1943" t="s">
        <v>59</v>
      </c>
      <c r="I1943">
        <v>5</v>
      </c>
      <c r="J1943" t="s">
        <v>3964</v>
      </c>
      <c r="K1943">
        <v>64</v>
      </c>
      <c r="L1943" t="s">
        <v>32</v>
      </c>
      <c r="M1943">
        <v>5</v>
      </c>
      <c r="N1943" t="s">
        <v>33</v>
      </c>
      <c r="O1943" t="s">
        <v>34</v>
      </c>
      <c r="P1943" t="s">
        <v>70</v>
      </c>
      <c r="Q1943" s="2">
        <v>7383.01</v>
      </c>
      <c r="R1943" s="2">
        <v>4160.1899999999996</v>
      </c>
      <c r="S1943" t="s">
        <v>51</v>
      </c>
      <c r="T1943" t="s">
        <v>71</v>
      </c>
      <c r="U1943" t="s">
        <v>75</v>
      </c>
      <c r="V1943">
        <v>3.9</v>
      </c>
      <c r="W1943" t="s">
        <v>39</v>
      </c>
      <c r="X1943" t="s">
        <v>40</v>
      </c>
      <c r="Y1943" t="s">
        <v>72</v>
      </c>
    </row>
    <row r="1944" spans="1:25" x14ac:dyDescent="0.3">
      <c r="A1944" t="s">
        <v>3965</v>
      </c>
      <c r="B1944" s="1">
        <v>46868</v>
      </c>
      <c r="C1944" t="s">
        <v>117</v>
      </c>
      <c r="D1944" t="s">
        <v>4083</v>
      </c>
      <c r="E1944" t="s">
        <v>120</v>
      </c>
      <c r="F1944" t="s">
        <v>28</v>
      </c>
      <c r="G1944" t="s">
        <v>29</v>
      </c>
      <c r="H1944" t="s">
        <v>86</v>
      </c>
      <c r="I1944">
        <v>9</v>
      </c>
      <c r="J1944" t="s">
        <v>3966</v>
      </c>
      <c r="K1944">
        <v>18</v>
      </c>
      <c r="L1944" t="s">
        <v>80</v>
      </c>
      <c r="M1944">
        <v>3</v>
      </c>
      <c r="N1944" t="s">
        <v>64</v>
      </c>
      <c r="O1944" t="s">
        <v>81</v>
      </c>
      <c r="P1944" t="s">
        <v>82</v>
      </c>
      <c r="Q1944" s="2">
        <v>31775.38</v>
      </c>
      <c r="R1944" s="2">
        <v>23.8</v>
      </c>
      <c r="S1944" t="s">
        <v>115</v>
      </c>
      <c r="T1944" t="s">
        <v>71</v>
      </c>
      <c r="U1944" t="s">
        <v>83</v>
      </c>
      <c r="V1944">
        <v>4.9000000000000004</v>
      </c>
      <c r="W1944" t="s">
        <v>103</v>
      </c>
      <c r="X1944" t="s">
        <v>65</v>
      </c>
      <c r="Y1944" t="s">
        <v>41</v>
      </c>
    </row>
    <row r="1945" spans="1:25" x14ac:dyDescent="0.3">
      <c r="A1945" t="s">
        <v>3967</v>
      </c>
      <c r="B1945" s="1">
        <v>46869</v>
      </c>
      <c r="C1945" t="s">
        <v>43</v>
      </c>
      <c r="D1945" t="s">
        <v>58</v>
      </c>
      <c r="E1945" t="s">
        <v>45</v>
      </c>
      <c r="F1945" t="s">
        <v>28</v>
      </c>
      <c r="G1945" t="s">
        <v>29</v>
      </c>
      <c r="H1945" t="s">
        <v>67</v>
      </c>
      <c r="I1945">
        <v>14</v>
      </c>
      <c r="J1945" t="s">
        <v>3968</v>
      </c>
      <c r="K1945">
        <v>58</v>
      </c>
      <c r="L1945" t="s">
        <v>80</v>
      </c>
      <c r="M1945">
        <v>3</v>
      </c>
      <c r="N1945" t="s">
        <v>64</v>
      </c>
      <c r="O1945" t="s">
        <v>34</v>
      </c>
      <c r="P1945" t="s">
        <v>50</v>
      </c>
      <c r="Q1945" s="2">
        <v>11537.43</v>
      </c>
      <c r="R1945" s="2">
        <v>3745.94</v>
      </c>
      <c r="S1945" t="s">
        <v>36</v>
      </c>
      <c r="T1945" t="s">
        <v>37</v>
      </c>
      <c r="U1945" t="s">
        <v>75</v>
      </c>
      <c r="V1945">
        <v>1.1000000000000001</v>
      </c>
      <c r="W1945" t="s">
        <v>124</v>
      </c>
      <c r="X1945" t="s">
        <v>65</v>
      </c>
      <c r="Y1945" t="s">
        <v>72</v>
      </c>
    </row>
    <row r="1946" spans="1:25" x14ac:dyDescent="0.3">
      <c r="A1946" t="s">
        <v>3969</v>
      </c>
      <c r="B1946" s="1">
        <v>46870</v>
      </c>
      <c r="C1946" t="s">
        <v>26</v>
      </c>
      <c r="D1946" t="s">
        <v>26</v>
      </c>
      <c r="E1946" t="s">
        <v>4085</v>
      </c>
      <c r="F1946" t="s">
        <v>60</v>
      </c>
      <c r="G1946" t="s">
        <v>29</v>
      </c>
      <c r="H1946" t="s">
        <v>46</v>
      </c>
      <c r="I1946">
        <v>10</v>
      </c>
      <c r="J1946" t="s">
        <v>3970</v>
      </c>
      <c r="K1946">
        <v>65</v>
      </c>
      <c r="L1946" t="s">
        <v>80</v>
      </c>
      <c r="M1946">
        <v>7</v>
      </c>
      <c r="N1946" t="s">
        <v>64</v>
      </c>
      <c r="O1946" t="s">
        <v>49</v>
      </c>
      <c r="P1946" t="s">
        <v>70</v>
      </c>
      <c r="Q1946" s="2">
        <v>39052.949999999997</v>
      </c>
      <c r="R1946" s="2">
        <v>257.58</v>
      </c>
      <c r="S1946" t="s">
        <v>36</v>
      </c>
      <c r="T1946" t="s">
        <v>52</v>
      </c>
      <c r="U1946" t="s">
        <v>83</v>
      </c>
      <c r="V1946">
        <v>3.2</v>
      </c>
      <c r="W1946" t="s">
        <v>76</v>
      </c>
      <c r="X1946" t="s">
        <v>55</v>
      </c>
      <c r="Y1946" t="s">
        <v>72</v>
      </c>
    </row>
    <row r="1947" spans="1:25" x14ac:dyDescent="0.3">
      <c r="A1947" t="s">
        <v>3971</v>
      </c>
      <c r="B1947" s="1">
        <v>46871</v>
      </c>
      <c r="C1947" t="s">
        <v>78</v>
      </c>
      <c r="D1947" t="s">
        <v>58</v>
      </c>
      <c r="E1947" t="s">
        <v>45</v>
      </c>
      <c r="F1947" t="s">
        <v>28</v>
      </c>
      <c r="G1947" t="s">
        <v>29</v>
      </c>
      <c r="H1947" t="s">
        <v>67</v>
      </c>
      <c r="I1947">
        <v>6</v>
      </c>
      <c r="J1947" t="s">
        <v>3972</v>
      </c>
      <c r="K1947">
        <v>48</v>
      </c>
      <c r="L1947" t="s">
        <v>63</v>
      </c>
      <c r="M1947">
        <v>5</v>
      </c>
      <c r="N1947" t="s">
        <v>64</v>
      </c>
      <c r="O1947" t="s">
        <v>34</v>
      </c>
      <c r="P1947" t="s">
        <v>70</v>
      </c>
      <c r="Q1947" s="2">
        <v>14817.87</v>
      </c>
      <c r="R1947" s="2">
        <v>4750.49</v>
      </c>
      <c r="S1947" t="s">
        <v>51</v>
      </c>
      <c r="T1947" t="s">
        <v>71</v>
      </c>
      <c r="U1947" t="s">
        <v>38</v>
      </c>
      <c r="V1947">
        <v>2.8</v>
      </c>
      <c r="W1947" t="s">
        <v>76</v>
      </c>
      <c r="X1947" t="s">
        <v>106</v>
      </c>
      <c r="Y1947" t="s">
        <v>72</v>
      </c>
    </row>
    <row r="1948" spans="1:25" x14ac:dyDescent="0.3">
      <c r="A1948" t="s">
        <v>3973</v>
      </c>
      <c r="B1948" s="1">
        <v>46872</v>
      </c>
      <c r="C1948" t="s">
        <v>117</v>
      </c>
      <c r="D1948" t="s">
        <v>4083</v>
      </c>
      <c r="E1948" t="s">
        <v>120</v>
      </c>
      <c r="F1948" t="s">
        <v>28</v>
      </c>
      <c r="G1948" t="s">
        <v>29</v>
      </c>
      <c r="H1948" t="s">
        <v>86</v>
      </c>
      <c r="I1948">
        <v>14</v>
      </c>
      <c r="J1948" t="s">
        <v>3974</v>
      </c>
      <c r="K1948">
        <v>53</v>
      </c>
      <c r="L1948" t="s">
        <v>32</v>
      </c>
      <c r="M1948">
        <v>4</v>
      </c>
      <c r="N1948" t="s">
        <v>91</v>
      </c>
      <c r="O1948" t="s">
        <v>81</v>
      </c>
      <c r="P1948" t="s">
        <v>35</v>
      </c>
      <c r="Q1948" s="2">
        <v>40908.949999999997</v>
      </c>
      <c r="R1948" s="2">
        <v>3513.7</v>
      </c>
      <c r="S1948" t="s">
        <v>36</v>
      </c>
      <c r="T1948" t="s">
        <v>71</v>
      </c>
      <c r="U1948" t="s">
        <v>53</v>
      </c>
      <c r="V1948">
        <v>2</v>
      </c>
      <c r="W1948" t="s">
        <v>76</v>
      </c>
      <c r="X1948" t="s">
        <v>55</v>
      </c>
      <c r="Y1948" t="s">
        <v>41</v>
      </c>
    </row>
    <row r="1949" spans="1:25" x14ac:dyDescent="0.3">
      <c r="A1949" t="s">
        <v>3975</v>
      </c>
      <c r="B1949" s="1">
        <v>46873</v>
      </c>
      <c r="C1949" t="s">
        <v>57</v>
      </c>
      <c r="D1949" t="s">
        <v>44</v>
      </c>
      <c r="E1949" t="s">
        <v>45</v>
      </c>
      <c r="F1949" t="s">
        <v>28</v>
      </c>
      <c r="G1949" t="s">
        <v>29</v>
      </c>
      <c r="H1949" t="s">
        <v>67</v>
      </c>
      <c r="I1949">
        <v>5</v>
      </c>
      <c r="J1949" t="s">
        <v>3976</v>
      </c>
      <c r="K1949">
        <v>61</v>
      </c>
      <c r="L1949" t="s">
        <v>63</v>
      </c>
      <c r="M1949">
        <v>4</v>
      </c>
      <c r="N1949" t="s">
        <v>64</v>
      </c>
      <c r="O1949" t="s">
        <v>34</v>
      </c>
      <c r="P1949" t="s">
        <v>35</v>
      </c>
      <c r="Q1949" s="2">
        <v>13544.69</v>
      </c>
      <c r="R1949" s="2">
        <v>1600.86</v>
      </c>
      <c r="S1949" t="s">
        <v>94</v>
      </c>
      <c r="T1949" t="s">
        <v>71</v>
      </c>
      <c r="U1949" t="s">
        <v>83</v>
      </c>
      <c r="V1949">
        <v>3.6</v>
      </c>
      <c r="W1949" t="s">
        <v>54</v>
      </c>
      <c r="X1949" t="s">
        <v>106</v>
      </c>
      <c r="Y1949" t="s">
        <v>72</v>
      </c>
    </row>
    <row r="1950" spans="1:25" x14ac:dyDescent="0.3">
      <c r="A1950" t="s">
        <v>3977</v>
      </c>
      <c r="B1950" s="1">
        <v>46874</v>
      </c>
      <c r="C1950" t="s">
        <v>26</v>
      </c>
      <c r="D1950" t="s">
        <v>26</v>
      </c>
      <c r="E1950" t="s">
        <v>4084</v>
      </c>
      <c r="F1950" t="s">
        <v>60</v>
      </c>
      <c r="G1950" t="s">
        <v>29</v>
      </c>
      <c r="H1950" t="s">
        <v>30</v>
      </c>
      <c r="I1950">
        <v>3</v>
      </c>
      <c r="J1950" t="s">
        <v>3978</v>
      </c>
      <c r="K1950">
        <v>50</v>
      </c>
      <c r="L1950" t="s">
        <v>32</v>
      </c>
      <c r="M1950">
        <v>3</v>
      </c>
      <c r="N1950" t="s">
        <v>91</v>
      </c>
      <c r="O1950" t="s">
        <v>49</v>
      </c>
      <c r="P1950" t="s">
        <v>50</v>
      </c>
      <c r="Q1950" s="2">
        <v>37461.5</v>
      </c>
      <c r="R1950" s="2">
        <v>1599.25</v>
      </c>
      <c r="S1950" t="s">
        <v>94</v>
      </c>
      <c r="T1950" t="s">
        <v>71</v>
      </c>
      <c r="U1950" t="s">
        <v>38</v>
      </c>
      <c r="V1950">
        <v>1.7</v>
      </c>
      <c r="W1950" t="s">
        <v>124</v>
      </c>
      <c r="X1950" t="s">
        <v>55</v>
      </c>
      <c r="Y1950" t="s">
        <v>41</v>
      </c>
    </row>
    <row r="1951" spans="1:25" x14ac:dyDescent="0.3">
      <c r="A1951" t="s">
        <v>3979</v>
      </c>
      <c r="B1951" s="1">
        <v>46875</v>
      </c>
      <c r="C1951" t="s">
        <v>78</v>
      </c>
      <c r="D1951" t="s">
        <v>58</v>
      </c>
      <c r="E1951" t="s">
        <v>45</v>
      </c>
      <c r="F1951" t="s">
        <v>28</v>
      </c>
      <c r="G1951" t="s">
        <v>29</v>
      </c>
      <c r="H1951" t="s">
        <v>67</v>
      </c>
      <c r="I1951">
        <v>14</v>
      </c>
      <c r="J1951" t="s">
        <v>3980</v>
      </c>
      <c r="K1951">
        <v>50</v>
      </c>
      <c r="L1951" t="s">
        <v>32</v>
      </c>
      <c r="M1951">
        <v>7</v>
      </c>
      <c r="N1951" t="s">
        <v>64</v>
      </c>
      <c r="O1951" t="s">
        <v>81</v>
      </c>
      <c r="P1951" t="s">
        <v>50</v>
      </c>
      <c r="Q1951" s="2">
        <v>19988.36</v>
      </c>
      <c r="R1951" s="2">
        <v>4307.46</v>
      </c>
      <c r="S1951" t="s">
        <v>36</v>
      </c>
      <c r="T1951" t="s">
        <v>52</v>
      </c>
      <c r="U1951" t="s">
        <v>53</v>
      </c>
      <c r="V1951">
        <v>2.1</v>
      </c>
      <c r="W1951" t="s">
        <v>76</v>
      </c>
      <c r="X1951" t="s">
        <v>55</v>
      </c>
      <c r="Y1951" t="s">
        <v>41</v>
      </c>
    </row>
    <row r="1952" spans="1:25" x14ac:dyDescent="0.3">
      <c r="A1952" t="s">
        <v>3981</v>
      </c>
      <c r="B1952" s="1">
        <v>46876</v>
      </c>
      <c r="C1952" t="s">
        <v>43</v>
      </c>
      <c r="D1952" t="s">
        <v>58</v>
      </c>
      <c r="E1952" t="s">
        <v>4085</v>
      </c>
      <c r="F1952" t="s">
        <v>60</v>
      </c>
      <c r="G1952" t="s">
        <v>29</v>
      </c>
      <c r="H1952" t="s">
        <v>46</v>
      </c>
      <c r="I1952">
        <v>11</v>
      </c>
      <c r="J1952" t="s">
        <v>3982</v>
      </c>
      <c r="K1952">
        <v>56</v>
      </c>
      <c r="L1952" t="s">
        <v>80</v>
      </c>
      <c r="M1952">
        <v>4</v>
      </c>
      <c r="N1952" t="s">
        <v>64</v>
      </c>
      <c r="O1952" t="s">
        <v>34</v>
      </c>
      <c r="P1952" t="s">
        <v>50</v>
      </c>
      <c r="Q1952" s="2">
        <v>31240.400000000001</v>
      </c>
      <c r="R1952" s="2">
        <v>4514.2</v>
      </c>
      <c r="S1952" t="s">
        <v>51</v>
      </c>
      <c r="T1952" t="s">
        <v>52</v>
      </c>
      <c r="U1952" t="s">
        <v>83</v>
      </c>
      <c r="V1952">
        <v>4.0999999999999996</v>
      </c>
      <c r="W1952" t="s">
        <v>54</v>
      </c>
      <c r="X1952" t="s">
        <v>84</v>
      </c>
      <c r="Y1952" t="s">
        <v>72</v>
      </c>
    </row>
    <row r="1953" spans="1:25" x14ac:dyDescent="0.3">
      <c r="A1953" t="s">
        <v>3983</v>
      </c>
      <c r="B1953" s="1">
        <v>46877</v>
      </c>
      <c r="C1953" t="s">
        <v>117</v>
      </c>
      <c r="D1953" t="s">
        <v>4083</v>
      </c>
      <c r="E1953" t="s">
        <v>120</v>
      </c>
      <c r="F1953" t="s">
        <v>28</v>
      </c>
      <c r="G1953" t="s">
        <v>29</v>
      </c>
      <c r="H1953" t="s">
        <v>86</v>
      </c>
      <c r="I1953">
        <v>12</v>
      </c>
      <c r="J1953" t="s">
        <v>3984</v>
      </c>
      <c r="K1953">
        <v>35</v>
      </c>
      <c r="L1953" t="s">
        <v>80</v>
      </c>
      <c r="M1953">
        <v>4</v>
      </c>
      <c r="N1953" t="s">
        <v>48</v>
      </c>
      <c r="O1953" t="s">
        <v>34</v>
      </c>
      <c r="P1953" t="s">
        <v>50</v>
      </c>
      <c r="Q1953" s="2">
        <v>6739.78</v>
      </c>
      <c r="R1953" s="2">
        <v>4457.87</v>
      </c>
      <c r="S1953" t="s">
        <v>36</v>
      </c>
      <c r="T1953" t="s">
        <v>52</v>
      </c>
      <c r="U1953" t="s">
        <v>53</v>
      </c>
      <c r="V1953">
        <v>2.8</v>
      </c>
      <c r="W1953" t="s">
        <v>76</v>
      </c>
      <c r="X1953" t="s">
        <v>40</v>
      </c>
      <c r="Y1953" t="s">
        <v>72</v>
      </c>
    </row>
    <row r="1954" spans="1:25" x14ac:dyDescent="0.3">
      <c r="A1954" t="s">
        <v>3985</v>
      </c>
      <c r="B1954" s="1">
        <v>46878</v>
      </c>
      <c r="C1954" t="s">
        <v>78</v>
      </c>
      <c r="D1954" t="s">
        <v>58</v>
      </c>
      <c r="E1954" t="s">
        <v>4085</v>
      </c>
      <c r="F1954" t="s">
        <v>60</v>
      </c>
      <c r="G1954" t="s">
        <v>29</v>
      </c>
      <c r="H1954" t="s">
        <v>59</v>
      </c>
      <c r="I1954">
        <v>8</v>
      </c>
      <c r="J1954" t="s">
        <v>3986</v>
      </c>
      <c r="K1954">
        <v>40</v>
      </c>
      <c r="L1954" t="s">
        <v>63</v>
      </c>
      <c r="M1954">
        <v>6</v>
      </c>
      <c r="N1954" t="s">
        <v>48</v>
      </c>
      <c r="O1954" t="s">
        <v>69</v>
      </c>
      <c r="P1954" t="s">
        <v>35</v>
      </c>
      <c r="Q1954" s="2">
        <v>27286</v>
      </c>
      <c r="R1954" s="2">
        <v>4043.7</v>
      </c>
      <c r="S1954" t="s">
        <v>51</v>
      </c>
      <c r="T1954" t="s">
        <v>37</v>
      </c>
      <c r="U1954" t="s">
        <v>75</v>
      </c>
      <c r="V1954">
        <v>5</v>
      </c>
      <c r="W1954" t="s">
        <v>103</v>
      </c>
      <c r="X1954" t="s">
        <v>55</v>
      </c>
      <c r="Y1954" t="s">
        <v>41</v>
      </c>
    </row>
    <row r="1955" spans="1:25" x14ac:dyDescent="0.3">
      <c r="A1955" t="s">
        <v>3987</v>
      </c>
      <c r="B1955" s="1">
        <v>46879</v>
      </c>
      <c r="C1955" t="s">
        <v>43</v>
      </c>
      <c r="D1955" t="s">
        <v>58</v>
      </c>
      <c r="E1955" t="s">
        <v>4084</v>
      </c>
      <c r="F1955" t="s">
        <v>60</v>
      </c>
      <c r="G1955" t="s">
        <v>29</v>
      </c>
      <c r="H1955" t="s">
        <v>27</v>
      </c>
      <c r="I1955">
        <v>8</v>
      </c>
      <c r="J1955" t="s">
        <v>3988</v>
      </c>
      <c r="K1955">
        <v>40</v>
      </c>
      <c r="L1955" t="s">
        <v>32</v>
      </c>
      <c r="M1955">
        <v>7</v>
      </c>
      <c r="N1955" t="s">
        <v>64</v>
      </c>
      <c r="O1955" t="s">
        <v>34</v>
      </c>
      <c r="P1955" t="s">
        <v>70</v>
      </c>
      <c r="Q1955" s="2">
        <v>11690.96</v>
      </c>
      <c r="R1955" s="2">
        <v>4095.16</v>
      </c>
      <c r="S1955" t="s">
        <v>51</v>
      </c>
      <c r="T1955" t="s">
        <v>71</v>
      </c>
      <c r="U1955" t="s">
        <v>38</v>
      </c>
      <c r="V1955">
        <v>2.5</v>
      </c>
      <c r="W1955" t="s">
        <v>76</v>
      </c>
      <c r="X1955" t="s">
        <v>84</v>
      </c>
      <c r="Y1955" t="s">
        <v>72</v>
      </c>
    </row>
    <row r="1956" spans="1:25" x14ac:dyDescent="0.3">
      <c r="A1956" t="s">
        <v>3989</v>
      </c>
      <c r="B1956" s="1">
        <v>46880</v>
      </c>
      <c r="C1956" t="s">
        <v>78</v>
      </c>
      <c r="D1956" t="s">
        <v>58</v>
      </c>
      <c r="E1956" t="s">
        <v>4085</v>
      </c>
      <c r="F1956" t="s">
        <v>60</v>
      </c>
      <c r="G1956" t="s">
        <v>29</v>
      </c>
      <c r="H1956" t="s">
        <v>46</v>
      </c>
      <c r="I1956">
        <v>11</v>
      </c>
      <c r="J1956" t="s">
        <v>3990</v>
      </c>
      <c r="K1956">
        <v>32</v>
      </c>
      <c r="L1956" t="s">
        <v>80</v>
      </c>
      <c r="M1956">
        <v>4</v>
      </c>
      <c r="N1956" t="s">
        <v>91</v>
      </c>
      <c r="O1956" t="s">
        <v>69</v>
      </c>
      <c r="P1956" t="s">
        <v>82</v>
      </c>
      <c r="Q1956" s="2">
        <v>26884.41</v>
      </c>
      <c r="R1956" s="2">
        <v>2863.84</v>
      </c>
      <c r="S1956" t="s">
        <v>94</v>
      </c>
      <c r="T1956" t="s">
        <v>71</v>
      </c>
      <c r="U1956" t="s">
        <v>38</v>
      </c>
      <c r="V1956">
        <v>2.9</v>
      </c>
      <c r="W1956" t="s">
        <v>76</v>
      </c>
      <c r="X1956" t="s">
        <v>55</v>
      </c>
      <c r="Y1956" t="s">
        <v>72</v>
      </c>
    </row>
    <row r="1957" spans="1:25" x14ac:dyDescent="0.3">
      <c r="A1957" t="s">
        <v>3991</v>
      </c>
      <c r="B1957" s="1">
        <v>46881</v>
      </c>
      <c r="C1957" t="s">
        <v>26</v>
      </c>
      <c r="D1957" t="s">
        <v>26</v>
      </c>
      <c r="E1957" t="s">
        <v>4085</v>
      </c>
      <c r="F1957" t="s">
        <v>60</v>
      </c>
      <c r="G1957" t="s">
        <v>29</v>
      </c>
      <c r="H1957" t="s">
        <v>46</v>
      </c>
      <c r="I1957">
        <v>3</v>
      </c>
      <c r="J1957" t="s">
        <v>3992</v>
      </c>
      <c r="K1957">
        <v>43</v>
      </c>
      <c r="L1957" t="s">
        <v>80</v>
      </c>
      <c r="M1957">
        <v>2</v>
      </c>
      <c r="N1957" t="s">
        <v>64</v>
      </c>
      <c r="O1957" t="s">
        <v>49</v>
      </c>
      <c r="P1957" t="s">
        <v>70</v>
      </c>
      <c r="Q1957" s="2">
        <v>11361.16</v>
      </c>
      <c r="R1957" s="2">
        <v>141.16</v>
      </c>
      <c r="S1957" t="s">
        <v>94</v>
      </c>
      <c r="T1957" t="s">
        <v>71</v>
      </c>
      <c r="U1957" t="s">
        <v>38</v>
      </c>
      <c r="V1957">
        <v>2.2000000000000002</v>
      </c>
      <c r="W1957" t="s">
        <v>76</v>
      </c>
      <c r="X1957" t="s">
        <v>40</v>
      </c>
      <c r="Y1957" t="s">
        <v>41</v>
      </c>
    </row>
    <row r="1958" spans="1:25" x14ac:dyDescent="0.3">
      <c r="A1958" t="s">
        <v>3993</v>
      </c>
      <c r="B1958" s="1">
        <v>46882</v>
      </c>
      <c r="C1958" t="s">
        <v>26</v>
      </c>
      <c r="D1958" t="s">
        <v>26</v>
      </c>
      <c r="E1958" t="s">
        <v>4085</v>
      </c>
      <c r="F1958" t="s">
        <v>60</v>
      </c>
      <c r="G1958" t="s">
        <v>29</v>
      </c>
      <c r="H1958" t="s">
        <v>46</v>
      </c>
      <c r="I1958">
        <v>8</v>
      </c>
      <c r="J1958" t="s">
        <v>3994</v>
      </c>
      <c r="K1958">
        <v>47</v>
      </c>
      <c r="L1958" t="s">
        <v>80</v>
      </c>
      <c r="M1958">
        <v>1</v>
      </c>
      <c r="N1958" t="s">
        <v>48</v>
      </c>
      <c r="O1958" t="s">
        <v>69</v>
      </c>
      <c r="P1958" t="s">
        <v>70</v>
      </c>
      <c r="Q1958" s="2">
        <v>24669.01</v>
      </c>
      <c r="R1958" s="2">
        <v>433.87</v>
      </c>
      <c r="S1958" t="s">
        <v>115</v>
      </c>
      <c r="T1958" t="s">
        <v>71</v>
      </c>
      <c r="U1958" t="s">
        <v>38</v>
      </c>
      <c r="V1958">
        <v>1.9</v>
      </c>
      <c r="W1958" t="s">
        <v>124</v>
      </c>
      <c r="X1958" t="s">
        <v>84</v>
      </c>
      <c r="Y1958" t="s">
        <v>72</v>
      </c>
    </row>
    <row r="1959" spans="1:25" x14ac:dyDescent="0.3">
      <c r="A1959" t="s">
        <v>3995</v>
      </c>
      <c r="B1959" s="1">
        <v>46883</v>
      </c>
      <c r="C1959" t="s">
        <v>26</v>
      </c>
      <c r="D1959" t="s">
        <v>26</v>
      </c>
      <c r="E1959" t="s">
        <v>89</v>
      </c>
      <c r="F1959" t="s">
        <v>28</v>
      </c>
      <c r="G1959" t="s">
        <v>29</v>
      </c>
      <c r="H1959" t="s">
        <v>61</v>
      </c>
      <c r="I1959">
        <v>14</v>
      </c>
      <c r="J1959" t="s">
        <v>3996</v>
      </c>
      <c r="K1959">
        <v>42</v>
      </c>
      <c r="L1959" t="s">
        <v>80</v>
      </c>
      <c r="M1959">
        <v>3</v>
      </c>
      <c r="N1959" t="s">
        <v>64</v>
      </c>
      <c r="O1959" t="s">
        <v>49</v>
      </c>
      <c r="P1959" t="s">
        <v>35</v>
      </c>
      <c r="Q1959" s="2">
        <v>9977.94</v>
      </c>
      <c r="R1959" s="2">
        <v>3247.77</v>
      </c>
      <c r="S1959" t="s">
        <v>51</v>
      </c>
      <c r="T1959" t="s">
        <v>52</v>
      </c>
      <c r="U1959" t="s">
        <v>83</v>
      </c>
      <c r="V1959">
        <v>4.7</v>
      </c>
      <c r="W1959" t="s">
        <v>103</v>
      </c>
      <c r="X1959" t="s">
        <v>106</v>
      </c>
      <c r="Y1959" t="s">
        <v>41</v>
      </c>
    </row>
    <row r="1960" spans="1:25" x14ac:dyDescent="0.3">
      <c r="A1960" t="s">
        <v>3997</v>
      </c>
      <c r="B1960" s="1">
        <v>46884</v>
      </c>
      <c r="C1960" t="s">
        <v>117</v>
      </c>
      <c r="D1960" t="s">
        <v>4083</v>
      </c>
      <c r="E1960" t="s">
        <v>4084</v>
      </c>
      <c r="F1960" t="s">
        <v>60</v>
      </c>
      <c r="G1960" t="s">
        <v>29</v>
      </c>
      <c r="H1960" t="s">
        <v>30</v>
      </c>
      <c r="I1960">
        <v>7</v>
      </c>
      <c r="J1960" t="s">
        <v>3998</v>
      </c>
      <c r="K1960">
        <v>62</v>
      </c>
      <c r="L1960" t="s">
        <v>63</v>
      </c>
      <c r="M1960">
        <v>3</v>
      </c>
      <c r="N1960" t="s">
        <v>48</v>
      </c>
      <c r="O1960" t="s">
        <v>34</v>
      </c>
      <c r="P1960" t="s">
        <v>70</v>
      </c>
      <c r="Q1960" s="2">
        <v>14897.82</v>
      </c>
      <c r="R1960" s="2">
        <v>2005.83</v>
      </c>
      <c r="S1960" t="s">
        <v>36</v>
      </c>
      <c r="T1960" t="s">
        <v>37</v>
      </c>
      <c r="U1960" t="s">
        <v>75</v>
      </c>
      <c r="V1960">
        <v>4</v>
      </c>
      <c r="W1960" t="s">
        <v>39</v>
      </c>
      <c r="X1960" t="s">
        <v>40</v>
      </c>
      <c r="Y1960" t="s">
        <v>41</v>
      </c>
    </row>
    <row r="1961" spans="1:25" x14ac:dyDescent="0.3">
      <c r="A1961" t="s">
        <v>3999</v>
      </c>
      <c r="B1961" s="1">
        <v>46885</v>
      </c>
      <c r="C1961" t="s">
        <v>26</v>
      </c>
      <c r="D1961" t="s">
        <v>26</v>
      </c>
      <c r="E1961" t="s">
        <v>4085</v>
      </c>
      <c r="F1961" t="s">
        <v>60</v>
      </c>
      <c r="G1961" t="s">
        <v>29</v>
      </c>
      <c r="H1961" t="s">
        <v>59</v>
      </c>
      <c r="I1961">
        <v>13</v>
      </c>
      <c r="J1961" t="s">
        <v>4000</v>
      </c>
      <c r="K1961">
        <v>33</v>
      </c>
      <c r="L1961" t="s">
        <v>63</v>
      </c>
      <c r="M1961">
        <v>2</v>
      </c>
      <c r="N1961" t="s">
        <v>64</v>
      </c>
      <c r="O1961" t="s">
        <v>34</v>
      </c>
      <c r="P1961" t="s">
        <v>70</v>
      </c>
      <c r="Q1961" s="2">
        <v>31778.55</v>
      </c>
      <c r="R1961" s="2">
        <v>2836.55</v>
      </c>
      <c r="S1961" t="s">
        <v>51</v>
      </c>
      <c r="T1961" t="s">
        <v>37</v>
      </c>
      <c r="U1961" t="s">
        <v>53</v>
      </c>
      <c r="V1961">
        <v>2.2999999999999998</v>
      </c>
      <c r="W1961" t="s">
        <v>76</v>
      </c>
      <c r="X1961" t="s">
        <v>65</v>
      </c>
      <c r="Y1961" t="s">
        <v>72</v>
      </c>
    </row>
    <row r="1962" spans="1:25" x14ac:dyDescent="0.3">
      <c r="A1962" t="s">
        <v>4001</v>
      </c>
      <c r="B1962" s="1">
        <v>46886</v>
      </c>
      <c r="C1962" t="s">
        <v>43</v>
      </c>
      <c r="D1962" t="s">
        <v>58</v>
      </c>
      <c r="E1962" t="s">
        <v>4085</v>
      </c>
      <c r="F1962" t="s">
        <v>60</v>
      </c>
      <c r="G1962" t="s">
        <v>29</v>
      </c>
      <c r="H1962" t="s">
        <v>59</v>
      </c>
      <c r="I1962">
        <v>8</v>
      </c>
      <c r="J1962" t="s">
        <v>4002</v>
      </c>
      <c r="K1962">
        <v>56</v>
      </c>
      <c r="L1962" t="s">
        <v>80</v>
      </c>
      <c r="M1962">
        <v>1</v>
      </c>
      <c r="N1962" t="s">
        <v>33</v>
      </c>
      <c r="O1962" t="s">
        <v>69</v>
      </c>
      <c r="P1962" t="s">
        <v>50</v>
      </c>
      <c r="Q1962" s="2">
        <v>48949.73</v>
      </c>
      <c r="R1962" s="2">
        <v>1155.3900000000001</v>
      </c>
      <c r="S1962" t="s">
        <v>94</v>
      </c>
      <c r="T1962" t="s">
        <v>71</v>
      </c>
      <c r="U1962" t="s">
        <v>38</v>
      </c>
      <c r="V1962">
        <v>3.8</v>
      </c>
      <c r="W1962" t="s">
        <v>54</v>
      </c>
      <c r="X1962" t="s">
        <v>84</v>
      </c>
      <c r="Y1962" t="s">
        <v>41</v>
      </c>
    </row>
    <row r="1963" spans="1:25" x14ac:dyDescent="0.3">
      <c r="A1963" t="s">
        <v>4003</v>
      </c>
      <c r="B1963" s="1">
        <v>46887</v>
      </c>
      <c r="C1963" t="s">
        <v>78</v>
      </c>
      <c r="D1963" t="s">
        <v>58</v>
      </c>
      <c r="E1963" t="s">
        <v>4085</v>
      </c>
      <c r="F1963" t="s">
        <v>60</v>
      </c>
      <c r="G1963" t="s">
        <v>29</v>
      </c>
      <c r="H1963" t="s">
        <v>46</v>
      </c>
      <c r="I1963">
        <v>13</v>
      </c>
      <c r="J1963" t="s">
        <v>4004</v>
      </c>
      <c r="K1963">
        <v>65</v>
      </c>
      <c r="L1963" t="s">
        <v>80</v>
      </c>
      <c r="M1963">
        <v>1</v>
      </c>
      <c r="N1963" t="s">
        <v>64</v>
      </c>
      <c r="O1963" t="s">
        <v>49</v>
      </c>
      <c r="P1963" t="s">
        <v>82</v>
      </c>
      <c r="Q1963" s="2">
        <v>25213.31</v>
      </c>
      <c r="R1963" s="2">
        <v>3247.09</v>
      </c>
      <c r="S1963" t="s">
        <v>51</v>
      </c>
      <c r="T1963" t="s">
        <v>52</v>
      </c>
      <c r="U1963" t="s">
        <v>38</v>
      </c>
      <c r="V1963">
        <v>4.9000000000000004</v>
      </c>
      <c r="W1963" t="s">
        <v>103</v>
      </c>
      <c r="X1963" t="s">
        <v>65</v>
      </c>
      <c r="Y1963" t="s">
        <v>72</v>
      </c>
    </row>
    <row r="1964" spans="1:25" x14ac:dyDescent="0.3">
      <c r="A1964" t="s">
        <v>4005</v>
      </c>
      <c r="B1964" s="1">
        <v>46888</v>
      </c>
      <c r="C1964" t="s">
        <v>57</v>
      </c>
      <c r="D1964" t="s">
        <v>44</v>
      </c>
      <c r="E1964" t="s">
        <v>120</v>
      </c>
      <c r="F1964" t="s">
        <v>28</v>
      </c>
      <c r="G1964" t="s">
        <v>29</v>
      </c>
      <c r="H1964" t="s">
        <v>86</v>
      </c>
      <c r="I1964">
        <v>10</v>
      </c>
      <c r="J1964" t="s">
        <v>4006</v>
      </c>
      <c r="K1964">
        <v>62</v>
      </c>
      <c r="L1964" t="s">
        <v>80</v>
      </c>
      <c r="M1964">
        <v>2</v>
      </c>
      <c r="N1964" t="s">
        <v>91</v>
      </c>
      <c r="O1964" t="s">
        <v>34</v>
      </c>
      <c r="P1964" t="s">
        <v>70</v>
      </c>
      <c r="Q1964" s="2">
        <v>35922.82</v>
      </c>
      <c r="R1964" s="2">
        <v>1214.1500000000001</v>
      </c>
      <c r="S1964" t="s">
        <v>115</v>
      </c>
      <c r="T1964" t="s">
        <v>37</v>
      </c>
      <c r="U1964" t="s">
        <v>83</v>
      </c>
      <c r="V1964">
        <v>1.3</v>
      </c>
      <c r="W1964" t="s">
        <v>124</v>
      </c>
      <c r="X1964" t="s">
        <v>84</v>
      </c>
      <c r="Y1964" t="s">
        <v>72</v>
      </c>
    </row>
    <row r="1965" spans="1:25" x14ac:dyDescent="0.3">
      <c r="A1965" t="s">
        <v>4007</v>
      </c>
      <c r="B1965" s="1">
        <v>46889</v>
      </c>
      <c r="C1965" t="s">
        <v>43</v>
      </c>
      <c r="D1965" t="s">
        <v>58</v>
      </c>
      <c r="E1965" t="s">
        <v>89</v>
      </c>
      <c r="F1965" t="s">
        <v>28</v>
      </c>
      <c r="G1965" t="s">
        <v>29</v>
      </c>
      <c r="H1965" t="s">
        <v>61</v>
      </c>
      <c r="I1965">
        <v>7</v>
      </c>
      <c r="J1965" t="s">
        <v>4008</v>
      </c>
      <c r="K1965">
        <v>31</v>
      </c>
      <c r="L1965" t="s">
        <v>80</v>
      </c>
      <c r="M1965">
        <v>5</v>
      </c>
      <c r="N1965" t="s">
        <v>48</v>
      </c>
      <c r="O1965" t="s">
        <v>69</v>
      </c>
      <c r="P1965" t="s">
        <v>70</v>
      </c>
      <c r="Q1965" s="2">
        <v>29274.11</v>
      </c>
      <c r="R1965" s="2">
        <v>2304.06</v>
      </c>
      <c r="S1965" t="s">
        <v>36</v>
      </c>
      <c r="T1965" t="s">
        <v>37</v>
      </c>
      <c r="U1965" t="s">
        <v>83</v>
      </c>
      <c r="V1965">
        <v>2.1</v>
      </c>
      <c r="W1965" t="s">
        <v>76</v>
      </c>
      <c r="X1965" t="s">
        <v>106</v>
      </c>
      <c r="Y1965" t="s">
        <v>72</v>
      </c>
    </row>
    <row r="1966" spans="1:25" x14ac:dyDescent="0.3">
      <c r="A1966" t="s">
        <v>4009</v>
      </c>
      <c r="B1966" s="1">
        <v>46890</v>
      </c>
      <c r="C1966" t="s">
        <v>43</v>
      </c>
      <c r="D1966" t="s">
        <v>58</v>
      </c>
      <c r="E1966" t="s">
        <v>120</v>
      </c>
      <c r="F1966" t="s">
        <v>28</v>
      </c>
      <c r="G1966" t="s">
        <v>29</v>
      </c>
      <c r="H1966" t="s">
        <v>86</v>
      </c>
      <c r="I1966">
        <v>4</v>
      </c>
      <c r="J1966" t="s">
        <v>4010</v>
      </c>
      <c r="K1966">
        <v>34</v>
      </c>
      <c r="L1966" t="s">
        <v>80</v>
      </c>
      <c r="M1966">
        <v>5</v>
      </c>
      <c r="N1966" t="s">
        <v>33</v>
      </c>
      <c r="O1966" t="s">
        <v>69</v>
      </c>
      <c r="P1966" t="s">
        <v>82</v>
      </c>
      <c r="Q1966" s="2">
        <v>27426.11</v>
      </c>
      <c r="R1966" s="2">
        <v>2393.6</v>
      </c>
      <c r="S1966" t="s">
        <v>51</v>
      </c>
      <c r="T1966" t="s">
        <v>71</v>
      </c>
      <c r="U1966" t="s">
        <v>83</v>
      </c>
      <c r="V1966">
        <v>1.8</v>
      </c>
      <c r="W1966" t="s">
        <v>124</v>
      </c>
      <c r="X1966" t="s">
        <v>84</v>
      </c>
      <c r="Y1966" t="s">
        <v>41</v>
      </c>
    </row>
    <row r="1967" spans="1:25" x14ac:dyDescent="0.3">
      <c r="A1967" t="s">
        <v>4011</v>
      </c>
      <c r="B1967" s="1">
        <v>46891</v>
      </c>
      <c r="C1967" t="s">
        <v>26</v>
      </c>
      <c r="D1967" t="s">
        <v>26</v>
      </c>
      <c r="E1967" t="s">
        <v>89</v>
      </c>
      <c r="F1967" t="s">
        <v>28</v>
      </c>
      <c r="G1967" t="s">
        <v>29</v>
      </c>
      <c r="H1967" t="s">
        <v>61</v>
      </c>
      <c r="I1967">
        <v>14</v>
      </c>
      <c r="J1967" t="s">
        <v>4012</v>
      </c>
      <c r="K1967">
        <v>29</v>
      </c>
      <c r="L1967" t="s">
        <v>32</v>
      </c>
      <c r="M1967">
        <v>1</v>
      </c>
      <c r="N1967" t="s">
        <v>48</v>
      </c>
      <c r="O1967" t="s">
        <v>69</v>
      </c>
      <c r="P1967" t="s">
        <v>50</v>
      </c>
      <c r="Q1967" s="2">
        <v>7911.69</v>
      </c>
      <c r="R1967" s="2">
        <v>888.34</v>
      </c>
      <c r="S1967" t="s">
        <v>36</v>
      </c>
      <c r="T1967" t="s">
        <v>37</v>
      </c>
      <c r="U1967" t="s">
        <v>75</v>
      </c>
      <c r="V1967">
        <v>4.5</v>
      </c>
      <c r="W1967" t="s">
        <v>103</v>
      </c>
      <c r="X1967" t="s">
        <v>55</v>
      </c>
      <c r="Y1967" t="s">
        <v>41</v>
      </c>
    </row>
    <row r="1968" spans="1:25" x14ac:dyDescent="0.3">
      <c r="A1968" t="s">
        <v>4013</v>
      </c>
      <c r="B1968" s="1">
        <v>46892</v>
      </c>
      <c r="C1968" t="s">
        <v>117</v>
      </c>
      <c r="D1968" t="s">
        <v>4083</v>
      </c>
      <c r="E1968" t="s">
        <v>4085</v>
      </c>
      <c r="F1968" t="s">
        <v>60</v>
      </c>
      <c r="G1968" t="s">
        <v>29</v>
      </c>
      <c r="H1968" t="s">
        <v>59</v>
      </c>
      <c r="I1968">
        <v>14</v>
      </c>
      <c r="J1968" t="s">
        <v>4014</v>
      </c>
      <c r="K1968">
        <v>46</v>
      </c>
      <c r="L1968" t="s">
        <v>32</v>
      </c>
      <c r="M1968">
        <v>5</v>
      </c>
      <c r="N1968" t="s">
        <v>48</v>
      </c>
      <c r="O1968" t="s">
        <v>34</v>
      </c>
      <c r="P1968" t="s">
        <v>35</v>
      </c>
      <c r="Q1968" s="2">
        <v>11493.38</v>
      </c>
      <c r="R1968" s="2">
        <v>4381.04</v>
      </c>
      <c r="S1968" t="s">
        <v>36</v>
      </c>
      <c r="T1968" t="s">
        <v>71</v>
      </c>
      <c r="U1968" t="s">
        <v>53</v>
      </c>
      <c r="V1968">
        <v>1.7</v>
      </c>
      <c r="W1968" t="s">
        <v>124</v>
      </c>
      <c r="X1968" t="s">
        <v>65</v>
      </c>
      <c r="Y1968" t="s">
        <v>41</v>
      </c>
    </row>
    <row r="1969" spans="1:25" x14ac:dyDescent="0.3">
      <c r="A1969" t="s">
        <v>4015</v>
      </c>
      <c r="B1969" s="1">
        <v>46893</v>
      </c>
      <c r="C1969" t="s">
        <v>78</v>
      </c>
      <c r="D1969" t="s">
        <v>58</v>
      </c>
      <c r="E1969" t="s">
        <v>4084</v>
      </c>
      <c r="F1969" t="s">
        <v>60</v>
      </c>
      <c r="G1969" t="s">
        <v>29</v>
      </c>
      <c r="H1969" t="s">
        <v>30</v>
      </c>
      <c r="I1969">
        <v>4</v>
      </c>
      <c r="J1969" t="s">
        <v>4016</v>
      </c>
      <c r="K1969">
        <v>49</v>
      </c>
      <c r="L1969" t="s">
        <v>32</v>
      </c>
      <c r="M1969">
        <v>5</v>
      </c>
      <c r="N1969" t="s">
        <v>91</v>
      </c>
      <c r="O1969" t="s">
        <v>49</v>
      </c>
      <c r="P1969" t="s">
        <v>35</v>
      </c>
      <c r="Q1969" s="2">
        <v>44737.599999999999</v>
      </c>
      <c r="R1969" s="2">
        <v>2629.11</v>
      </c>
      <c r="S1969" t="s">
        <v>94</v>
      </c>
      <c r="T1969" t="s">
        <v>52</v>
      </c>
      <c r="U1969" t="s">
        <v>75</v>
      </c>
      <c r="V1969">
        <v>2.2000000000000002</v>
      </c>
      <c r="W1969" t="s">
        <v>76</v>
      </c>
      <c r="X1969" t="s">
        <v>65</v>
      </c>
      <c r="Y1969" t="s">
        <v>72</v>
      </c>
    </row>
    <row r="1970" spans="1:25" x14ac:dyDescent="0.3">
      <c r="A1970" t="s">
        <v>4017</v>
      </c>
      <c r="B1970" s="1">
        <v>46894</v>
      </c>
      <c r="C1970" t="s">
        <v>117</v>
      </c>
      <c r="D1970" t="s">
        <v>4083</v>
      </c>
      <c r="E1970" t="s">
        <v>45</v>
      </c>
      <c r="F1970" t="s">
        <v>28</v>
      </c>
      <c r="G1970" t="s">
        <v>29</v>
      </c>
      <c r="H1970" t="s">
        <v>67</v>
      </c>
      <c r="I1970">
        <v>12</v>
      </c>
      <c r="J1970" t="s">
        <v>4018</v>
      </c>
      <c r="K1970">
        <v>41</v>
      </c>
      <c r="L1970" t="s">
        <v>32</v>
      </c>
      <c r="M1970">
        <v>5</v>
      </c>
      <c r="N1970" t="s">
        <v>64</v>
      </c>
      <c r="O1970" t="s">
        <v>34</v>
      </c>
      <c r="P1970" t="s">
        <v>70</v>
      </c>
      <c r="Q1970" s="2">
        <v>23457.39</v>
      </c>
      <c r="R1970" s="2">
        <v>4333.92</v>
      </c>
      <c r="S1970" t="s">
        <v>51</v>
      </c>
      <c r="T1970" t="s">
        <v>71</v>
      </c>
      <c r="U1970" t="s">
        <v>38</v>
      </c>
      <c r="V1970">
        <v>3.2</v>
      </c>
      <c r="W1970" t="s">
        <v>76</v>
      </c>
      <c r="X1970" t="s">
        <v>84</v>
      </c>
      <c r="Y1970" t="s">
        <v>72</v>
      </c>
    </row>
    <row r="1971" spans="1:25" x14ac:dyDescent="0.3">
      <c r="A1971" t="s">
        <v>4019</v>
      </c>
      <c r="B1971" s="1">
        <v>46895</v>
      </c>
      <c r="C1971" t="s">
        <v>78</v>
      </c>
      <c r="D1971" t="s">
        <v>58</v>
      </c>
      <c r="E1971" t="s">
        <v>45</v>
      </c>
      <c r="F1971" t="s">
        <v>28</v>
      </c>
      <c r="G1971" t="s">
        <v>29</v>
      </c>
      <c r="H1971" t="s">
        <v>67</v>
      </c>
      <c r="I1971">
        <v>7</v>
      </c>
      <c r="J1971" t="s">
        <v>4020</v>
      </c>
      <c r="K1971">
        <v>69</v>
      </c>
      <c r="L1971" t="s">
        <v>80</v>
      </c>
      <c r="M1971">
        <v>1</v>
      </c>
      <c r="N1971" t="s">
        <v>91</v>
      </c>
      <c r="O1971" t="s">
        <v>81</v>
      </c>
      <c r="P1971" t="s">
        <v>50</v>
      </c>
      <c r="Q1971" s="2">
        <v>32644.959999999999</v>
      </c>
      <c r="R1971" s="2">
        <v>1312.68</v>
      </c>
      <c r="S1971" t="s">
        <v>36</v>
      </c>
      <c r="T1971" t="s">
        <v>37</v>
      </c>
      <c r="U1971" t="s">
        <v>83</v>
      </c>
      <c r="V1971">
        <v>3.5</v>
      </c>
      <c r="W1971" t="s">
        <v>54</v>
      </c>
      <c r="X1971" t="s">
        <v>55</v>
      </c>
      <c r="Y1971" t="s">
        <v>41</v>
      </c>
    </row>
    <row r="1972" spans="1:25" x14ac:dyDescent="0.3">
      <c r="A1972" t="s">
        <v>4021</v>
      </c>
      <c r="B1972" s="1">
        <v>46896</v>
      </c>
      <c r="C1972" t="s">
        <v>78</v>
      </c>
      <c r="D1972" t="s">
        <v>58</v>
      </c>
      <c r="E1972" t="s">
        <v>4085</v>
      </c>
      <c r="F1972" t="s">
        <v>60</v>
      </c>
      <c r="G1972" t="s">
        <v>29</v>
      </c>
      <c r="H1972" t="s">
        <v>46</v>
      </c>
      <c r="I1972">
        <v>5</v>
      </c>
      <c r="J1972" t="s">
        <v>4022</v>
      </c>
      <c r="K1972">
        <v>30</v>
      </c>
      <c r="L1972" t="s">
        <v>32</v>
      </c>
      <c r="M1972">
        <v>5</v>
      </c>
      <c r="N1972" t="s">
        <v>64</v>
      </c>
      <c r="O1972" t="s">
        <v>81</v>
      </c>
      <c r="P1972" t="s">
        <v>35</v>
      </c>
      <c r="Q1972" s="2">
        <v>28770.5</v>
      </c>
      <c r="R1972" s="2">
        <v>861.68</v>
      </c>
      <c r="S1972" t="s">
        <v>94</v>
      </c>
      <c r="T1972" t="s">
        <v>71</v>
      </c>
      <c r="U1972" t="s">
        <v>38</v>
      </c>
      <c r="V1972">
        <v>4.2</v>
      </c>
      <c r="W1972" t="s">
        <v>54</v>
      </c>
      <c r="X1972" t="s">
        <v>55</v>
      </c>
      <c r="Y1972" t="s">
        <v>72</v>
      </c>
    </row>
    <row r="1973" spans="1:25" x14ac:dyDescent="0.3">
      <c r="A1973" t="s">
        <v>4023</v>
      </c>
      <c r="B1973" s="1">
        <v>46897</v>
      </c>
      <c r="C1973" t="s">
        <v>117</v>
      </c>
      <c r="D1973" t="s">
        <v>4083</v>
      </c>
      <c r="E1973" t="s">
        <v>120</v>
      </c>
      <c r="F1973" t="s">
        <v>28</v>
      </c>
      <c r="G1973" t="s">
        <v>29</v>
      </c>
      <c r="H1973" t="s">
        <v>86</v>
      </c>
      <c r="I1973">
        <v>12</v>
      </c>
      <c r="J1973" t="s">
        <v>4024</v>
      </c>
      <c r="K1973">
        <v>37</v>
      </c>
      <c r="L1973" t="s">
        <v>32</v>
      </c>
      <c r="M1973">
        <v>3</v>
      </c>
      <c r="N1973" t="s">
        <v>33</v>
      </c>
      <c r="O1973" t="s">
        <v>34</v>
      </c>
      <c r="P1973" t="s">
        <v>35</v>
      </c>
      <c r="Q1973" s="2">
        <v>22049.71</v>
      </c>
      <c r="R1973" s="2">
        <v>90.08</v>
      </c>
      <c r="S1973" t="s">
        <v>115</v>
      </c>
      <c r="T1973" t="s">
        <v>71</v>
      </c>
      <c r="U1973" t="s">
        <v>53</v>
      </c>
      <c r="V1973">
        <v>2.6</v>
      </c>
      <c r="W1973" t="s">
        <v>76</v>
      </c>
      <c r="X1973" t="s">
        <v>84</v>
      </c>
      <c r="Y1973" t="s">
        <v>72</v>
      </c>
    </row>
    <row r="1974" spans="1:25" x14ac:dyDescent="0.3">
      <c r="A1974" t="s">
        <v>4025</v>
      </c>
      <c r="B1974" s="1">
        <v>46898</v>
      </c>
      <c r="C1974" t="s">
        <v>43</v>
      </c>
      <c r="D1974" t="s">
        <v>58</v>
      </c>
      <c r="E1974" t="s">
        <v>4084</v>
      </c>
      <c r="F1974" t="s">
        <v>60</v>
      </c>
      <c r="G1974" t="s">
        <v>29</v>
      </c>
      <c r="H1974" t="s">
        <v>30</v>
      </c>
      <c r="I1974">
        <v>5</v>
      </c>
      <c r="J1974" t="s">
        <v>4026</v>
      </c>
      <c r="K1974">
        <v>32</v>
      </c>
      <c r="L1974" t="s">
        <v>63</v>
      </c>
      <c r="M1974">
        <v>6</v>
      </c>
      <c r="N1974" t="s">
        <v>91</v>
      </c>
      <c r="O1974" t="s">
        <v>49</v>
      </c>
      <c r="P1974" t="s">
        <v>35</v>
      </c>
      <c r="Q1974" s="2">
        <v>22451.74</v>
      </c>
      <c r="R1974" s="2">
        <v>469.32</v>
      </c>
      <c r="S1974" t="s">
        <v>115</v>
      </c>
      <c r="T1974" t="s">
        <v>71</v>
      </c>
      <c r="U1974" t="s">
        <v>53</v>
      </c>
      <c r="V1974">
        <v>3.1</v>
      </c>
      <c r="W1974" t="s">
        <v>76</v>
      </c>
      <c r="X1974" t="s">
        <v>40</v>
      </c>
      <c r="Y1974" t="s">
        <v>41</v>
      </c>
    </row>
    <row r="1975" spans="1:25" x14ac:dyDescent="0.3">
      <c r="A1975" t="s">
        <v>4027</v>
      </c>
      <c r="B1975" s="1">
        <v>46899</v>
      </c>
      <c r="C1975" t="s">
        <v>78</v>
      </c>
      <c r="D1975" t="s">
        <v>58</v>
      </c>
      <c r="E1975" t="s">
        <v>89</v>
      </c>
      <c r="F1975" t="s">
        <v>28</v>
      </c>
      <c r="G1975" t="s">
        <v>29</v>
      </c>
      <c r="H1975" t="s">
        <v>61</v>
      </c>
      <c r="I1975">
        <v>10</v>
      </c>
      <c r="J1975" t="s">
        <v>4028</v>
      </c>
      <c r="K1975">
        <v>21</v>
      </c>
      <c r="L1975" t="s">
        <v>32</v>
      </c>
      <c r="M1975">
        <v>1</v>
      </c>
      <c r="N1975" t="s">
        <v>91</v>
      </c>
      <c r="O1975" t="s">
        <v>69</v>
      </c>
      <c r="P1975" t="s">
        <v>35</v>
      </c>
      <c r="Q1975" s="2">
        <v>29995.93</v>
      </c>
      <c r="R1975" s="2">
        <v>737.35</v>
      </c>
      <c r="S1975" t="s">
        <v>51</v>
      </c>
      <c r="T1975" t="s">
        <v>71</v>
      </c>
      <c r="U1975" t="s">
        <v>75</v>
      </c>
      <c r="V1975">
        <v>4.9000000000000004</v>
      </c>
      <c r="W1975" t="s">
        <v>103</v>
      </c>
      <c r="X1975" t="s">
        <v>106</v>
      </c>
      <c r="Y1975" t="s">
        <v>41</v>
      </c>
    </row>
    <row r="1976" spans="1:25" x14ac:dyDescent="0.3">
      <c r="A1976" t="s">
        <v>4029</v>
      </c>
      <c r="B1976" s="1">
        <v>46900</v>
      </c>
      <c r="C1976" t="s">
        <v>117</v>
      </c>
      <c r="D1976" t="s">
        <v>4083</v>
      </c>
      <c r="E1976" t="s">
        <v>4085</v>
      </c>
      <c r="F1976" t="s">
        <v>60</v>
      </c>
      <c r="G1976" t="s">
        <v>29</v>
      </c>
      <c r="H1976" t="s">
        <v>46</v>
      </c>
      <c r="I1976">
        <v>9</v>
      </c>
      <c r="J1976" t="s">
        <v>4030</v>
      </c>
      <c r="K1976">
        <v>51</v>
      </c>
      <c r="L1976" t="s">
        <v>32</v>
      </c>
      <c r="M1976">
        <v>2</v>
      </c>
      <c r="N1976" t="s">
        <v>48</v>
      </c>
      <c r="O1976" t="s">
        <v>81</v>
      </c>
      <c r="P1976" t="s">
        <v>35</v>
      </c>
      <c r="Q1976" s="2">
        <v>11351.38</v>
      </c>
      <c r="R1976" s="2">
        <v>394.28</v>
      </c>
      <c r="S1976" t="s">
        <v>36</v>
      </c>
      <c r="T1976" t="s">
        <v>71</v>
      </c>
      <c r="U1976" t="s">
        <v>75</v>
      </c>
      <c r="V1976">
        <v>2.2000000000000002</v>
      </c>
      <c r="W1976" t="s">
        <v>76</v>
      </c>
      <c r="X1976" t="s">
        <v>84</v>
      </c>
      <c r="Y1976" t="s">
        <v>41</v>
      </c>
    </row>
    <row r="1977" spans="1:25" x14ac:dyDescent="0.3">
      <c r="A1977" t="s">
        <v>4031</v>
      </c>
      <c r="B1977" s="1">
        <v>46901</v>
      </c>
      <c r="C1977" t="s">
        <v>78</v>
      </c>
      <c r="D1977" t="s">
        <v>58</v>
      </c>
      <c r="E1977" t="s">
        <v>4084</v>
      </c>
      <c r="F1977" t="s">
        <v>60</v>
      </c>
      <c r="G1977" t="s">
        <v>29</v>
      </c>
      <c r="H1977" t="s">
        <v>27</v>
      </c>
      <c r="I1977">
        <v>3</v>
      </c>
      <c r="J1977" t="s">
        <v>4032</v>
      </c>
      <c r="K1977">
        <v>45</v>
      </c>
      <c r="L1977" t="s">
        <v>80</v>
      </c>
      <c r="M1977">
        <v>5</v>
      </c>
      <c r="N1977" t="s">
        <v>91</v>
      </c>
      <c r="O1977" t="s">
        <v>81</v>
      </c>
      <c r="P1977" t="s">
        <v>70</v>
      </c>
      <c r="Q1977" s="2">
        <v>22426.66</v>
      </c>
      <c r="R1977" s="2">
        <v>4484.3999999999996</v>
      </c>
      <c r="S1977" t="s">
        <v>51</v>
      </c>
      <c r="T1977" t="s">
        <v>71</v>
      </c>
      <c r="U1977" t="s">
        <v>83</v>
      </c>
      <c r="V1977">
        <v>2</v>
      </c>
      <c r="W1977" t="s">
        <v>76</v>
      </c>
      <c r="X1977" t="s">
        <v>55</v>
      </c>
      <c r="Y1977" t="s">
        <v>72</v>
      </c>
    </row>
    <row r="1978" spans="1:25" x14ac:dyDescent="0.3">
      <c r="A1978" t="s">
        <v>4033</v>
      </c>
      <c r="B1978" s="1">
        <v>46902</v>
      </c>
      <c r="C1978" t="s">
        <v>57</v>
      </c>
      <c r="D1978" t="s">
        <v>44</v>
      </c>
      <c r="E1978" t="s">
        <v>4084</v>
      </c>
      <c r="F1978" t="s">
        <v>60</v>
      </c>
      <c r="G1978" t="s">
        <v>29</v>
      </c>
      <c r="H1978" t="s">
        <v>27</v>
      </c>
      <c r="I1978">
        <v>14</v>
      </c>
      <c r="J1978" t="s">
        <v>4034</v>
      </c>
      <c r="K1978">
        <v>67</v>
      </c>
      <c r="L1978" t="s">
        <v>32</v>
      </c>
      <c r="M1978">
        <v>4</v>
      </c>
      <c r="N1978" t="s">
        <v>64</v>
      </c>
      <c r="O1978" t="s">
        <v>34</v>
      </c>
      <c r="P1978" t="s">
        <v>35</v>
      </c>
      <c r="Q1978" s="2">
        <v>25113.9</v>
      </c>
      <c r="R1978" s="2">
        <v>4557.1899999999996</v>
      </c>
      <c r="S1978" t="s">
        <v>36</v>
      </c>
      <c r="T1978" t="s">
        <v>37</v>
      </c>
      <c r="U1978" t="s">
        <v>83</v>
      </c>
      <c r="V1978">
        <v>3.8</v>
      </c>
      <c r="W1978" t="s">
        <v>54</v>
      </c>
      <c r="X1978" t="s">
        <v>106</v>
      </c>
      <c r="Y1978" t="s">
        <v>72</v>
      </c>
    </row>
    <row r="1979" spans="1:25" x14ac:dyDescent="0.3">
      <c r="A1979" t="s">
        <v>4035</v>
      </c>
      <c r="B1979" s="1">
        <v>46903</v>
      </c>
      <c r="C1979" t="s">
        <v>43</v>
      </c>
      <c r="D1979" t="s">
        <v>58</v>
      </c>
      <c r="E1979" t="s">
        <v>89</v>
      </c>
      <c r="F1979" t="s">
        <v>28</v>
      </c>
      <c r="G1979" t="s">
        <v>29</v>
      </c>
      <c r="H1979" t="s">
        <v>61</v>
      </c>
      <c r="I1979">
        <v>14</v>
      </c>
      <c r="J1979" t="s">
        <v>4036</v>
      </c>
      <c r="K1979">
        <v>19</v>
      </c>
      <c r="L1979" t="s">
        <v>32</v>
      </c>
      <c r="M1979">
        <v>1</v>
      </c>
      <c r="N1979" t="s">
        <v>91</v>
      </c>
      <c r="O1979" t="s">
        <v>81</v>
      </c>
      <c r="P1979" t="s">
        <v>70</v>
      </c>
      <c r="Q1979" s="2">
        <v>49330.68</v>
      </c>
      <c r="R1979" s="2">
        <v>4686.8100000000004</v>
      </c>
      <c r="S1979" t="s">
        <v>94</v>
      </c>
      <c r="T1979" t="s">
        <v>71</v>
      </c>
      <c r="U1979" t="s">
        <v>38</v>
      </c>
      <c r="V1979">
        <v>4.0999999999999996</v>
      </c>
      <c r="W1979" t="s">
        <v>54</v>
      </c>
      <c r="X1979" t="s">
        <v>84</v>
      </c>
      <c r="Y1979" t="s">
        <v>72</v>
      </c>
    </row>
    <row r="1980" spans="1:25" x14ac:dyDescent="0.3">
      <c r="A1980" t="s">
        <v>4037</v>
      </c>
      <c r="B1980" s="1">
        <v>46904</v>
      </c>
      <c r="C1980" t="s">
        <v>26</v>
      </c>
      <c r="D1980" t="s">
        <v>26</v>
      </c>
      <c r="E1980" t="s">
        <v>4084</v>
      </c>
      <c r="F1980" t="s">
        <v>60</v>
      </c>
      <c r="G1980" t="s">
        <v>29</v>
      </c>
      <c r="H1980" t="s">
        <v>30</v>
      </c>
      <c r="I1980">
        <v>7</v>
      </c>
      <c r="J1980" t="s">
        <v>4038</v>
      </c>
      <c r="K1980">
        <v>64</v>
      </c>
      <c r="L1980" t="s">
        <v>80</v>
      </c>
      <c r="M1980">
        <v>7</v>
      </c>
      <c r="N1980" t="s">
        <v>91</v>
      </c>
      <c r="O1980" t="s">
        <v>81</v>
      </c>
      <c r="P1980" t="s">
        <v>82</v>
      </c>
      <c r="Q1980" s="2">
        <v>20815.46</v>
      </c>
      <c r="R1980" s="2">
        <v>4799.3</v>
      </c>
      <c r="S1980" t="s">
        <v>115</v>
      </c>
      <c r="T1980" t="s">
        <v>37</v>
      </c>
      <c r="U1980" t="s">
        <v>83</v>
      </c>
      <c r="V1980">
        <v>2.7</v>
      </c>
      <c r="W1980" t="s">
        <v>76</v>
      </c>
      <c r="X1980" t="s">
        <v>106</v>
      </c>
      <c r="Y1980" t="s">
        <v>41</v>
      </c>
    </row>
    <row r="1981" spans="1:25" x14ac:dyDescent="0.3">
      <c r="A1981" t="s">
        <v>4039</v>
      </c>
      <c r="B1981" s="1">
        <v>46905</v>
      </c>
      <c r="C1981" t="s">
        <v>78</v>
      </c>
      <c r="D1981" t="s">
        <v>58</v>
      </c>
      <c r="E1981" t="s">
        <v>120</v>
      </c>
      <c r="F1981" t="s">
        <v>28</v>
      </c>
      <c r="G1981" t="s">
        <v>29</v>
      </c>
      <c r="H1981" t="s">
        <v>86</v>
      </c>
      <c r="I1981">
        <v>11</v>
      </c>
      <c r="J1981" t="s">
        <v>4040</v>
      </c>
      <c r="K1981">
        <v>47</v>
      </c>
      <c r="L1981" t="s">
        <v>32</v>
      </c>
      <c r="M1981">
        <v>2</v>
      </c>
      <c r="N1981" t="s">
        <v>33</v>
      </c>
      <c r="O1981" t="s">
        <v>69</v>
      </c>
      <c r="P1981" t="s">
        <v>82</v>
      </c>
      <c r="Q1981" s="2">
        <v>34006.050000000003</v>
      </c>
      <c r="R1981" s="2">
        <v>2459.1799999999998</v>
      </c>
      <c r="S1981" t="s">
        <v>115</v>
      </c>
      <c r="T1981" t="s">
        <v>71</v>
      </c>
      <c r="U1981" t="s">
        <v>83</v>
      </c>
      <c r="V1981">
        <v>1.9</v>
      </c>
      <c r="W1981" t="s">
        <v>124</v>
      </c>
      <c r="X1981" t="s">
        <v>40</v>
      </c>
      <c r="Y1981" t="s">
        <v>41</v>
      </c>
    </row>
    <row r="1982" spans="1:25" x14ac:dyDescent="0.3">
      <c r="A1982" t="s">
        <v>4041</v>
      </c>
      <c r="B1982" s="1">
        <v>46906</v>
      </c>
      <c r="C1982" t="s">
        <v>57</v>
      </c>
      <c r="D1982" t="s">
        <v>44</v>
      </c>
      <c r="E1982" t="s">
        <v>120</v>
      </c>
      <c r="F1982" t="s">
        <v>28</v>
      </c>
      <c r="G1982" t="s">
        <v>29</v>
      </c>
      <c r="H1982" t="s">
        <v>86</v>
      </c>
      <c r="I1982">
        <v>6</v>
      </c>
      <c r="J1982" t="s">
        <v>4042</v>
      </c>
      <c r="K1982">
        <v>43</v>
      </c>
      <c r="L1982" t="s">
        <v>80</v>
      </c>
      <c r="M1982">
        <v>6</v>
      </c>
      <c r="N1982" t="s">
        <v>64</v>
      </c>
      <c r="O1982" t="s">
        <v>69</v>
      </c>
      <c r="P1982" t="s">
        <v>50</v>
      </c>
      <c r="Q1982" s="2">
        <v>11183.7</v>
      </c>
      <c r="R1982" s="2">
        <v>2650.12</v>
      </c>
      <c r="S1982" t="s">
        <v>115</v>
      </c>
      <c r="T1982" t="s">
        <v>52</v>
      </c>
      <c r="U1982" t="s">
        <v>38</v>
      </c>
      <c r="V1982">
        <v>4.0999999999999996</v>
      </c>
      <c r="W1982" t="s">
        <v>54</v>
      </c>
      <c r="X1982" t="s">
        <v>55</v>
      </c>
      <c r="Y1982" t="s">
        <v>41</v>
      </c>
    </row>
    <row r="1983" spans="1:25" x14ac:dyDescent="0.3">
      <c r="A1983" t="s">
        <v>4043</v>
      </c>
      <c r="B1983" s="1">
        <v>46907</v>
      </c>
      <c r="C1983" t="s">
        <v>26</v>
      </c>
      <c r="D1983" t="s">
        <v>26</v>
      </c>
      <c r="E1983" t="s">
        <v>120</v>
      </c>
      <c r="F1983" t="s">
        <v>28</v>
      </c>
      <c r="G1983" t="s">
        <v>29</v>
      </c>
      <c r="H1983" t="s">
        <v>86</v>
      </c>
      <c r="I1983">
        <v>3</v>
      </c>
      <c r="J1983" t="s">
        <v>4044</v>
      </c>
      <c r="K1983">
        <v>68</v>
      </c>
      <c r="L1983" t="s">
        <v>32</v>
      </c>
      <c r="M1983">
        <v>3</v>
      </c>
      <c r="N1983" t="s">
        <v>48</v>
      </c>
      <c r="O1983" t="s">
        <v>49</v>
      </c>
      <c r="P1983" t="s">
        <v>70</v>
      </c>
      <c r="Q1983" s="2">
        <v>7946.66</v>
      </c>
      <c r="R1983" s="2">
        <v>654.15</v>
      </c>
      <c r="S1983" t="s">
        <v>115</v>
      </c>
      <c r="T1983" t="s">
        <v>71</v>
      </c>
      <c r="U1983" t="s">
        <v>53</v>
      </c>
      <c r="V1983">
        <v>3.7</v>
      </c>
      <c r="W1983" t="s">
        <v>54</v>
      </c>
      <c r="X1983" t="s">
        <v>40</v>
      </c>
      <c r="Y1983" t="s">
        <v>41</v>
      </c>
    </row>
    <row r="1984" spans="1:25" x14ac:dyDescent="0.3">
      <c r="A1984" t="s">
        <v>4045</v>
      </c>
      <c r="B1984" s="1">
        <v>46908</v>
      </c>
      <c r="C1984" t="s">
        <v>26</v>
      </c>
      <c r="D1984" t="s">
        <v>26</v>
      </c>
      <c r="E1984" t="s">
        <v>4084</v>
      </c>
      <c r="F1984" t="s">
        <v>60</v>
      </c>
      <c r="G1984" t="s">
        <v>29</v>
      </c>
      <c r="H1984" t="s">
        <v>27</v>
      </c>
      <c r="I1984">
        <v>10</v>
      </c>
      <c r="J1984" t="s">
        <v>4046</v>
      </c>
      <c r="K1984">
        <v>64</v>
      </c>
      <c r="L1984" t="s">
        <v>63</v>
      </c>
      <c r="M1984">
        <v>7</v>
      </c>
      <c r="N1984" t="s">
        <v>64</v>
      </c>
      <c r="O1984" t="s">
        <v>81</v>
      </c>
      <c r="P1984" t="s">
        <v>50</v>
      </c>
      <c r="Q1984" s="2">
        <v>44219.39</v>
      </c>
      <c r="R1984" s="2">
        <v>685.26</v>
      </c>
      <c r="S1984" t="s">
        <v>51</v>
      </c>
      <c r="T1984" t="s">
        <v>37</v>
      </c>
      <c r="U1984" t="s">
        <v>83</v>
      </c>
      <c r="V1984">
        <v>4.5</v>
      </c>
      <c r="W1984" t="s">
        <v>103</v>
      </c>
      <c r="X1984" t="s">
        <v>40</v>
      </c>
      <c r="Y1984" t="s">
        <v>72</v>
      </c>
    </row>
    <row r="1985" spans="1:25" x14ac:dyDescent="0.3">
      <c r="A1985" t="s">
        <v>4047</v>
      </c>
      <c r="B1985" s="1">
        <v>46909</v>
      </c>
      <c r="C1985" t="s">
        <v>78</v>
      </c>
      <c r="D1985" t="s">
        <v>58</v>
      </c>
      <c r="E1985" t="s">
        <v>120</v>
      </c>
      <c r="F1985" t="s">
        <v>28</v>
      </c>
      <c r="G1985" t="s">
        <v>29</v>
      </c>
      <c r="H1985" t="s">
        <v>86</v>
      </c>
      <c r="I1985">
        <v>7</v>
      </c>
      <c r="J1985" t="s">
        <v>4048</v>
      </c>
      <c r="K1985">
        <v>43</v>
      </c>
      <c r="L1985" t="s">
        <v>63</v>
      </c>
      <c r="M1985">
        <v>2</v>
      </c>
      <c r="N1985" t="s">
        <v>33</v>
      </c>
      <c r="O1985" t="s">
        <v>49</v>
      </c>
      <c r="P1985" t="s">
        <v>82</v>
      </c>
      <c r="Q1985" s="2">
        <v>37883.07</v>
      </c>
      <c r="R1985" s="2">
        <v>3863.78</v>
      </c>
      <c r="S1985" t="s">
        <v>36</v>
      </c>
      <c r="T1985" t="s">
        <v>37</v>
      </c>
      <c r="U1985" t="s">
        <v>83</v>
      </c>
      <c r="V1985">
        <v>4.4000000000000004</v>
      </c>
      <c r="W1985" t="s">
        <v>39</v>
      </c>
      <c r="X1985" t="s">
        <v>55</v>
      </c>
      <c r="Y1985" t="s">
        <v>41</v>
      </c>
    </row>
    <row r="1986" spans="1:25" x14ac:dyDescent="0.3">
      <c r="A1986" t="s">
        <v>4049</v>
      </c>
      <c r="B1986" s="1">
        <v>46910</v>
      </c>
      <c r="C1986" t="s">
        <v>117</v>
      </c>
      <c r="D1986" t="s">
        <v>4083</v>
      </c>
      <c r="E1986" t="s">
        <v>89</v>
      </c>
      <c r="F1986" t="s">
        <v>28</v>
      </c>
      <c r="G1986" t="s">
        <v>29</v>
      </c>
      <c r="H1986" t="s">
        <v>61</v>
      </c>
      <c r="I1986">
        <v>4</v>
      </c>
      <c r="J1986" t="s">
        <v>4050</v>
      </c>
      <c r="K1986">
        <v>37</v>
      </c>
      <c r="L1986" t="s">
        <v>32</v>
      </c>
      <c r="M1986">
        <v>5</v>
      </c>
      <c r="N1986" t="s">
        <v>64</v>
      </c>
      <c r="O1986" t="s">
        <v>49</v>
      </c>
      <c r="P1986" t="s">
        <v>82</v>
      </c>
      <c r="Q1986" s="2">
        <v>19287.47</v>
      </c>
      <c r="R1986" s="2">
        <v>4278.6499999999996</v>
      </c>
      <c r="S1986" t="s">
        <v>51</v>
      </c>
      <c r="T1986" t="s">
        <v>52</v>
      </c>
      <c r="U1986" t="s">
        <v>38</v>
      </c>
      <c r="V1986">
        <v>1.8</v>
      </c>
      <c r="W1986" t="s">
        <v>124</v>
      </c>
      <c r="X1986" t="s">
        <v>40</v>
      </c>
      <c r="Y1986" t="s">
        <v>72</v>
      </c>
    </row>
    <row r="1987" spans="1:25" x14ac:dyDescent="0.3">
      <c r="A1987" t="s">
        <v>4051</v>
      </c>
      <c r="B1987" s="1">
        <v>46911</v>
      </c>
      <c r="C1987" t="s">
        <v>78</v>
      </c>
      <c r="D1987" t="s">
        <v>58</v>
      </c>
      <c r="E1987" t="s">
        <v>4084</v>
      </c>
      <c r="F1987" t="s">
        <v>60</v>
      </c>
      <c r="G1987" t="s">
        <v>29</v>
      </c>
      <c r="H1987" t="s">
        <v>27</v>
      </c>
      <c r="I1987">
        <v>14</v>
      </c>
      <c r="J1987" t="s">
        <v>4052</v>
      </c>
      <c r="K1987">
        <v>59</v>
      </c>
      <c r="L1987" t="s">
        <v>63</v>
      </c>
      <c r="M1987">
        <v>4</v>
      </c>
      <c r="N1987" t="s">
        <v>64</v>
      </c>
      <c r="O1987" t="s">
        <v>69</v>
      </c>
      <c r="P1987" t="s">
        <v>82</v>
      </c>
      <c r="Q1987" s="2">
        <v>27706.01</v>
      </c>
      <c r="R1987" s="2">
        <v>3923.57</v>
      </c>
      <c r="S1987" t="s">
        <v>94</v>
      </c>
      <c r="T1987" t="s">
        <v>71</v>
      </c>
      <c r="U1987" t="s">
        <v>38</v>
      </c>
      <c r="V1987">
        <v>4.3</v>
      </c>
      <c r="W1987" t="s">
        <v>54</v>
      </c>
      <c r="X1987" t="s">
        <v>84</v>
      </c>
      <c r="Y1987" t="s">
        <v>41</v>
      </c>
    </row>
    <row r="1988" spans="1:25" x14ac:dyDescent="0.3">
      <c r="A1988" t="s">
        <v>4053</v>
      </c>
      <c r="B1988" s="1">
        <v>46912</v>
      </c>
      <c r="C1988" t="s">
        <v>57</v>
      </c>
      <c r="D1988" t="s">
        <v>44</v>
      </c>
      <c r="E1988" t="s">
        <v>45</v>
      </c>
      <c r="F1988" t="s">
        <v>28</v>
      </c>
      <c r="G1988" t="s">
        <v>29</v>
      </c>
      <c r="H1988" t="s">
        <v>67</v>
      </c>
      <c r="I1988">
        <v>3</v>
      </c>
      <c r="J1988" t="s">
        <v>4054</v>
      </c>
      <c r="K1988">
        <v>45</v>
      </c>
      <c r="L1988" t="s">
        <v>80</v>
      </c>
      <c r="M1988">
        <v>5</v>
      </c>
      <c r="N1988" t="s">
        <v>91</v>
      </c>
      <c r="O1988" t="s">
        <v>69</v>
      </c>
      <c r="P1988" t="s">
        <v>82</v>
      </c>
      <c r="Q1988" s="2">
        <v>11108.49</v>
      </c>
      <c r="R1988" s="2">
        <v>4172.88</v>
      </c>
      <c r="S1988" t="s">
        <v>115</v>
      </c>
      <c r="T1988" t="s">
        <v>52</v>
      </c>
      <c r="U1988" t="s">
        <v>38</v>
      </c>
      <c r="V1988">
        <v>1.7</v>
      </c>
      <c r="W1988" t="s">
        <v>124</v>
      </c>
      <c r="X1988" t="s">
        <v>84</v>
      </c>
      <c r="Y1988" t="s">
        <v>72</v>
      </c>
    </row>
    <row r="1989" spans="1:25" x14ac:dyDescent="0.3">
      <c r="A1989" t="s">
        <v>4055</v>
      </c>
      <c r="B1989" s="1">
        <v>46913</v>
      </c>
      <c r="C1989" t="s">
        <v>26</v>
      </c>
      <c r="D1989" t="s">
        <v>26</v>
      </c>
      <c r="E1989" t="s">
        <v>4084</v>
      </c>
      <c r="F1989" t="s">
        <v>60</v>
      </c>
      <c r="G1989" t="s">
        <v>29</v>
      </c>
      <c r="H1989" t="s">
        <v>27</v>
      </c>
      <c r="I1989">
        <v>14</v>
      </c>
      <c r="J1989" t="s">
        <v>4056</v>
      </c>
      <c r="K1989">
        <v>37</v>
      </c>
      <c r="L1989" t="s">
        <v>32</v>
      </c>
      <c r="M1989">
        <v>2</v>
      </c>
      <c r="N1989" t="s">
        <v>91</v>
      </c>
      <c r="O1989" t="s">
        <v>34</v>
      </c>
      <c r="P1989" t="s">
        <v>35</v>
      </c>
      <c r="Q1989" s="2">
        <v>36822.21</v>
      </c>
      <c r="R1989" s="2">
        <v>1382.85</v>
      </c>
      <c r="S1989" t="s">
        <v>36</v>
      </c>
      <c r="T1989" t="s">
        <v>71</v>
      </c>
      <c r="U1989" t="s">
        <v>38</v>
      </c>
      <c r="V1989">
        <v>4.5</v>
      </c>
      <c r="W1989" t="s">
        <v>103</v>
      </c>
      <c r="X1989" t="s">
        <v>106</v>
      </c>
      <c r="Y1989" t="s">
        <v>41</v>
      </c>
    </row>
    <row r="1990" spans="1:25" x14ac:dyDescent="0.3">
      <c r="A1990" t="s">
        <v>4057</v>
      </c>
      <c r="B1990" s="1">
        <v>46914</v>
      </c>
      <c r="C1990" t="s">
        <v>78</v>
      </c>
      <c r="D1990" t="s">
        <v>58</v>
      </c>
      <c r="E1990" t="s">
        <v>89</v>
      </c>
      <c r="F1990" t="s">
        <v>28</v>
      </c>
      <c r="G1990" t="s">
        <v>29</v>
      </c>
      <c r="H1990" t="s">
        <v>61</v>
      </c>
      <c r="I1990">
        <v>14</v>
      </c>
      <c r="J1990" t="s">
        <v>4058</v>
      </c>
      <c r="K1990">
        <v>28</v>
      </c>
      <c r="L1990" t="s">
        <v>80</v>
      </c>
      <c r="M1990">
        <v>1</v>
      </c>
      <c r="N1990" t="s">
        <v>64</v>
      </c>
      <c r="O1990" t="s">
        <v>69</v>
      </c>
      <c r="P1990" t="s">
        <v>82</v>
      </c>
      <c r="Q1990" s="2">
        <v>8164.88</v>
      </c>
      <c r="R1990" s="2">
        <v>2330.33</v>
      </c>
      <c r="S1990" t="s">
        <v>51</v>
      </c>
      <c r="T1990" t="s">
        <v>71</v>
      </c>
      <c r="U1990" t="s">
        <v>38</v>
      </c>
      <c r="V1990">
        <v>4.0999999999999996</v>
      </c>
      <c r="W1990" t="s">
        <v>39</v>
      </c>
      <c r="X1990" t="s">
        <v>84</v>
      </c>
      <c r="Y1990" t="s">
        <v>72</v>
      </c>
    </row>
    <row r="1991" spans="1:25" x14ac:dyDescent="0.3">
      <c r="A1991" t="s">
        <v>4059</v>
      </c>
      <c r="B1991" s="1">
        <v>46915</v>
      </c>
      <c r="C1991" t="s">
        <v>117</v>
      </c>
      <c r="D1991" t="s">
        <v>4083</v>
      </c>
      <c r="E1991" t="s">
        <v>45</v>
      </c>
      <c r="F1991" t="s">
        <v>28</v>
      </c>
      <c r="G1991" t="s">
        <v>29</v>
      </c>
      <c r="H1991" t="s">
        <v>67</v>
      </c>
      <c r="I1991">
        <v>14</v>
      </c>
      <c r="J1991" t="s">
        <v>4060</v>
      </c>
      <c r="K1991">
        <v>27</v>
      </c>
      <c r="L1991" t="s">
        <v>63</v>
      </c>
      <c r="M1991">
        <v>7</v>
      </c>
      <c r="N1991" t="s">
        <v>64</v>
      </c>
      <c r="O1991" t="s">
        <v>49</v>
      </c>
      <c r="P1991" t="s">
        <v>35</v>
      </c>
      <c r="Q1991" s="2">
        <v>39066.49</v>
      </c>
      <c r="R1991" s="2">
        <v>2296</v>
      </c>
      <c r="S1991" t="s">
        <v>36</v>
      </c>
      <c r="T1991" t="s">
        <v>37</v>
      </c>
      <c r="U1991" t="s">
        <v>83</v>
      </c>
      <c r="V1991">
        <v>3.3</v>
      </c>
      <c r="W1991" t="s">
        <v>76</v>
      </c>
      <c r="X1991" t="s">
        <v>84</v>
      </c>
      <c r="Y1991" t="s">
        <v>72</v>
      </c>
    </row>
    <row r="1992" spans="1:25" x14ac:dyDescent="0.3">
      <c r="A1992" t="s">
        <v>4061</v>
      </c>
      <c r="B1992" s="1">
        <v>46916</v>
      </c>
      <c r="C1992" t="s">
        <v>78</v>
      </c>
      <c r="D1992" t="s">
        <v>58</v>
      </c>
      <c r="E1992" t="s">
        <v>4084</v>
      </c>
      <c r="F1992" t="s">
        <v>60</v>
      </c>
      <c r="G1992" t="s">
        <v>29</v>
      </c>
      <c r="H1992" t="s">
        <v>30</v>
      </c>
      <c r="I1992">
        <v>5</v>
      </c>
      <c r="J1992" t="s">
        <v>4062</v>
      </c>
      <c r="K1992">
        <v>40</v>
      </c>
      <c r="L1992" t="s">
        <v>80</v>
      </c>
      <c r="M1992">
        <v>4</v>
      </c>
      <c r="N1992" t="s">
        <v>48</v>
      </c>
      <c r="O1992" t="s">
        <v>81</v>
      </c>
      <c r="P1992" t="s">
        <v>35</v>
      </c>
      <c r="Q1992" s="2">
        <v>29607.64</v>
      </c>
      <c r="R1992" s="2">
        <v>4976.42</v>
      </c>
      <c r="S1992" t="s">
        <v>51</v>
      </c>
      <c r="T1992" t="s">
        <v>52</v>
      </c>
      <c r="U1992" t="s">
        <v>75</v>
      </c>
      <c r="V1992">
        <v>3.6</v>
      </c>
      <c r="W1992" t="s">
        <v>54</v>
      </c>
      <c r="X1992" t="s">
        <v>106</v>
      </c>
      <c r="Y1992" t="s">
        <v>41</v>
      </c>
    </row>
    <row r="1993" spans="1:25" x14ac:dyDescent="0.3">
      <c r="A1993" t="s">
        <v>4063</v>
      </c>
      <c r="B1993" s="1">
        <v>46917</v>
      </c>
      <c r="C1993" t="s">
        <v>43</v>
      </c>
      <c r="D1993" t="s">
        <v>58</v>
      </c>
      <c r="E1993" t="s">
        <v>120</v>
      </c>
      <c r="F1993" t="s">
        <v>28</v>
      </c>
      <c r="G1993" t="s">
        <v>29</v>
      </c>
      <c r="H1993" t="s">
        <v>86</v>
      </c>
      <c r="I1993">
        <v>11</v>
      </c>
      <c r="J1993" t="s">
        <v>4064</v>
      </c>
      <c r="K1993">
        <v>54</v>
      </c>
      <c r="L1993" t="s">
        <v>63</v>
      </c>
      <c r="M1993">
        <v>7</v>
      </c>
      <c r="N1993" t="s">
        <v>33</v>
      </c>
      <c r="O1993" t="s">
        <v>49</v>
      </c>
      <c r="P1993" t="s">
        <v>50</v>
      </c>
      <c r="Q1993" s="2">
        <v>17548.27</v>
      </c>
      <c r="R1993" s="2">
        <v>4745.8900000000003</v>
      </c>
      <c r="S1993" t="s">
        <v>36</v>
      </c>
      <c r="T1993" t="s">
        <v>52</v>
      </c>
      <c r="U1993" t="s">
        <v>75</v>
      </c>
      <c r="V1993">
        <v>1.4</v>
      </c>
      <c r="W1993" t="s">
        <v>124</v>
      </c>
      <c r="X1993" t="s">
        <v>65</v>
      </c>
      <c r="Y1993" t="s">
        <v>72</v>
      </c>
    </row>
    <row r="1994" spans="1:25" x14ac:dyDescent="0.3">
      <c r="A1994" t="s">
        <v>4065</v>
      </c>
      <c r="B1994" s="1">
        <v>46918</v>
      </c>
      <c r="C1994" t="s">
        <v>117</v>
      </c>
      <c r="D1994" t="s">
        <v>4083</v>
      </c>
      <c r="E1994" t="s">
        <v>4085</v>
      </c>
      <c r="F1994" t="s">
        <v>60</v>
      </c>
      <c r="G1994" t="s">
        <v>29</v>
      </c>
      <c r="H1994" t="s">
        <v>59</v>
      </c>
      <c r="I1994">
        <v>3</v>
      </c>
      <c r="J1994" t="s">
        <v>4066</v>
      </c>
      <c r="K1994">
        <v>58</v>
      </c>
      <c r="L1994" t="s">
        <v>63</v>
      </c>
      <c r="M1994">
        <v>7</v>
      </c>
      <c r="N1994" t="s">
        <v>91</v>
      </c>
      <c r="O1994" t="s">
        <v>49</v>
      </c>
      <c r="P1994" t="s">
        <v>35</v>
      </c>
      <c r="Q1994" s="2">
        <v>43815.85</v>
      </c>
      <c r="R1994" s="2">
        <v>2992.43</v>
      </c>
      <c r="S1994" t="s">
        <v>36</v>
      </c>
      <c r="T1994" t="s">
        <v>37</v>
      </c>
      <c r="U1994" t="s">
        <v>75</v>
      </c>
      <c r="V1994">
        <v>1.2</v>
      </c>
      <c r="W1994" t="s">
        <v>124</v>
      </c>
      <c r="X1994" t="s">
        <v>55</v>
      </c>
      <c r="Y1994" t="s">
        <v>41</v>
      </c>
    </row>
    <row r="1995" spans="1:25" x14ac:dyDescent="0.3">
      <c r="A1995" t="s">
        <v>4067</v>
      </c>
      <c r="B1995" s="1">
        <v>46919</v>
      </c>
      <c r="C1995" t="s">
        <v>57</v>
      </c>
      <c r="D1995" t="s">
        <v>44</v>
      </c>
      <c r="E1995" t="s">
        <v>4085</v>
      </c>
      <c r="F1995" t="s">
        <v>60</v>
      </c>
      <c r="G1995" t="s">
        <v>29</v>
      </c>
      <c r="H1995" t="s">
        <v>46</v>
      </c>
      <c r="I1995">
        <v>6</v>
      </c>
      <c r="J1995" t="s">
        <v>4068</v>
      </c>
      <c r="K1995">
        <v>69</v>
      </c>
      <c r="L1995" t="s">
        <v>63</v>
      </c>
      <c r="M1995">
        <v>4</v>
      </c>
      <c r="N1995" t="s">
        <v>91</v>
      </c>
      <c r="O1995" t="s">
        <v>49</v>
      </c>
      <c r="P1995" t="s">
        <v>50</v>
      </c>
      <c r="Q1995" s="2">
        <v>49373.23</v>
      </c>
      <c r="R1995" s="2">
        <v>689.87</v>
      </c>
      <c r="S1995" t="s">
        <v>115</v>
      </c>
      <c r="T1995" t="s">
        <v>37</v>
      </c>
      <c r="U1995" t="s">
        <v>83</v>
      </c>
      <c r="V1995">
        <v>2.2999999999999998</v>
      </c>
      <c r="W1995" t="s">
        <v>76</v>
      </c>
      <c r="X1995" t="s">
        <v>84</v>
      </c>
      <c r="Y1995" t="s">
        <v>72</v>
      </c>
    </row>
    <row r="1996" spans="1:25" x14ac:dyDescent="0.3">
      <c r="A1996" t="s">
        <v>4069</v>
      </c>
      <c r="B1996" s="1">
        <v>46920</v>
      </c>
      <c r="C1996" t="s">
        <v>26</v>
      </c>
      <c r="D1996" t="s">
        <v>26</v>
      </c>
      <c r="E1996" t="s">
        <v>120</v>
      </c>
      <c r="F1996" t="s">
        <v>28</v>
      </c>
      <c r="G1996" t="s">
        <v>29</v>
      </c>
      <c r="H1996" t="s">
        <v>86</v>
      </c>
      <c r="I1996">
        <v>10</v>
      </c>
      <c r="J1996" t="s">
        <v>4070</v>
      </c>
      <c r="K1996">
        <v>36</v>
      </c>
      <c r="L1996" t="s">
        <v>80</v>
      </c>
      <c r="M1996">
        <v>2</v>
      </c>
      <c r="N1996" t="s">
        <v>91</v>
      </c>
      <c r="O1996" t="s">
        <v>69</v>
      </c>
      <c r="P1996" t="s">
        <v>35</v>
      </c>
      <c r="Q1996" s="2">
        <v>16445.71</v>
      </c>
      <c r="R1996" s="2">
        <v>1292.98</v>
      </c>
      <c r="S1996" t="s">
        <v>51</v>
      </c>
      <c r="T1996" t="s">
        <v>52</v>
      </c>
      <c r="U1996" t="s">
        <v>53</v>
      </c>
      <c r="V1996">
        <v>4.3</v>
      </c>
      <c r="W1996" t="s">
        <v>54</v>
      </c>
      <c r="X1996" t="s">
        <v>106</v>
      </c>
      <c r="Y1996" t="s">
        <v>41</v>
      </c>
    </row>
    <row r="1997" spans="1:25" x14ac:dyDescent="0.3">
      <c r="A1997" t="s">
        <v>4071</v>
      </c>
      <c r="B1997" s="1">
        <v>46921</v>
      </c>
      <c r="C1997" t="s">
        <v>78</v>
      </c>
      <c r="D1997" t="s">
        <v>58</v>
      </c>
      <c r="E1997" t="s">
        <v>4085</v>
      </c>
      <c r="F1997" t="s">
        <v>60</v>
      </c>
      <c r="G1997" t="s">
        <v>29</v>
      </c>
      <c r="H1997" t="s">
        <v>46</v>
      </c>
      <c r="I1997">
        <v>10</v>
      </c>
      <c r="J1997" t="s">
        <v>4072</v>
      </c>
      <c r="K1997">
        <v>62</v>
      </c>
      <c r="L1997" t="s">
        <v>63</v>
      </c>
      <c r="M1997">
        <v>6</v>
      </c>
      <c r="N1997" t="s">
        <v>91</v>
      </c>
      <c r="O1997" t="s">
        <v>49</v>
      </c>
      <c r="P1997" t="s">
        <v>35</v>
      </c>
      <c r="Q1997" s="2">
        <v>41281.08</v>
      </c>
      <c r="R1997" s="2">
        <v>1818.81</v>
      </c>
      <c r="S1997" t="s">
        <v>94</v>
      </c>
      <c r="T1997" t="s">
        <v>37</v>
      </c>
      <c r="U1997" t="s">
        <v>83</v>
      </c>
      <c r="V1997">
        <v>2.9</v>
      </c>
      <c r="W1997" t="s">
        <v>76</v>
      </c>
      <c r="X1997" t="s">
        <v>40</v>
      </c>
      <c r="Y1997" t="s">
        <v>41</v>
      </c>
    </row>
    <row r="1998" spans="1:25" x14ac:dyDescent="0.3">
      <c r="A1998" t="s">
        <v>4073</v>
      </c>
      <c r="B1998" s="1">
        <v>46922</v>
      </c>
      <c r="C1998" t="s">
        <v>117</v>
      </c>
      <c r="D1998" t="s">
        <v>4083</v>
      </c>
      <c r="E1998" t="s">
        <v>4085</v>
      </c>
      <c r="F1998" t="s">
        <v>60</v>
      </c>
      <c r="G1998" t="s">
        <v>29</v>
      </c>
      <c r="H1998" t="s">
        <v>59</v>
      </c>
      <c r="I1998">
        <v>12</v>
      </c>
      <c r="J1998" t="s">
        <v>4074</v>
      </c>
      <c r="K1998">
        <v>35</v>
      </c>
      <c r="L1998" t="s">
        <v>32</v>
      </c>
      <c r="M1998">
        <v>6</v>
      </c>
      <c r="N1998" t="s">
        <v>64</v>
      </c>
      <c r="O1998" t="s">
        <v>34</v>
      </c>
      <c r="P1998" t="s">
        <v>82</v>
      </c>
      <c r="Q1998" s="2">
        <v>38757.480000000003</v>
      </c>
      <c r="R1998" s="2">
        <v>4366.0600000000004</v>
      </c>
      <c r="S1998" t="s">
        <v>36</v>
      </c>
      <c r="T1998" t="s">
        <v>71</v>
      </c>
      <c r="U1998" t="s">
        <v>75</v>
      </c>
      <c r="V1998">
        <v>1.9</v>
      </c>
      <c r="W1998" t="s">
        <v>124</v>
      </c>
      <c r="X1998" t="s">
        <v>40</v>
      </c>
      <c r="Y1998" t="s">
        <v>41</v>
      </c>
    </row>
    <row r="1999" spans="1:25" x14ac:dyDescent="0.3">
      <c r="A1999" t="s">
        <v>4075</v>
      </c>
      <c r="B1999" s="1">
        <v>46923</v>
      </c>
      <c r="C1999" t="s">
        <v>43</v>
      </c>
      <c r="D1999" t="s">
        <v>58</v>
      </c>
      <c r="E1999" t="s">
        <v>120</v>
      </c>
      <c r="F1999" t="s">
        <v>28</v>
      </c>
      <c r="G1999" t="s">
        <v>29</v>
      </c>
      <c r="H1999" t="s">
        <v>86</v>
      </c>
      <c r="I1999">
        <v>14</v>
      </c>
      <c r="J1999" t="s">
        <v>4076</v>
      </c>
      <c r="K1999">
        <v>66</v>
      </c>
      <c r="L1999" t="s">
        <v>63</v>
      </c>
      <c r="M1999">
        <v>5</v>
      </c>
      <c r="N1999" t="s">
        <v>64</v>
      </c>
      <c r="O1999" t="s">
        <v>81</v>
      </c>
      <c r="P1999" t="s">
        <v>70</v>
      </c>
      <c r="Q1999" s="2">
        <v>38623.56</v>
      </c>
      <c r="R1999" s="2">
        <v>853.16</v>
      </c>
      <c r="S1999" t="s">
        <v>94</v>
      </c>
      <c r="T1999" t="s">
        <v>52</v>
      </c>
      <c r="U1999" t="s">
        <v>75</v>
      </c>
      <c r="V1999">
        <v>4.3</v>
      </c>
      <c r="W1999" t="s">
        <v>54</v>
      </c>
      <c r="X1999" t="s">
        <v>84</v>
      </c>
      <c r="Y1999" t="s">
        <v>72</v>
      </c>
    </row>
    <row r="2000" spans="1:25" x14ac:dyDescent="0.3">
      <c r="A2000" t="s">
        <v>4077</v>
      </c>
      <c r="B2000" s="1">
        <v>46924</v>
      </c>
      <c r="C2000" t="s">
        <v>117</v>
      </c>
      <c r="D2000" t="s">
        <v>4083</v>
      </c>
      <c r="E2000" t="s">
        <v>120</v>
      </c>
      <c r="F2000" t="s">
        <v>28</v>
      </c>
      <c r="G2000" t="s">
        <v>29</v>
      </c>
      <c r="H2000" t="s">
        <v>86</v>
      </c>
      <c r="I2000">
        <v>13</v>
      </c>
      <c r="J2000" t="s">
        <v>4078</v>
      </c>
      <c r="K2000">
        <v>44</v>
      </c>
      <c r="L2000" t="s">
        <v>32</v>
      </c>
      <c r="M2000">
        <v>2</v>
      </c>
      <c r="N2000" t="s">
        <v>48</v>
      </c>
      <c r="O2000" t="s">
        <v>69</v>
      </c>
      <c r="P2000" t="s">
        <v>35</v>
      </c>
      <c r="Q2000" s="2">
        <v>48075.6</v>
      </c>
      <c r="R2000" s="2">
        <v>1098.73</v>
      </c>
      <c r="S2000" t="s">
        <v>115</v>
      </c>
      <c r="T2000" t="s">
        <v>52</v>
      </c>
      <c r="U2000" t="s">
        <v>38</v>
      </c>
      <c r="V2000">
        <v>1.9</v>
      </c>
      <c r="W2000" t="s">
        <v>124</v>
      </c>
      <c r="X2000" t="s">
        <v>55</v>
      </c>
      <c r="Y2000" t="s">
        <v>72</v>
      </c>
    </row>
    <row r="2001" spans="1:25" x14ac:dyDescent="0.3">
      <c r="A2001" t="s">
        <v>4079</v>
      </c>
      <c r="B2001" s="1">
        <v>46925</v>
      </c>
      <c r="C2001" t="s">
        <v>43</v>
      </c>
      <c r="D2001" t="s">
        <v>58</v>
      </c>
      <c r="E2001" t="s">
        <v>4084</v>
      </c>
      <c r="F2001" t="s">
        <v>60</v>
      </c>
      <c r="G2001" t="s">
        <v>29</v>
      </c>
      <c r="H2001" t="s">
        <v>27</v>
      </c>
      <c r="I2001">
        <v>13</v>
      </c>
      <c r="J2001" t="s">
        <v>4080</v>
      </c>
      <c r="K2001">
        <v>23</v>
      </c>
      <c r="L2001" t="s">
        <v>32</v>
      </c>
      <c r="M2001">
        <v>4</v>
      </c>
      <c r="N2001" t="s">
        <v>91</v>
      </c>
      <c r="O2001" t="s">
        <v>49</v>
      </c>
      <c r="P2001" t="s">
        <v>70</v>
      </c>
      <c r="Q2001" s="2">
        <v>26897.77</v>
      </c>
      <c r="R2001" s="2">
        <v>1746.92</v>
      </c>
      <c r="S2001" t="s">
        <v>94</v>
      </c>
      <c r="T2001" t="s">
        <v>37</v>
      </c>
      <c r="U2001" t="s">
        <v>38</v>
      </c>
      <c r="V2001">
        <v>4.3</v>
      </c>
      <c r="W2001" t="s">
        <v>39</v>
      </c>
      <c r="X2001" t="s">
        <v>106</v>
      </c>
      <c r="Y2001" t="s">
        <v>41</v>
      </c>
    </row>
    <row r="2002" spans="1:25" x14ac:dyDescent="0.3">
      <c r="A2002" t="s">
        <v>4081</v>
      </c>
      <c r="B2002" s="1">
        <v>46926</v>
      </c>
      <c r="C2002" t="s">
        <v>57</v>
      </c>
      <c r="D2002" t="s">
        <v>44</v>
      </c>
      <c r="E2002" t="s">
        <v>4084</v>
      </c>
      <c r="F2002" t="s">
        <v>60</v>
      </c>
      <c r="G2002" t="s">
        <v>29</v>
      </c>
      <c r="H2002" t="s">
        <v>30</v>
      </c>
      <c r="I2002">
        <v>10</v>
      </c>
      <c r="J2002" t="s">
        <v>4082</v>
      </c>
      <c r="K2002">
        <v>27</v>
      </c>
      <c r="L2002" t="s">
        <v>32</v>
      </c>
      <c r="M2002">
        <v>2</v>
      </c>
      <c r="N2002" t="s">
        <v>91</v>
      </c>
      <c r="O2002" t="s">
        <v>34</v>
      </c>
      <c r="P2002" t="s">
        <v>70</v>
      </c>
      <c r="Q2002" s="2">
        <v>35337.56</v>
      </c>
      <c r="R2002" s="2">
        <v>4634.55</v>
      </c>
      <c r="S2002" t="s">
        <v>36</v>
      </c>
      <c r="T2002" t="s">
        <v>71</v>
      </c>
      <c r="U2002" t="s">
        <v>38</v>
      </c>
      <c r="V2002">
        <v>2.8</v>
      </c>
      <c r="W2002" t="s">
        <v>76</v>
      </c>
      <c r="X2002" t="s">
        <v>106</v>
      </c>
      <c r="Y2002" t="s">
        <v>72</v>
      </c>
    </row>
  </sheetData>
  <mergeCells count="1">
    <mergeCell ref="A1:Y1"/>
  </mergeCells>
  <conditionalFormatting sqref="Q3:Q2002">
    <cfRule type="colorScale" priority="4">
      <colorScale>
        <cfvo type="min"/>
        <cfvo type="max"/>
        <color rgb="FFFCFCFF"/>
        <color rgb="FFF8696B"/>
      </colorScale>
    </cfRule>
  </conditionalFormatting>
  <conditionalFormatting sqref="R3:R2002">
    <cfRule type="colorScale" priority="3">
      <colorScale>
        <cfvo type="min"/>
        <cfvo type="max"/>
        <color rgb="FFFCFCFF"/>
        <color rgb="FF63BE7B"/>
      </colorScale>
    </cfRule>
  </conditionalFormatting>
  <conditionalFormatting sqref="V3:V2002">
    <cfRule type="iconSet" priority="1">
      <iconSet iconSet="5Rating">
        <cfvo type="percent" val="0"/>
        <cfvo type="percent" val="20"/>
        <cfvo type="percent" val="40"/>
        <cfvo type="percent" val="60"/>
        <cfvo type="percent" val="80"/>
      </iconSet>
    </cfRule>
    <cfRule type="iconSet" priority="2">
      <iconSet iconSet="4Rating">
        <cfvo type="percent" val="0"/>
        <cfvo type="percent" val="25"/>
        <cfvo type="percent" val="50"/>
        <cfvo type="percent" val="75"/>
      </iconSet>
    </cfRule>
  </conditionalFormatting>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4C9-6786-48D6-91DB-5981118F216B}">
  <dimension ref="A2:S150"/>
  <sheetViews>
    <sheetView topLeftCell="A117" zoomScale="43" zoomScaleNormal="10" workbookViewId="0">
      <selection activeCell="AS216" sqref="AS216"/>
    </sheetView>
  </sheetViews>
  <sheetFormatPr defaultRowHeight="14.4" x14ac:dyDescent="0.3"/>
  <cols>
    <col min="1" max="1" width="23.33203125" bestFit="1" customWidth="1"/>
    <col min="2" max="2" width="25.21875" bestFit="1" customWidth="1"/>
    <col min="3" max="3" width="24.109375" bestFit="1" customWidth="1"/>
    <col min="4" max="4" width="32.88671875" bestFit="1" customWidth="1"/>
    <col min="5" max="5" width="20.77734375" bestFit="1" customWidth="1"/>
    <col min="6" max="6" width="23.6640625" bestFit="1" customWidth="1"/>
    <col min="7" max="7" width="21" bestFit="1" customWidth="1"/>
    <col min="8" max="8" width="21.21875" bestFit="1" customWidth="1"/>
    <col min="9" max="9" width="17.44140625" bestFit="1" customWidth="1"/>
    <col min="10" max="10" width="13" bestFit="1" customWidth="1"/>
    <col min="11" max="11" width="21.77734375" bestFit="1" customWidth="1"/>
    <col min="12" max="12" width="19" bestFit="1" customWidth="1"/>
    <col min="13" max="13" width="17.44140625" bestFit="1" customWidth="1"/>
    <col min="14" max="14" width="13" bestFit="1" customWidth="1"/>
    <col min="16" max="16" width="19" bestFit="1" customWidth="1"/>
    <col min="17" max="17" width="17.44140625" bestFit="1" customWidth="1"/>
    <col min="18" max="18" width="16.88671875" customWidth="1"/>
  </cols>
  <sheetData>
    <row r="2" spans="1:19" x14ac:dyDescent="0.3">
      <c r="G2" s="20" t="s">
        <v>4092</v>
      </c>
      <c r="H2" s="20"/>
      <c r="I2" s="20"/>
      <c r="J2" s="20"/>
      <c r="K2" s="20"/>
    </row>
    <row r="3" spans="1:19" x14ac:dyDescent="0.3">
      <c r="A3" t="s">
        <v>4089</v>
      </c>
      <c r="B3" t="s">
        <v>4091</v>
      </c>
      <c r="C3" t="s">
        <v>4087</v>
      </c>
      <c r="D3" t="s">
        <v>4088</v>
      </c>
      <c r="E3" t="s">
        <v>4104</v>
      </c>
      <c r="G3" s="6" t="s">
        <v>4093</v>
      </c>
      <c r="H3" s="6" t="s">
        <v>4106</v>
      </c>
      <c r="I3" s="6" t="s">
        <v>4095</v>
      </c>
      <c r="J3" s="6" t="s">
        <v>4103</v>
      </c>
      <c r="K3" s="6" t="s">
        <v>4105</v>
      </c>
    </row>
    <row r="4" spans="1:19" x14ac:dyDescent="0.3">
      <c r="A4" s="29">
        <v>2000</v>
      </c>
      <c r="B4" s="29">
        <v>8005</v>
      </c>
      <c r="C4" s="2">
        <v>54188281.530000024</v>
      </c>
      <c r="D4" s="2">
        <v>4992086.2400000095</v>
      </c>
      <c r="E4" s="2">
        <v>49196195.290000014</v>
      </c>
      <c r="G4" s="4">
        <f t="shared" ref="G4:K4" si="0">A4</f>
        <v>2000</v>
      </c>
      <c r="H4" s="4">
        <f t="shared" si="0"/>
        <v>8005</v>
      </c>
      <c r="I4" s="11">
        <f t="shared" si="0"/>
        <v>54188281.530000024</v>
      </c>
      <c r="J4" s="11">
        <f t="shared" si="0"/>
        <v>4992086.2400000095</v>
      </c>
      <c r="K4" s="11">
        <f t="shared" si="0"/>
        <v>49196195.290000014</v>
      </c>
    </row>
    <row r="15" spans="1:19" ht="23.4" x14ac:dyDescent="0.45">
      <c r="A15" s="21" t="s">
        <v>4096</v>
      </c>
      <c r="B15" s="21"/>
      <c r="C15" s="21"/>
      <c r="D15" s="21"/>
      <c r="E15" s="21"/>
      <c r="F15" s="21"/>
      <c r="G15" s="21"/>
      <c r="H15" s="21"/>
      <c r="I15" s="21"/>
      <c r="J15" s="21"/>
      <c r="K15" s="21"/>
      <c r="L15" s="21"/>
      <c r="M15" s="21"/>
      <c r="N15" s="21"/>
      <c r="O15" s="21"/>
      <c r="P15" s="21"/>
      <c r="Q15" s="21"/>
      <c r="R15" s="21"/>
      <c r="S15" s="21"/>
    </row>
    <row r="18" spans="1:18" x14ac:dyDescent="0.3">
      <c r="A18" s="7" t="s">
        <v>4097</v>
      </c>
      <c r="B18" t="s">
        <v>4089</v>
      </c>
      <c r="D18" s="6" t="str">
        <f t="shared" ref="D18:E19" si="1">A18</f>
        <v>Row Labels</v>
      </c>
      <c r="E18" s="6" t="s">
        <v>4093</v>
      </c>
      <c r="F18" s="6" t="s">
        <v>4100</v>
      </c>
      <c r="H18" s="6" t="str">
        <f t="shared" ref="H18" si="2">A18</f>
        <v>Row Labels</v>
      </c>
      <c r="I18" s="6" t="s">
        <v>4093</v>
      </c>
      <c r="J18" s="6" t="s">
        <v>4100</v>
      </c>
      <c r="L18" s="6" t="str">
        <f t="shared" ref="L18" si="3">A18</f>
        <v>Row Labels</v>
      </c>
      <c r="M18" s="6" t="s">
        <v>4093</v>
      </c>
      <c r="N18" s="6" t="s">
        <v>4100</v>
      </c>
      <c r="P18" s="6" t="str">
        <f t="shared" ref="P18:Q21" si="4">A18</f>
        <v>Row Labels</v>
      </c>
      <c r="Q18" s="6" t="s">
        <v>4093</v>
      </c>
      <c r="R18" s="6" t="s">
        <v>4100</v>
      </c>
    </row>
    <row r="19" spans="1:18" x14ac:dyDescent="0.3">
      <c r="A19" s="8" t="s">
        <v>45</v>
      </c>
      <c r="B19">
        <v>414</v>
      </c>
      <c r="D19" s="4" t="str">
        <f t="shared" si="1"/>
        <v>Andaman</v>
      </c>
      <c r="E19" s="4">
        <f t="shared" si="1"/>
        <v>414</v>
      </c>
      <c r="F19" s="9">
        <f>E19/GETPIVOTDATA("Tour_ID",$A$18)</f>
        <v>0.33795918367346939</v>
      </c>
      <c r="H19" s="4" t="str">
        <f>A20</f>
        <v>Rajasthan</v>
      </c>
      <c r="I19" s="4">
        <f>B20</f>
        <v>414</v>
      </c>
      <c r="J19" s="9">
        <f>I19/GETPIVOTDATA("Tour_ID",$A$18)</f>
        <v>0.33795918367346939</v>
      </c>
      <c r="L19" s="4" t="str">
        <f>A21</f>
        <v>Himachal Pradesh</v>
      </c>
      <c r="M19" s="4">
        <f>B21</f>
        <v>397</v>
      </c>
      <c r="N19" s="9">
        <f>M19/GETPIVOTDATA("Tour_ID",$A$18)</f>
        <v>0.32408163265306122</v>
      </c>
      <c r="P19" s="4" t="str">
        <f t="shared" si="4"/>
        <v>Andaman</v>
      </c>
      <c r="Q19" s="4">
        <f t="shared" si="4"/>
        <v>414</v>
      </c>
      <c r="R19" s="9">
        <f>Q19/GETPIVOTDATA("Tour_ID",$A$18)</f>
        <v>0.33795918367346939</v>
      </c>
    </row>
    <row r="20" spans="1:18" x14ac:dyDescent="0.3">
      <c r="A20" s="8" t="s">
        <v>4084</v>
      </c>
      <c r="B20">
        <v>414</v>
      </c>
      <c r="D20" s="4" t="s">
        <v>4099</v>
      </c>
      <c r="E20" s="4">
        <f>GETPIVOTDATA("Tour_ID",$A$18,"Destination","Rajasthan")+GETPIVOTDATA("Tour_ID",$A$18,"Destination","Himachal Pradesh")</f>
        <v>811</v>
      </c>
      <c r="F20" s="9">
        <f>E20/GETPIVOTDATA("Tour_ID",$A$18)</f>
        <v>0.66204081632653056</v>
      </c>
      <c r="H20" s="4" t="s">
        <v>4099</v>
      </c>
      <c r="I20" s="4">
        <f>GETPIVOTDATA("Tour_ID",$A$18,"Destination","Andaman")+GETPIVOTDATA("Tour_ID",$A$18,"Destination","Himachal Pradesh")</f>
        <v>811</v>
      </c>
      <c r="J20" s="9">
        <f>I20/GETPIVOTDATA("Tour_ID",$A$18)</f>
        <v>0.66204081632653056</v>
      </c>
      <c r="L20" s="4" t="s">
        <v>4099</v>
      </c>
      <c r="M20" s="4">
        <f>GETPIVOTDATA("Tour_ID",$A$18,"Destination","Andaman")+GETPIVOTDATA("Tour_ID",$A$18,"Destination","Rajasthan")</f>
        <v>828</v>
      </c>
      <c r="N20" s="9">
        <f>M20/GETPIVOTDATA("Tour_ID",$A$18)</f>
        <v>0.67591836734693878</v>
      </c>
      <c r="P20" s="4" t="str">
        <f t="shared" si="4"/>
        <v>Rajasthan</v>
      </c>
      <c r="Q20" s="4">
        <f t="shared" si="4"/>
        <v>414</v>
      </c>
      <c r="R20" s="9">
        <f t="shared" ref="R20:R21" si="5">Q20/GETPIVOTDATA("Tour_ID",$A$18)</f>
        <v>0.33795918367346939</v>
      </c>
    </row>
    <row r="21" spans="1:18" x14ac:dyDescent="0.3">
      <c r="A21" s="8" t="s">
        <v>4085</v>
      </c>
      <c r="B21">
        <v>397</v>
      </c>
      <c r="P21" s="4" t="str">
        <f t="shared" si="4"/>
        <v>Himachal Pradesh</v>
      </c>
      <c r="Q21" s="4">
        <f t="shared" si="4"/>
        <v>397</v>
      </c>
      <c r="R21" s="9">
        <f t="shared" si="5"/>
        <v>0.32408163265306122</v>
      </c>
    </row>
    <row r="22" spans="1:18" x14ac:dyDescent="0.3">
      <c r="A22" s="8" t="s">
        <v>4098</v>
      </c>
      <c r="B22">
        <v>1225</v>
      </c>
    </row>
    <row r="38" spans="1:19" ht="25.8" x14ac:dyDescent="0.5">
      <c r="A38" s="22" t="s">
        <v>4101</v>
      </c>
      <c r="B38" s="22"/>
      <c r="C38" s="22"/>
      <c r="D38" s="22"/>
      <c r="E38" s="22"/>
      <c r="F38" s="22"/>
      <c r="G38" s="22"/>
      <c r="H38" s="22"/>
      <c r="I38" s="22"/>
      <c r="J38" s="22"/>
      <c r="K38" s="22"/>
      <c r="L38" s="22"/>
      <c r="M38" s="22"/>
      <c r="N38" s="22"/>
      <c r="O38" s="22"/>
      <c r="P38" s="22"/>
      <c r="Q38" s="22"/>
      <c r="R38" s="22"/>
      <c r="S38" s="22"/>
    </row>
    <row r="41" spans="1:19" x14ac:dyDescent="0.3">
      <c r="A41" s="7" t="s">
        <v>4097</v>
      </c>
      <c r="B41" t="s">
        <v>4087</v>
      </c>
      <c r="C41" t="s">
        <v>4088</v>
      </c>
      <c r="E41" s="6" t="s">
        <v>4102</v>
      </c>
      <c r="F41" s="6" t="s">
        <v>4095</v>
      </c>
      <c r="G41" s="6" t="s">
        <v>4103</v>
      </c>
    </row>
    <row r="42" spans="1:19" x14ac:dyDescent="0.3">
      <c r="A42" s="8" t="s">
        <v>53</v>
      </c>
      <c r="B42" s="2">
        <v>14159007.380000014</v>
      </c>
      <c r="C42" s="2">
        <v>1229697.4999999998</v>
      </c>
      <c r="E42" s="4" t="str">
        <f t="shared" ref="E42:G45" si="6">A42</f>
        <v>Monsoon</v>
      </c>
      <c r="F42" s="4">
        <f t="shared" si="6"/>
        <v>14159007.380000014</v>
      </c>
      <c r="G42" s="4">
        <f t="shared" si="6"/>
        <v>1229697.4999999998</v>
      </c>
    </row>
    <row r="43" spans="1:19" x14ac:dyDescent="0.3">
      <c r="A43" s="8" t="s">
        <v>38</v>
      </c>
      <c r="B43" s="2">
        <v>13458509.32</v>
      </c>
      <c r="C43" s="2">
        <v>1219634.6899999995</v>
      </c>
      <c r="E43" s="4" t="str">
        <f t="shared" si="6"/>
        <v>Spring</v>
      </c>
      <c r="F43" s="4">
        <f t="shared" si="6"/>
        <v>13458509.32</v>
      </c>
      <c r="G43" s="4">
        <f t="shared" si="6"/>
        <v>1219634.6899999995</v>
      </c>
    </row>
    <row r="44" spans="1:19" x14ac:dyDescent="0.3">
      <c r="A44" s="8" t="s">
        <v>75</v>
      </c>
      <c r="B44" s="2">
        <v>14402398.930000013</v>
      </c>
      <c r="C44" s="2">
        <v>1358783.7499999995</v>
      </c>
      <c r="E44" s="4" t="str">
        <f t="shared" si="6"/>
        <v>Summer</v>
      </c>
      <c r="F44" s="4">
        <f t="shared" si="6"/>
        <v>14402398.930000013</v>
      </c>
      <c r="G44" s="4">
        <f t="shared" si="6"/>
        <v>1358783.7499999995</v>
      </c>
    </row>
    <row r="45" spans="1:19" x14ac:dyDescent="0.3">
      <c r="A45" s="8" t="s">
        <v>83</v>
      </c>
      <c r="B45" s="2">
        <v>12168365.899999989</v>
      </c>
      <c r="C45" s="2">
        <v>1183970.3000000007</v>
      </c>
      <c r="E45" s="4" t="str">
        <f t="shared" si="6"/>
        <v>Winter</v>
      </c>
      <c r="F45" s="4">
        <f t="shared" si="6"/>
        <v>12168365.899999989</v>
      </c>
      <c r="G45" s="4">
        <f t="shared" si="6"/>
        <v>1183970.3000000007</v>
      </c>
    </row>
    <row r="46" spans="1:19" x14ac:dyDescent="0.3">
      <c r="A46" s="8" t="s">
        <v>4098</v>
      </c>
      <c r="B46" s="2">
        <v>54188281.530000016</v>
      </c>
      <c r="C46" s="2">
        <v>4992086.24</v>
      </c>
    </row>
    <row r="61" spans="1:19" ht="25.8" x14ac:dyDescent="0.5">
      <c r="A61" s="22" t="s">
        <v>4107</v>
      </c>
      <c r="B61" s="22"/>
      <c r="C61" s="22"/>
      <c r="D61" s="22"/>
      <c r="E61" s="22"/>
      <c r="F61" s="22"/>
      <c r="G61" s="22"/>
      <c r="H61" s="22"/>
      <c r="I61" s="22"/>
      <c r="J61" s="22"/>
      <c r="K61" s="22"/>
      <c r="L61" s="22"/>
      <c r="M61" s="22"/>
      <c r="N61" s="22"/>
      <c r="O61" s="22"/>
      <c r="P61" s="22"/>
      <c r="Q61" s="22"/>
      <c r="R61" s="22"/>
      <c r="S61" s="22"/>
    </row>
    <row r="62" spans="1:19" ht="25.8" x14ac:dyDescent="0.5">
      <c r="A62" s="3"/>
      <c r="B62" s="3"/>
      <c r="C62" s="3"/>
      <c r="D62" s="3"/>
      <c r="E62" s="3"/>
      <c r="F62" s="3"/>
      <c r="G62" s="3"/>
      <c r="H62" s="3"/>
      <c r="I62" s="3"/>
      <c r="J62" s="3"/>
      <c r="K62" s="3"/>
      <c r="L62" s="3"/>
      <c r="M62" s="3"/>
      <c r="N62" s="3"/>
      <c r="O62" s="3"/>
      <c r="P62" s="3"/>
      <c r="Q62" s="3"/>
      <c r="R62" s="3"/>
      <c r="S62" s="3"/>
    </row>
    <row r="63" spans="1:19" ht="25.8" x14ac:dyDescent="0.5">
      <c r="A63" s="3"/>
      <c r="B63" s="3"/>
      <c r="C63" s="3"/>
      <c r="D63" s="3"/>
      <c r="E63" s="3"/>
      <c r="F63" s="3"/>
      <c r="G63" s="3"/>
      <c r="H63" s="3"/>
      <c r="I63" s="3"/>
      <c r="J63" s="3"/>
      <c r="K63" s="3"/>
      <c r="L63" s="3"/>
      <c r="M63" s="3"/>
      <c r="N63" s="3"/>
      <c r="O63" s="3"/>
      <c r="P63" s="3"/>
      <c r="Q63" s="3"/>
      <c r="R63" s="3"/>
      <c r="S63" s="3"/>
    </row>
    <row r="64" spans="1:19" x14ac:dyDescent="0.3">
      <c r="A64" s="7" t="s">
        <v>2</v>
      </c>
      <c r="B64" t="s">
        <v>117</v>
      </c>
    </row>
    <row r="66" spans="1:8" x14ac:dyDescent="0.3">
      <c r="A66" s="7" t="s">
        <v>4097</v>
      </c>
      <c r="B66" t="s">
        <v>4089</v>
      </c>
      <c r="C66" t="s">
        <v>4104</v>
      </c>
      <c r="E66" s="6" t="s">
        <v>4108</v>
      </c>
      <c r="F66" s="6" t="s">
        <v>4093</v>
      </c>
      <c r="G66" s="6" t="s">
        <v>4100</v>
      </c>
      <c r="H66" s="6" t="s">
        <v>4105</v>
      </c>
    </row>
    <row r="67" spans="1:8" x14ac:dyDescent="0.3">
      <c r="A67" s="8" t="s">
        <v>45</v>
      </c>
      <c r="B67">
        <v>86</v>
      </c>
      <c r="C67" s="2">
        <v>2024926.9200000006</v>
      </c>
      <c r="E67" s="4" t="str">
        <f t="shared" ref="E67:F71" si="7">A67</f>
        <v>Andaman</v>
      </c>
      <c r="F67" s="4">
        <f t="shared" si="7"/>
        <v>86</v>
      </c>
      <c r="G67" s="9">
        <f>H67/GETPIVOTDATA("Sum of Revenue",$A$66)</f>
        <v>0.20009118874862677</v>
      </c>
      <c r="H67" s="4">
        <f>C67</f>
        <v>2024926.9200000006</v>
      </c>
    </row>
    <row r="68" spans="1:8" x14ac:dyDescent="0.3">
      <c r="A68" s="8" t="s">
        <v>120</v>
      </c>
      <c r="B68">
        <v>83</v>
      </c>
      <c r="C68" s="2">
        <v>1977087.1099999994</v>
      </c>
      <c r="E68" s="4" t="str">
        <f t="shared" si="7"/>
        <v>Goa</v>
      </c>
      <c r="F68" s="4">
        <f t="shared" si="7"/>
        <v>83</v>
      </c>
      <c r="G68" s="9">
        <f>H68/GETPIVOTDATA("Sum of Revenue",$A$66)</f>
        <v>0.19536394434397011</v>
      </c>
      <c r="H68" s="4">
        <f>C68</f>
        <v>1977087.1099999994</v>
      </c>
    </row>
    <row r="69" spans="1:8" x14ac:dyDescent="0.3">
      <c r="A69" s="8" t="s">
        <v>4085</v>
      </c>
      <c r="B69">
        <v>79</v>
      </c>
      <c r="C69" s="2">
        <v>1973973.9400000009</v>
      </c>
      <c r="E69" s="4" t="str">
        <f t="shared" si="7"/>
        <v>Himachal Pradesh</v>
      </c>
      <c r="F69" s="4">
        <f t="shared" si="7"/>
        <v>79</v>
      </c>
      <c r="G69" s="9">
        <f>H69/GETPIVOTDATA("Sum of Revenue",$A$66)</f>
        <v>0.1950563194712284</v>
      </c>
      <c r="H69" s="4">
        <f>C69</f>
        <v>1973973.9400000009</v>
      </c>
    </row>
    <row r="70" spans="1:8" x14ac:dyDescent="0.3">
      <c r="A70" s="8" t="s">
        <v>89</v>
      </c>
      <c r="B70">
        <v>87</v>
      </c>
      <c r="C70" s="2">
        <v>2237609.7800000012</v>
      </c>
      <c r="E70" s="4" t="str">
        <f t="shared" si="7"/>
        <v>Kerala</v>
      </c>
      <c r="F70" s="4">
        <f t="shared" si="7"/>
        <v>87</v>
      </c>
      <c r="G70" s="9">
        <f>H70/GETPIVOTDATA("Sum of Revenue",$A$66)</f>
        <v>0.2211072391865645</v>
      </c>
      <c r="H70" s="4">
        <f>C70</f>
        <v>2237609.7800000012</v>
      </c>
    </row>
    <row r="71" spans="1:8" x14ac:dyDescent="0.3">
      <c r="A71" s="8" t="s">
        <v>4084</v>
      </c>
      <c r="B71">
        <v>80</v>
      </c>
      <c r="C71" s="2">
        <v>1906422.6899999997</v>
      </c>
      <c r="E71" s="4" t="str">
        <f t="shared" si="7"/>
        <v>Rajasthan</v>
      </c>
      <c r="F71" s="4">
        <f t="shared" si="7"/>
        <v>80</v>
      </c>
      <c r="G71" s="9">
        <f>H71/GETPIVOTDATA("Sum of Revenue",$A$66)</f>
        <v>0.18838130824961064</v>
      </c>
      <c r="H71" s="4">
        <f>C71</f>
        <v>1906422.6899999997</v>
      </c>
    </row>
    <row r="72" spans="1:8" x14ac:dyDescent="0.3">
      <c r="A72" s="8" t="s">
        <v>4098</v>
      </c>
      <c r="B72">
        <v>415</v>
      </c>
      <c r="C72" s="2">
        <v>10120020.439999998</v>
      </c>
    </row>
    <row r="87" spans="1:19" ht="28.8" x14ac:dyDescent="0.55000000000000004">
      <c r="A87" s="19" t="s">
        <v>4109</v>
      </c>
      <c r="B87" s="19"/>
      <c r="C87" s="19"/>
      <c r="D87" s="19"/>
      <c r="E87" s="19"/>
      <c r="F87" s="19"/>
      <c r="G87" s="19"/>
      <c r="H87" s="19"/>
      <c r="I87" s="19"/>
      <c r="J87" s="19"/>
      <c r="K87" s="19"/>
      <c r="L87" s="19"/>
      <c r="M87" s="19"/>
      <c r="N87" s="19"/>
      <c r="O87" s="19"/>
      <c r="P87" s="19"/>
      <c r="Q87" s="19"/>
      <c r="R87" s="19"/>
      <c r="S87" s="19"/>
    </row>
    <row r="90" spans="1:19" x14ac:dyDescent="0.3">
      <c r="A90" s="7" t="s">
        <v>4097</v>
      </c>
      <c r="B90" t="s">
        <v>4089</v>
      </c>
      <c r="E90" s="6" t="s">
        <v>4110</v>
      </c>
      <c r="F90" s="6" t="s">
        <v>4093</v>
      </c>
      <c r="G90" s="6" t="s">
        <v>4100</v>
      </c>
    </row>
    <row r="91" spans="1:19" x14ac:dyDescent="0.3">
      <c r="A91" s="8" t="s">
        <v>84</v>
      </c>
      <c r="B91">
        <v>415</v>
      </c>
      <c r="E91" s="4" t="str">
        <f t="shared" ref="E91:F95" si="8">A91</f>
        <v>Anita</v>
      </c>
      <c r="F91" s="4">
        <f t="shared" si="8"/>
        <v>415</v>
      </c>
      <c r="G91" s="9">
        <f>F91/GETPIVOTDATA("Tour_ID",$A$90)</f>
        <v>0.20749999999999999</v>
      </c>
    </row>
    <row r="92" spans="1:19" x14ac:dyDescent="0.3">
      <c r="A92" s="8" t="s">
        <v>55</v>
      </c>
      <c r="B92">
        <v>362</v>
      </c>
      <c r="E92" s="4" t="str">
        <f t="shared" si="8"/>
        <v>Joseph</v>
      </c>
      <c r="F92" s="4">
        <f t="shared" si="8"/>
        <v>362</v>
      </c>
      <c r="G92" s="9">
        <f t="shared" ref="G92:G95" si="9">F92/GETPIVOTDATA("Tour_ID",$A$90)</f>
        <v>0.18099999999999999</v>
      </c>
    </row>
    <row r="93" spans="1:19" x14ac:dyDescent="0.3">
      <c r="A93" s="8" t="s">
        <v>40</v>
      </c>
      <c r="B93">
        <v>391</v>
      </c>
      <c r="E93" s="4" t="str">
        <f t="shared" si="8"/>
        <v>Kiran</v>
      </c>
      <c r="F93" s="4">
        <f t="shared" si="8"/>
        <v>391</v>
      </c>
      <c r="G93" s="9">
        <f t="shared" si="9"/>
        <v>0.19550000000000001</v>
      </c>
    </row>
    <row r="94" spans="1:19" x14ac:dyDescent="0.3">
      <c r="A94" s="8" t="s">
        <v>106</v>
      </c>
      <c r="B94">
        <v>422</v>
      </c>
      <c r="E94" s="4" t="str">
        <f t="shared" si="8"/>
        <v>Meena</v>
      </c>
      <c r="F94" s="4">
        <f t="shared" si="8"/>
        <v>422</v>
      </c>
      <c r="G94" s="9">
        <f t="shared" si="9"/>
        <v>0.21099999999999999</v>
      </c>
    </row>
    <row r="95" spans="1:19" x14ac:dyDescent="0.3">
      <c r="A95" s="8" t="s">
        <v>65</v>
      </c>
      <c r="B95">
        <v>410</v>
      </c>
      <c r="E95" s="4" t="str">
        <f t="shared" si="8"/>
        <v>Raj</v>
      </c>
      <c r="F95" s="4">
        <f t="shared" si="8"/>
        <v>410</v>
      </c>
      <c r="G95" s="9">
        <f t="shared" si="9"/>
        <v>0.20499999999999999</v>
      </c>
    </row>
    <row r="96" spans="1:19" x14ac:dyDescent="0.3">
      <c r="A96" s="8" t="s">
        <v>4098</v>
      </c>
      <c r="B96">
        <v>2000</v>
      </c>
    </row>
    <row r="102" spans="1:19" ht="31.2" x14ac:dyDescent="0.6">
      <c r="A102" s="17" t="s">
        <v>4111</v>
      </c>
      <c r="B102" s="17"/>
      <c r="C102" s="17"/>
      <c r="D102" s="17"/>
      <c r="E102" s="17"/>
      <c r="F102" s="17"/>
      <c r="G102" s="17"/>
      <c r="H102" s="17"/>
      <c r="I102" s="17"/>
      <c r="J102" s="17"/>
      <c r="K102" s="17"/>
      <c r="L102" s="17"/>
      <c r="M102" s="17"/>
      <c r="N102" s="17"/>
      <c r="O102" s="17"/>
      <c r="P102" s="17"/>
      <c r="Q102" s="17"/>
      <c r="R102" s="17"/>
      <c r="S102" s="17"/>
    </row>
    <row r="105" spans="1:19" x14ac:dyDescent="0.3">
      <c r="A105" s="7" t="s">
        <v>4097</v>
      </c>
      <c r="B105" t="s">
        <v>4090</v>
      </c>
      <c r="E105" s="6" t="s">
        <v>4112</v>
      </c>
      <c r="F105" s="6" t="s">
        <v>4094</v>
      </c>
      <c r="G105" s="5"/>
      <c r="H105" s="5"/>
    </row>
    <row r="106" spans="1:19" x14ac:dyDescent="0.3">
      <c r="A106" s="8" t="s">
        <v>59</v>
      </c>
      <c r="B106">
        <v>1295</v>
      </c>
      <c r="E106" s="4" t="str">
        <f t="shared" ref="E106:E112" si="10">A106</f>
        <v>Manali</v>
      </c>
      <c r="F106" s="4">
        <f t="shared" ref="F106:F112" si="11">B106</f>
        <v>1295</v>
      </c>
      <c r="H106" s="10"/>
    </row>
    <row r="107" spans="1:19" x14ac:dyDescent="0.3">
      <c r="A107" s="8" t="s">
        <v>30</v>
      </c>
      <c r="B107">
        <v>1464</v>
      </c>
      <c r="E107" s="4" t="str">
        <f t="shared" si="10"/>
        <v>Udaipur</v>
      </c>
      <c r="F107" s="4">
        <f t="shared" si="11"/>
        <v>1464</v>
      </c>
      <c r="H107" s="10"/>
    </row>
    <row r="108" spans="1:19" x14ac:dyDescent="0.3">
      <c r="A108" s="8" t="s">
        <v>46</v>
      </c>
      <c r="B108">
        <v>2121</v>
      </c>
      <c r="E108" s="4" t="str">
        <f t="shared" si="10"/>
        <v>Shimla</v>
      </c>
      <c r="F108" s="4">
        <f t="shared" si="11"/>
        <v>2121</v>
      </c>
      <c r="H108" s="10"/>
    </row>
    <row r="109" spans="1:19" x14ac:dyDescent="0.3">
      <c r="A109" s="8" t="s">
        <v>27</v>
      </c>
      <c r="B109">
        <v>2173</v>
      </c>
      <c r="E109" s="4" t="str">
        <f t="shared" si="10"/>
        <v>Jaipur</v>
      </c>
      <c r="F109" s="4">
        <f t="shared" si="11"/>
        <v>2173</v>
      </c>
      <c r="H109" s="10"/>
    </row>
    <row r="110" spans="1:19" x14ac:dyDescent="0.3">
      <c r="A110" s="8" t="s">
        <v>86</v>
      </c>
      <c r="B110">
        <v>3151</v>
      </c>
      <c r="E110" s="4" t="str">
        <f t="shared" si="10"/>
        <v>Panaji</v>
      </c>
      <c r="F110" s="4">
        <f t="shared" si="11"/>
        <v>3151</v>
      </c>
      <c r="H110" s="10"/>
    </row>
    <row r="111" spans="1:19" x14ac:dyDescent="0.3">
      <c r="A111" s="8" t="s">
        <v>61</v>
      </c>
      <c r="B111">
        <v>3317</v>
      </c>
      <c r="E111" s="4" t="str">
        <f t="shared" si="10"/>
        <v>Kochi</v>
      </c>
      <c r="F111" s="4">
        <f t="shared" si="11"/>
        <v>3317</v>
      </c>
      <c r="H111" s="10"/>
    </row>
    <row r="112" spans="1:19" x14ac:dyDescent="0.3">
      <c r="A112" s="8" t="s">
        <v>67</v>
      </c>
      <c r="B112">
        <v>3532</v>
      </c>
      <c r="E112" s="4" t="str">
        <f t="shared" si="10"/>
        <v>Port Blair</v>
      </c>
      <c r="F112" s="4">
        <f t="shared" si="11"/>
        <v>3532</v>
      </c>
      <c r="H112" s="10"/>
    </row>
    <row r="113" spans="1:19" x14ac:dyDescent="0.3">
      <c r="A113" s="8" t="s">
        <v>4098</v>
      </c>
      <c r="B113">
        <v>17053</v>
      </c>
    </row>
    <row r="119" spans="1:19" ht="33.6" x14ac:dyDescent="0.65">
      <c r="A119" s="18" t="s">
        <v>4114</v>
      </c>
      <c r="B119" s="18"/>
      <c r="C119" s="18"/>
      <c r="D119" s="18"/>
      <c r="E119" s="18"/>
      <c r="F119" s="18"/>
      <c r="G119" s="18"/>
      <c r="H119" s="18"/>
      <c r="I119" s="18"/>
      <c r="J119" s="18"/>
      <c r="K119" s="18"/>
      <c r="L119" s="18"/>
      <c r="M119" s="18"/>
      <c r="N119" s="18"/>
      <c r="O119" s="18"/>
      <c r="P119" s="18"/>
      <c r="Q119" s="18"/>
      <c r="R119" s="18"/>
      <c r="S119" s="18"/>
    </row>
    <row r="122" spans="1:19" x14ac:dyDescent="0.3">
      <c r="A122" s="7" t="s">
        <v>4097</v>
      </c>
      <c r="B122" t="s">
        <v>4089</v>
      </c>
      <c r="E122" s="6" t="s">
        <v>4113</v>
      </c>
      <c r="F122" s="6" t="s">
        <v>4093</v>
      </c>
    </row>
    <row r="123" spans="1:19" x14ac:dyDescent="0.3">
      <c r="A123" s="8" t="s">
        <v>91</v>
      </c>
      <c r="B123" s="29">
        <v>528</v>
      </c>
      <c r="E123" s="4" t="str">
        <f t="shared" ref="E123:F126" si="12">A123</f>
        <v>Train</v>
      </c>
      <c r="F123" s="4">
        <f t="shared" si="12"/>
        <v>528</v>
      </c>
    </row>
    <row r="124" spans="1:19" x14ac:dyDescent="0.3">
      <c r="A124" s="8" t="s">
        <v>64</v>
      </c>
      <c r="B124" s="29">
        <v>501</v>
      </c>
      <c r="E124" s="4" t="str">
        <f t="shared" si="12"/>
        <v>Flight</v>
      </c>
      <c r="F124" s="4">
        <f t="shared" si="12"/>
        <v>501</v>
      </c>
    </row>
    <row r="125" spans="1:19" x14ac:dyDescent="0.3">
      <c r="A125" s="8" t="s">
        <v>48</v>
      </c>
      <c r="B125" s="29">
        <v>492</v>
      </c>
      <c r="E125" s="4" t="str">
        <f t="shared" si="12"/>
        <v>Bus</v>
      </c>
      <c r="F125" s="4">
        <f t="shared" si="12"/>
        <v>492</v>
      </c>
    </row>
    <row r="126" spans="1:19" x14ac:dyDescent="0.3">
      <c r="A126" s="8" t="s">
        <v>33</v>
      </c>
      <c r="B126" s="29">
        <v>479</v>
      </c>
      <c r="E126" s="4" t="str">
        <f t="shared" si="12"/>
        <v>Cruise</v>
      </c>
      <c r="F126" s="4">
        <f t="shared" si="12"/>
        <v>479</v>
      </c>
    </row>
    <row r="127" spans="1:19" x14ac:dyDescent="0.3">
      <c r="A127" s="8" t="s">
        <v>4098</v>
      </c>
      <c r="B127" s="29">
        <v>2000</v>
      </c>
    </row>
    <row r="141" spans="1:19" ht="28.8" x14ac:dyDescent="0.55000000000000004">
      <c r="A141" s="19" t="s">
        <v>4115</v>
      </c>
      <c r="B141" s="19"/>
      <c r="C141" s="19"/>
      <c r="D141" s="19"/>
      <c r="E141" s="19"/>
      <c r="F141" s="19"/>
      <c r="G141" s="19"/>
      <c r="H141" s="19"/>
      <c r="I141" s="19"/>
      <c r="J141" s="19"/>
      <c r="K141" s="19"/>
      <c r="L141" s="19"/>
      <c r="M141" s="19"/>
      <c r="N141" s="19"/>
      <c r="O141" s="19"/>
      <c r="P141" s="19"/>
      <c r="Q141" s="19"/>
      <c r="R141" s="19"/>
      <c r="S141" s="19"/>
    </row>
    <row r="144" spans="1:19" x14ac:dyDescent="0.3">
      <c r="A144" s="7" t="s">
        <v>4097</v>
      </c>
      <c r="B144" t="s">
        <v>4089</v>
      </c>
      <c r="D144" s="6" t="s">
        <v>4108</v>
      </c>
      <c r="E144" s="6" t="s">
        <v>4093</v>
      </c>
    </row>
    <row r="145" spans="1:5" x14ac:dyDescent="0.3">
      <c r="A145" s="8" t="s">
        <v>45</v>
      </c>
      <c r="B145">
        <v>414</v>
      </c>
      <c r="D145" s="4" t="str">
        <f t="shared" ref="D145:E149" si="13">A145</f>
        <v>Andaman</v>
      </c>
      <c r="E145" s="4">
        <f t="shared" si="13"/>
        <v>414</v>
      </c>
    </row>
    <row r="146" spans="1:5" x14ac:dyDescent="0.3">
      <c r="A146" s="8" t="s">
        <v>120</v>
      </c>
      <c r="B146">
        <v>380</v>
      </c>
      <c r="D146" s="4" t="str">
        <f t="shared" si="13"/>
        <v>Goa</v>
      </c>
      <c r="E146" s="4">
        <f t="shared" si="13"/>
        <v>380</v>
      </c>
    </row>
    <row r="147" spans="1:5" x14ac:dyDescent="0.3">
      <c r="A147" s="8" t="s">
        <v>4085</v>
      </c>
      <c r="B147">
        <v>397</v>
      </c>
      <c r="D147" s="4" t="str">
        <f t="shared" si="13"/>
        <v>Himachal Pradesh</v>
      </c>
      <c r="E147" s="4">
        <f t="shared" si="13"/>
        <v>397</v>
      </c>
    </row>
    <row r="148" spans="1:5" x14ac:dyDescent="0.3">
      <c r="A148" s="8" t="s">
        <v>89</v>
      </c>
      <c r="B148">
        <v>395</v>
      </c>
      <c r="D148" s="4" t="str">
        <f t="shared" si="13"/>
        <v>Kerala</v>
      </c>
      <c r="E148" s="4">
        <f t="shared" si="13"/>
        <v>395</v>
      </c>
    </row>
    <row r="149" spans="1:5" x14ac:dyDescent="0.3">
      <c r="A149" s="8" t="s">
        <v>4084</v>
      </c>
      <c r="B149">
        <v>414</v>
      </c>
      <c r="D149" s="4" t="str">
        <f t="shared" si="13"/>
        <v>Rajasthan</v>
      </c>
      <c r="E149" s="4">
        <f t="shared" si="13"/>
        <v>414</v>
      </c>
    </row>
    <row r="150" spans="1:5" x14ac:dyDescent="0.3">
      <c r="A150" s="8" t="s">
        <v>4098</v>
      </c>
      <c r="B150">
        <v>2000</v>
      </c>
    </row>
  </sheetData>
  <mergeCells count="8">
    <mergeCell ref="A102:S102"/>
    <mergeCell ref="A119:S119"/>
    <mergeCell ref="A141:S141"/>
    <mergeCell ref="G2:K2"/>
    <mergeCell ref="A15:S15"/>
    <mergeCell ref="A38:S38"/>
    <mergeCell ref="A61:S61"/>
    <mergeCell ref="A87:S87"/>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993D6-4D31-4B21-976D-C5399DA4EF15}">
  <dimension ref="A2:S82"/>
  <sheetViews>
    <sheetView zoomScale="28" workbookViewId="0">
      <selection activeCell="AA41" sqref="AA41"/>
    </sheetView>
  </sheetViews>
  <sheetFormatPr defaultRowHeight="14.4" x14ac:dyDescent="0.3"/>
  <cols>
    <col min="1" max="1" width="10.88671875" bestFit="1" customWidth="1"/>
    <col min="2" max="2" width="17.5546875" bestFit="1" customWidth="1"/>
    <col min="3" max="3" width="16.6640625" bestFit="1" customWidth="1"/>
    <col min="4" max="4" width="13.44140625" bestFit="1" customWidth="1"/>
    <col min="5" max="5" width="15.44140625" bestFit="1" customWidth="1"/>
    <col min="6" max="6" width="16.6640625" bestFit="1" customWidth="1"/>
    <col min="7" max="7" width="12.33203125" bestFit="1" customWidth="1"/>
    <col min="9" max="9" width="10.88671875" bestFit="1" customWidth="1"/>
    <col min="10" max="10" width="16.6640625" bestFit="1" customWidth="1"/>
    <col min="11" max="11" width="12.33203125" bestFit="1" customWidth="1"/>
    <col min="13" max="13" width="10.88671875" bestFit="1" customWidth="1"/>
    <col min="14" max="14" width="16.6640625" bestFit="1" customWidth="1"/>
    <col min="15" max="15" width="12.33203125" bestFit="1" customWidth="1"/>
  </cols>
  <sheetData>
    <row r="2" spans="1:19" x14ac:dyDescent="0.3">
      <c r="A2" s="26" t="s">
        <v>4092</v>
      </c>
      <c r="B2" s="26"/>
      <c r="C2" s="26"/>
      <c r="D2" s="26"/>
      <c r="E2" s="26"/>
    </row>
    <row r="3" spans="1:19" x14ac:dyDescent="0.3">
      <c r="A3" s="14" t="s">
        <v>4093</v>
      </c>
      <c r="B3" s="14" t="s">
        <v>4106</v>
      </c>
      <c r="C3" s="14" t="s">
        <v>4095</v>
      </c>
      <c r="D3" s="14" t="s">
        <v>4103</v>
      </c>
      <c r="E3" s="14" t="s">
        <v>4105</v>
      </c>
    </row>
    <row r="4" spans="1:19" x14ac:dyDescent="0.3">
      <c r="A4" s="4">
        <v>2000</v>
      </c>
      <c r="B4" s="4">
        <v>8005</v>
      </c>
      <c r="C4" s="4">
        <v>54188281.530000024</v>
      </c>
      <c r="D4" s="4">
        <v>4992086.2400000095</v>
      </c>
      <c r="E4" s="4">
        <v>49196195.290000014</v>
      </c>
    </row>
    <row r="9" spans="1:19" ht="23.4" x14ac:dyDescent="0.45">
      <c r="A9" s="27" t="s">
        <v>4096</v>
      </c>
      <c r="B9" s="27"/>
      <c r="C9" s="27"/>
      <c r="D9" s="27"/>
      <c r="E9" s="27"/>
      <c r="F9" s="27"/>
      <c r="G9" s="27"/>
      <c r="H9" s="27"/>
      <c r="I9" s="27"/>
      <c r="J9" s="27"/>
      <c r="K9" s="27"/>
      <c r="L9" s="27"/>
      <c r="M9" s="27"/>
      <c r="N9" s="27"/>
      <c r="O9" s="27"/>
      <c r="P9" s="27"/>
      <c r="Q9" s="27"/>
      <c r="R9" s="27"/>
      <c r="S9" s="27"/>
    </row>
    <row r="12" spans="1:19" x14ac:dyDescent="0.3">
      <c r="A12" s="15" t="s">
        <v>4097</v>
      </c>
      <c r="B12" s="15" t="s">
        <v>4093</v>
      </c>
      <c r="C12" s="15" t="s">
        <v>4100</v>
      </c>
      <c r="E12" s="15" t="s">
        <v>4097</v>
      </c>
      <c r="F12" s="15" t="s">
        <v>4093</v>
      </c>
      <c r="G12" s="15" t="s">
        <v>4100</v>
      </c>
      <c r="H12" s="5"/>
      <c r="I12" s="15" t="s">
        <v>4097</v>
      </c>
      <c r="J12" s="15" t="s">
        <v>4093</v>
      </c>
      <c r="K12" s="15" t="s">
        <v>4100</v>
      </c>
      <c r="L12" s="5"/>
      <c r="M12" s="15" t="s">
        <v>4097</v>
      </c>
      <c r="N12" s="15" t="s">
        <v>4093</v>
      </c>
      <c r="O12" s="15" t="s">
        <v>4100</v>
      </c>
    </row>
    <row r="13" spans="1:19" x14ac:dyDescent="0.3">
      <c r="A13" s="4" t="s">
        <v>45</v>
      </c>
      <c r="B13" s="4">
        <v>414</v>
      </c>
      <c r="C13" s="4">
        <v>0.33795918367346939</v>
      </c>
      <c r="E13" s="4" t="s">
        <v>4084</v>
      </c>
      <c r="F13" s="4">
        <v>414</v>
      </c>
      <c r="G13" s="4">
        <v>0.33795918367346939</v>
      </c>
      <c r="I13" s="4" t="s">
        <v>4085</v>
      </c>
      <c r="J13" s="4">
        <v>397</v>
      </c>
      <c r="K13" s="4">
        <v>0.32408163265306122</v>
      </c>
      <c r="M13" s="4" t="s">
        <v>45</v>
      </c>
      <c r="N13" s="4">
        <v>414</v>
      </c>
      <c r="O13" s="4">
        <v>0.33795918367346939</v>
      </c>
    </row>
    <row r="14" spans="1:19" x14ac:dyDescent="0.3">
      <c r="A14" s="4" t="s">
        <v>4099</v>
      </c>
      <c r="B14" s="4">
        <v>811</v>
      </c>
      <c r="C14" s="4">
        <v>0.66204081632653056</v>
      </c>
      <c r="E14" s="4" t="s">
        <v>4099</v>
      </c>
      <c r="F14" s="4">
        <v>811</v>
      </c>
      <c r="G14" s="4">
        <v>0.66204081632653056</v>
      </c>
      <c r="I14" s="4" t="s">
        <v>4099</v>
      </c>
      <c r="J14" s="4">
        <v>828</v>
      </c>
      <c r="K14" s="4">
        <v>0.67591836734693878</v>
      </c>
      <c r="M14" s="4" t="s">
        <v>4084</v>
      </c>
      <c r="N14" s="4">
        <v>414</v>
      </c>
      <c r="O14" s="4">
        <v>0.33795918367346939</v>
      </c>
    </row>
    <row r="15" spans="1:19" x14ac:dyDescent="0.3">
      <c r="M15" s="4" t="s">
        <v>4085</v>
      </c>
      <c r="N15" s="4">
        <v>397</v>
      </c>
      <c r="O15" s="4">
        <v>0.32408163265306122</v>
      </c>
    </row>
    <row r="19" spans="1:19" ht="25.8" x14ac:dyDescent="0.5">
      <c r="A19" s="28" t="s">
        <v>4101</v>
      </c>
      <c r="B19" s="28"/>
      <c r="C19" s="28"/>
      <c r="D19" s="28"/>
      <c r="E19" s="28"/>
      <c r="F19" s="28"/>
      <c r="G19" s="28"/>
      <c r="H19" s="28"/>
      <c r="I19" s="28"/>
      <c r="J19" s="28"/>
      <c r="K19" s="28"/>
      <c r="L19" s="28"/>
      <c r="M19" s="28"/>
      <c r="N19" s="28"/>
      <c r="O19" s="28"/>
      <c r="P19" s="28"/>
      <c r="Q19" s="28"/>
      <c r="R19" s="28"/>
      <c r="S19" s="28"/>
    </row>
    <row r="22" spans="1:19" x14ac:dyDescent="0.3">
      <c r="B22" s="15" t="s">
        <v>4102</v>
      </c>
      <c r="C22" s="15" t="s">
        <v>4095</v>
      </c>
      <c r="D22" s="15" t="s">
        <v>4103</v>
      </c>
    </row>
    <row r="23" spans="1:19" x14ac:dyDescent="0.3">
      <c r="B23" s="4" t="s">
        <v>53</v>
      </c>
      <c r="C23" s="4">
        <v>14159007.380000014</v>
      </c>
      <c r="D23" s="4">
        <v>1229697.4999999998</v>
      </c>
    </row>
    <row r="24" spans="1:19" x14ac:dyDescent="0.3">
      <c r="B24" s="4" t="s">
        <v>38</v>
      </c>
      <c r="C24" s="4">
        <v>13458509.32</v>
      </c>
      <c r="D24" s="4">
        <v>1219634.6899999995</v>
      </c>
    </row>
    <row r="25" spans="1:19" x14ac:dyDescent="0.3">
      <c r="B25" s="4" t="s">
        <v>75</v>
      </c>
      <c r="C25" s="4">
        <v>14402398.930000013</v>
      </c>
      <c r="D25" s="4">
        <v>1358783.7499999995</v>
      </c>
    </row>
    <row r="26" spans="1:19" x14ac:dyDescent="0.3">
      <c r="B26" s="4" t="s">
        <v>83</v>
      </c>
      <c r="C26" s="4">
        <v>12168365.899999989</v>
      </c>
      <c r="D26" s="4">
        <v>1183970.3000000007</v>
      </c>
    </row>
    <row r="29" spans="1:19" ht="25.8" x14ac:dyDescent="0.5">
      <c r="A29" s="28" t="s">
        <v>4107</v>
      </c>
      <c r="B29" s="28"/>
      <c r="C29" s="28"/>
      <c r="D29" s="28"/>
      <c r="E29" s="28"/>
      <c r="F29" s="28"/>
      <c r="G29" s="28"/>
      <c r="H29" s="28"/>
      <c r="I29" s="28"/>
      <c r="J29" s="28"/>
      <c r="K29" s="28"/>
      <c r="L29" s="28"/>
      <c r="M29" s="28"/>
      <c r="N29" s="28"/>
      <c r="O29" s="28"/>
      <c r="P29" s="28"/>
      <c r="Q29" s="28"/>
      <c r="R29" s="28"/>
      <c r="S29" s="28"/>
    </row>
    <row r="32" spans="1:19" x14ac:dyDescent="0.3">
      <c r="B32" s="15" t="s">
        <v>4108</v>
      </c>
      <c r="C32" s="15" t="s">
        <v>4093</v>
      </c>
      <c r="D32" s="15" t="s">
        <v>4100</v>
      </c>
      <c r="E32" s="15" t="s">
        <v>4105</v>
      </c>
    </row>
    <row r="33" spans="1:19" x14ac:dyDescent="0.3">
      <c r="B33" s="4" t="s">
        <v>45</v>
      </c>
      <c r="C33" s="4">
        <v>86</v>
      </c>
      <c r="D33" s="4">
        <v>0.20009118874862677</v>
      </c>
      <c r="E33" s="4">
        <v>2024926.9200000006</v>
      </c>
    </row>
    <row r="34" spans="1:19" x14ac:dyDescent="0.3">
      <c r="B34" s="4" t="s">
        <v>120</v>
      </c>
      <c r="C34" s="4">
        <v>83</v>
      </c>
      <c r="D34" s="4">
        <v>0.19536394434397011</v>
      </c>
      <c r="E34" s="4">
        <v>1977087.1099999994</v>
      </c>
    </row>
    <row r="35" spans="1:19" x14ac:dyDescent="0.3">
      <c r="B35" s="4" t="s">
        <v>4085</v>
      </c>
      <c r="C35" s="4">
        <v>79</v>
      </c>
      <c r="D35" s="4">
        <v>0.1950563194712284</v>
      </c>
      <c r="E35" s="4">
        <v>1973973.9400000009</v>
      </c>
    </row>
    <row r="36" spans="1:19" x14ac:dyDescent="0.3">
      <c r="B36" s="4" t="s">
        <v>89</v>
      </c>
      <c r="C36" s="4">
        <v>87</v>
      </c>
      <c r="D36" s="4">
        <v>0.2211072391865645</v>
      </c>
      <c r="E36" s="4">
        <v>2237609.7800000012</v>
      </c>
    </row>
    <row r="37" spans="1:19" x14ac:dyDescent="0.3">
      <c r="B37" s="4" t="s">
        <v>4084</v>
      </c>
      <c r="C37" s="4">
        <v>80</v>
      </c>
      <c r="D37" s="4">
        <v>0.18838130824961064</v>
      </c>
      <c r="E37" s="4">
        <v>1906422.6899999997</v>
      </c>
    </row>
    <row r="40" spans="1:19" ht="28.8" x14ac:dyDescent="0.55000000000000004">
      <c r="A40" s="25" t="s">
        <v>4109</v>
      </c>
      <c r="B40" s="25"/>
      <c r="C40" s="25"/>
      <c r="D40" s="25"/>
      <c r="E40" s="25"/>
      <c r="F40" s="25"/>
      <c r="G40" s="25"/>
      <c r="H40" s="25"/>
      <c r="I40" s="25"/>
      <c r="J40" s="25"/>
      <c r="K40" s="25"/>
      <c r="L40" s="25"/>
      <c r="M40" s="25"/>
      <c r="N40" s="25"/>
      <c r="O40" s="25"/>
      <c r="P40" s="25"/>
      <c r="Q40" s="25"/>
      <c r="R40" s="25"/>
      <c r="S40" s="25"/>
    </row>
    <row r="43" spans="1:19" x14ac:dyDescent="0.3">
      <c r="B43" s="15" t="s">
        <v>4110</v>
      </c>
      <c r="C43" s="15" t="s">
        <v>4093</v>
      </c>
      <c r="D43" s="15" t="s">
        <v>4100</v>
      </c>
    </row>
    <row r="44" spans="1:19" x14ac:dyDescent="0.3">
      <c r="B44" s="4" t="s">
        <v>84</v>
      </c>
      <c r="C44" s="4">
        <v>415</v>
      </c>
      <c r="D44" s="4">
        <v>0.20749999999999999</v>
      </c>
    </row>
    <row r="45" spans="1:19" x14ac:dyDescent="0.3">
      <c r="B45" s="4" t="s">
        <v>55</v>
      </c>
      <c r="C45" s="4">
        <v>362</v>
      </c>
      <c r="D45" s="4">
        <v>0.18099999999999999</v>
      </c>
    </row>
    <row r="46" spans="1:19" x14ac:dyDescent="0.3">
      <c r="B46" s="4" t="s">
        <v>40</v>
      </c>
      <c r="C46" s="4">
        <v>391</v>
      </c>
      <c r="D46" s="4">
        <v>0.19550000000000001</v>
      </c>
    </row>
    <row r="47" spans="1:19" x14ac:dyDescent="0.3">
      <c r="B47" s="4" t="s">
        <v>106</v>
      </c>
      <c r="C47" s="4">
        <v>422</v>
      </c>
      <c r="D47" s="4">
        <v>0.21099999999999999</v>
      </c>
    </row>
    <row r="48" spans="1:19" x14ac:dyDescent="0.3">
      <c r="B48" s="4" t="s">
        <v>65</v>
      </c>
      <c r="C48" s="4">
        <v>410</v>
      </c>
      <c r="D48" s="4">
        <v>0.20499999999999999</v>
      </c>
    </row>
    <row r="51" spans="1:19" ht="31.2" x14ac:dyDescent="0.6">
      <c r="A51" s="23" t="s">
        <v>4111</v>
      </c>
      <c r="B51" s="23"/>
      <c r="C51" s="23"/>
      <c r="D51" s="23"/>
      <c r="E51" s="23"/>
      <c r="F51" s="23"/>
      <c r="G51" s="23"/>
      <c r="H51" s="23"/>
      <c r="I51" s="23"/>
      <c r="J51" s="23"/>
      <c r="K51" s="23"/>
      <c r="L51" s="23"/>
      <c r="M51" s="23"/>
      <c r="N51" s="23"/>
      <c r="O51" s="23"/>
      <c r="P51" s="23"/>
      <c r="Q51" s="23"/>
      <c r="R51" s="23"/>
      <c r="S51" s="23"/>
    </row>
    <row r="54" spans="1:19" x14ac:dyDescent="0.3">
      <c r="B54" s="15" t="s">
        <v>4112</v>
      </c>
      <c r="C54" s="15" t="s">
        <v>4094</v>
      </c>
    </row>
    <row r="55" spans="1:19" x14ac:dyDescent="0.3">
      <c r="B55" s="4" t="s">
        <v>59</v>
      </c>
      <c r="C55" s="4">
        <v>1295</v>
      </c>
    </row>
    <row r="56" spans="1:19" x14ac:dyDescent="0.3">
      <c r="B56" s="4" t="s">
        <v>30</v>
      </c>
      <c r="C56" s="4">
        <v>1464</v>
      </c>
    </row>
    <row r="57" spans="1:19" x14ac:dyDescent="0.3">
      <c r="B57" s="4" t="s">
        <v>46</v>
      </c>
      <c r="C57" s="4">
        <v>2121</v>
      </c>
    </row>
    <row r="58" spans="1:19" x14ac:dyDescent="0.3">
      <c r="B58" s="4" t="s">
        <v>27</v>
      </c>
      <c r="C58" s="4">
        <v>2173</v>
      </c>
    </row>
    <row r="59" spans="1:19" x14ac:dyDescent="0.3">
      <c r="B59" s="4" t="s">
        <v>86</v>
      </c>
      <c r="C59" s="4">
        <v>3151</v>
      </c>
    </row>
    <row r="60" spans="1:19" x14ac:dyDescent="0.3">
      <c r="B60" s="4" t="s">
        <v>61</v>
      </c>
      <c r="C60" s="4">
        <v>3317</v>
      </c>
    </row>
    <row r="61" spans="1:19" x14ac:dyDescent="0.3">
      <c r="B61" s="4" t="s">
        <v>67</v>
      </c>
      <c r="C61" s="4">
        <v>3532</v>
      </c>
    </row>
    <row r="64" spans="1:19" ht="33.6" x14ac:dyDescent="0.65">
      <c r="A64" s="24" t="s">
        <v>4114</v>
      </c>
      <c r="B64" s="24"/>
      <c r="C64" s="24"/>
      <c r="D64" s="24"/>
      <c r="E64" s="24"/>
      <c r="F64" s="24"/>
      <c r="G64" s="24"/>
      <c r="H64" s="24"/>
      <c r="I64" s="24"/>
      <c r="J64" s="24"/>
      <c r="K64" s="24"/>
      <c r="L64" s="24"/>
      <c r="M64" s="24"/>
      <c r="N64" s="24"/>
      <c r="O64" s="24"/>
      <c r="P64" s="24"/>
      <c r="Q64" s="24"/>
      <c r="R64" s="24"/>
      <c r="S64" s="24"/>
    </row>
    <row r="67" spans="1:19" x14ac:dyDescent="0.3">
      <c r="B67" s="15" t="s">
        <v>4113</v>
      </c>
      <c r="C67" s="15" t="s">
        <v>4093</v>
      </c>
    </row>
    <row r="68" spans="1:19" x14ac:dyDescent="0.3">
      <c r="B68" s="4" t="s">
        <v>91</v>
      </c>
      <c r="C68" s="4">
        <v>528</v>
      </c>
    </row>
    <row r="69" spans="1:19" x14ac:dyDescent="0.3">
      <c r="B69" s="4" t="s">
        <v>64</v>
      </c>
      <c r="C69" s="4">
        <v>501</v>
      </c>
    </row>
    <row r="70" spans="1:19" x14ac:dyDescent="0.3">
      <c r="B70" s="4" t="s">
        <v>48</v>
      </c>
      <c r="C70" s="4">
        <v>492</v>
      </c>
    </row>
    <row r="71" spans="1:19" x14ac:dyDescent="0.3">
      <c r="B71" s="4" t="s">
        <v>33</v>
      </c>
      <c r="C71" s="4">
        <v>479</v>
      </c>
    </row>
    <row r="74" spans="1:19" ht="28.8" x14ac:dyDescent="0.55000000000000004">
      <c r="A74" s="25" t="s">
        <v>4115</v>
      </c>
      <c r="B74" s="25"/>
      <c r="C74" s="25"/>
      <c r="D74" s="25"/>
      <c r="E74" s="25"/>
      <c r="F74" s="25"/>
      <c r="G74" s="25"/>
      <c r="H74" s="25"/>
      <c r="I74" s="25"/>
      <c r="J74" s="25"/>
      <c r="K74" s="25"/>
      <c r="L74" s="25"/>
      <c r="M74" s="25"/>
      <c r="N74" s="25"/>
      <c r="O74" s="25"/>
      <c r="P74" s="25"/>
      <c r="Q74" s="25"/>
      <c r="R74" s="25"/>
      <c r="S74" s="25"/>
    </row>
    <row r="77" spans="1:19" x14ac:dyDescent="0.3">
      <c r="B77" s="15" t="s">
        <v>4108</v>
      </c>
      <c r="C77" s="15" t="s">
        <v>4093</v>
      </c>
    </row>
    <row r="78" spans="1:19" x14ac:dyDescent="0.3">
      <c r="B78" s="4" t="s">
        <v>45</v>
      </c>
      <c r="C78" s="4">
        <v>414</v>
      </c>
    </row>
    <row r="79" spans="1:19" x14ac:dyDescent="0.3">
      <c r="B79" s="4" t="s">
        <v>120</v>
      </c>
      <c r="C79" s="4">
        <v>380</v>
      </c>
    </row>
    <row r="80" spans="1:19" x14ac:dyDescent="0.3">
      <c r="B80" s="4" t="s">
        <v>4085</v>
      </c>
      <c r="C80" s="4">
        <v>397</v>
      </c>
    </row>
    <row r="81" spans="2:3" x14ac:dyDescent="0.3">
      <c r="B81" s="4" t="s">
        <v>89</v>
      </c>
      <c r="C81" s="4">
        <v>395</v>
      </c>
    </row>
    <row r="82" spans="2:3" x14ac:dyDescent="0.3">
      <c r="B82" s="4" t="s">
        <v>4084</v>
      </c>
      <c r="C82" s="4">
        <v>414</v>
      </c>
    </row>
  </sheetData>
  <mergeCells count="8">
    <mergeCell ref="A51:S51"/>
    <mergeCell ref="A64:S64"/>
    <mergeCell ref="A74:S74"/>
    <mergeCell ref="A2:E2"/>
    <mergeCell ref="A9:S9"/>
    <mergeCell ref="A19:S19"/>
    <mergeCell ref="A29:S29"/>
    <mergeCell ref="A40:S4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B4EAF-47D2-426A-9AA9-07CFF195E315}">
  <dimension ref="AS136:BA224"/>
  <sheetViews>
    <sheetView tabSelected="1" topLeftCell="B14" zoomScale="79" zoomScaleNormal="47" workbookViewId="0">
      <selection activeCell="B15" sqref="B15"/>
    </sheetView>
  </sheetViews>
  <sheetFormatPr defaultRowHeight="14.4" x14ac:dyDescent="0.3"/>
  <cols>
    <col min="1" max="43" width="8.88671875" style="12"/>
    <col min="44" max="44" width="11.21875" style="12" bestFit="1" customWidth="1"/>
    <col min="45" max="45" width="11.44140625" style="12" bestFit="1" customWidth="1"/>
    <col min="46" max="46" width="16.109375" style="12" bestFit="1" customWidth="1"/>
    <col min="47" max="47" width="15.21875" style="12" bestFit="1" customWidth="1"/>
    <col min="48" max="16384" width="8.88671875" style="12"/>
  </cols>
  <sheetData>
    <row r="136" spans="53:53" x14ac:dyDescent="0.3">
      <c r="BA136" s="12" t="s">
        <v>4116</v>
      </c>
    </row>
    <row r="216" spans="45:46" x14ac:dyDescent="0.3">
      <c r="AS216" s="12" t="s">
        <v>4116</v>
      </c>
    </row>
    <row r="224" spans="45:46" x14ac:dyDescent="0.3">
      <c r="AT224"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 DATA</vt:lpstr>
      <vt:lpstr>PIVOT ANALYSIS</vt:lpstr>
      <vt:lpstr>DATA ANALYSIS</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RUBANBALAJI G (RA2511026010124)</cp:lastModifiedBy>
  <dcterms:created xsi:type="dcterms:W3CDTF">2025-07-10T11:28:41Z</dcterms:created>
  <dcterms:modified xsi:type="dcterms:W3CDTF">2026-01-02T02:46:08Z</dcterms:modified>
</cp:coreProperties>
</file>